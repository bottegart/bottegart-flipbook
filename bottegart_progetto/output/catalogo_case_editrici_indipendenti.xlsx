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gimi" sheetId="1" state="visible" r:id="rId1"/>
    <sheet xmlns:r="http://schemas.openxmlformats.org/officeDocument/2006/relationships" name="Flipbook" sheetId="2" state="visible" r:id="rId2"/>
    <sheet xmlns:r="http://schemas.openxmlformats.org/officeDocument/2006/relationships" name="Riepilogo" sheetId="3" state="visible" r:id="rId3"/>
    <sheet xmlns:r="http://schemas.openxmlformats.org/officeDocument/2006/relationships" name="Condizioni" sheetId="4" state="visible" r:id="rId4"/>
    <sheet xmlns:r="http://schemas.openxmlformats.org/officeDocument/2006/relationships" name="Contatti editori" sheetId="5" state="visible" r:id="rId5"/>
    <sheet xmlns:r="http://schemas.openxmlformats.org/officeDocument/2006/relationships" name="Email modello" sheetId="6" state="visible" r:id="rId6"/>
    <sheet xmlns:r="http://schemas.openxmlformats.org/officeDocument/2006/relationships" name="Tutti i titoli" sheetId="7" state="visible" r:id="rId7"/>
    <sheet xmlns:r="http://schemas.openxmlformats.org/officeDocument/2006/relationships" name="CAA" sheetId="8" state="visible" r:id="rId8"/>
    <sheet xmlns:r="http://schemas.openxmlformats.org/officeDocument/2006/relationships" name="Temi sociali" sheetId="9" state="visible" r:id="rId9"/>
    <sheet xmlns:r="http://schemas.openxmlformats.org/officeDocument/2006/relationships" name="Settenove" sheetId="10" state="visible" r:id="rId10"/>
    <sheet xmlns:r="http://schemas.openxmlformats.org/officeDocument/2006/relationships" name="Uovonero" sheetId="11" state="visible" r:id="rId11"/>
    <sheet xmlns:r="http://schemas.openxmlformats.org/officeDocument/2006/relationships" name="Terre di Mezzo" sheetId="12" state="visible" r:id="rId12"/>
    <sheet xmlns:r="http://schemas.openxmlformats.org/officeDocument/2006/relationships" name="Camelozampa" sheetId="13" state="visible" r:id="rId13"/>
    <sheet xmlns:r="http://schemas.openxmlformats.org/officeDocument/2006/relationships" name="La Meridiana" sheetId="14" state="visible" r:id="rId14"/>
    <sheet xmlns:r="http://schemas.openxmlformats.org/officeDocument/2006/relationships" name="Gallucci" sheetId="15" state="visible" r:id="rId15"/>
    <sheet xmlns:r="http://schemas.openxmlformats.org/officeDocument/2006/relationships" name="Pelledoca" sheetId="16" state="visible" r:id="rId16"/>
    <sheet xmlns:r="http://schemas.openxmlformats.org/officeDocument/2006/relationships" name="Momo Edizioni" sheetId="17" state="visible" r:id="rId17"/>
    <sheet xmlns:r="http://schemas.openxmlformats.org/officeDocument/2006/relationships" name="Tunuè" sheetId="18" state="visible" r:id="rId18"/>
    <sheet xmlns:r="http://schemas.openxmlformats.org/officeDocument/2006/relationships" name="Cronache Ribelli" sheetId="19" state="visible" r:id="rId19"/>
    <sheet xmlns:r="http://schemas.openxmlformats.org/officeDocument/2006/relationships" name="Dalia Edizioni" sheetId="20" state="visible" r:id="rId20"/>
    <sheet xmlns:r="http://schemas.openxmlformats.org/officeDocument/2006/relationships" name="Edizioni Corsare" sheetId="21" state="visible" r:id="rId21"/>
    <sheet xmlns:r="http://schemas.openxmlformats.org/officeDocument/2006/relationships" name="Minibombo" sheetId="22" state="visible" r:id="rId22"/>
    <sheet xmlns:r="http://schemas.openxmlformats.org/officeDocument/2006/relationships" name="People" sheetId="23" state="visible" r:id="rId23"/>
    <sheet xmlns:r="http://schemas.openxmlformats.org/officeDocument/2006/relationships" name="Nero Latte" sheetId="24" state="visible" r:id="rId24"/>
    <sheet xmlns:r="http://schemas.openxmlformats.org/officeDocument/2006/relationships" name="Logos" sheetId="25" state="visible" r:id="rId25"/>
    <sheet xmlns:r="http://schemas.openxmlformats.org/officeDocument/2006/relationships" name="Lapis" sheetId="26" state="visible" r:id="rId26"/>
    <sheet xmlns:r="http://schemas.openxmlformats.org/officeDocument/2006/relationships" name="L'Ippocampo" sheetId="27" state="visible" r:id="rId27"/>
    <sheet xmlns:r="http://schemas.openxmlformats.org/officeDocument/2006/relationships" name="Neo Edizioni" sheetId="28" state="visible" r:id="rId28"/>
    <sheet xmlns:r="http://schemas.openxmlformats.org/officeDocument/2006/relationships" name="Tetra Edizioni" sheetId="29" state="visible" r:id="rId29"/>
    <sheet xmlns:r="http://schemas.openxmlformats.org/officeDocument/2006/relationships" name="effequ" sheetId="30" state="visible" r:id="rId30"/>
    <sheet xmlns:r="http://schemas.openxmlformats.org/officeDocument/2006/relationships" name="BeccoGiallo" sheetId="31" state="visible" r:id="rId31"/>
  </sheets>
  <definedNames>
    <definedName name="_xlnm._FilterDatabase" localSheetId="1" hidden="1">'Flipbook'!$A$1:$M$364</definedName>
    <definedName name="_xlnm._FilterDatabase" localSheetId="4" hidden="1">'Contatti editori'!$A$1:$J$23</definedName>
    <definedName name="_xlnm._FilterDatabase" localSheetId="6" hidden="1">'Tutti i titoli'!$A$1:$P$1301</definedName>
    <definedName name="_xlnm._FilterDatabase" localSheetId="7" hidden="1">'CAA'!$A$1:$P$41</definedName>
    <definedName name="_xlnm._FilterDatabase" localSheetId="8" hidden="1">'Temi sociali'!$A$1:$P$222</definedName>
    <definedName name="_xlnm._FilterDatabase" localSheetId="9" hidden="1">'Settenove'!$A$1:$P$30</definedName>
    <definedName name="_xlnm._FilterDatabase" localSheetId="10" hidden="1">'Uovonero'!$A$1:$P$75</definedName>
    <definedName name="_xlnm._FilterDatabase" localSheetId="11" hidden="1">'Terre di Mezzo'!$A$1:$P$408</definedName>
    <definedName name="_xlnm._FilterDatabase" localSheetId="12" hidden="1">'Camelozampa'!$A$1:$P$24</definedName>
    <definedName name="_xlnm._FilterDatabase" localSheetId="13" hidden="1">'La Meridiana'!$A$1:$P$16</definedName>
    <definedName name="_xlnm._FilterDatabase" localSheetId="14" hidden="1">'Gallucci'!$A$1:$P$12</definedName>
    <definedName name="_xlnm._FilterDatabase" localSheetId="15" hidden="1">'Pelledoca'!$A$1:$P$118</definedName>
    <definedName name="_xlnm._FilterDatabase" localSheetId="16" hidden="1">'Momo Edizioni'!$A$1:$P$17</definedName>
    <definedName name="_xlnm._FilterDatabase" localSheetId="17" hidden="1">'Tunuè'!$A$1:$P$11</definedName>
    <definedName name="_xlnm._FilterDatabase" localSheetId="18" hidden="1">'Cronache Ribelli'!$A$1:$P$4</definedName>
    <definedName name="_xlnm._FilterDatabase" localSheetId="19" hidden="1">'Dalia Edizioni'!$A$1:$P$23</definedName>
    <definedName name="_xlnm._FilterDatabase" localSheetId="20" hidden="1">'Edizioni Corsare'!$A$1:$P$36</definedName>
    <definedName name="_xlnm._FilterDatabase" localSheetId="21" hidden="1">'Minibombo'!$A$1:$P$78</definedName>
    <definedName name="_xlnm._FilterDatabase" localSheetId="22" hidden="1">'People'!$A$1:$P$4</definedName>
    <definedName name="_xlnm._FilterDatabase" localSheetId="23" hidden="1">'Nero Latte'!$A$1:$P$4</definedName>
    <definedName name="_xlnm._FilterDatabase" localSheetId="24" hidden="1">'Logos'!$A$1:$P$393</definedName>
    <definedName name="_xlnm._FilterDatabase" localSheetId="25" hidden="1">'Lapis'!$A$1:$P$14</definedName>
    <definedName name="_xlnm._FilterDatabase" localSheetId="26" hidden="1">'L''Ippocampo'!$A$1:$P$22</definedName>
    <definedName name="_xlnm._FilterDatabase" localSheetId="27" hidden="1">'Neo Edizioni'!$A$1:$P$3</definedName>
    <definedName name="_xlnm._FilterDatabase" localSheetId="28" hidden="1">'Tetra Edizioni'!$A$1:$P$2</definedName>
    <definedName name="_xlnm._FilterDatabase" localSheetId="29" hidden="1">'effequ'!$A$1:$P$6</definedName>
    <definedName name="_xlnm._FilterDatabase" localSheetId="30" hidden="1">'BeccoGiallo'!$A$1:$P$22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0"/>
    </font>
    <font>
      <name val="Arial"/>
      <b val="1"/>
      <sz val="10"/>
    </font>
    <font>
      <name val="Arial"/>
      <b val="1"/>
      <color rgb="00FFFFFF"/>
      <sz val="10"/>
    </font>
    <font>
      <name val="Arial"/>
      <b val="1"/>
      <sz val="12"/>
    </font>
    <font>
      <name val="Arial"/>
      <i val="1"/>
      <sz val="9"/>
    </font>
    <font>
      <name val="Arial"/>
      <color rgb="000000F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0" fontId="4" fillId="2" borderId="0" pivotButton="0" quotePrefix="0" xfId="0"/>
    <xf numFmtId="0" fontId="4" fillId="2" borderId="0" applyAlignment="1" pivotButton="0" quotePrefix="0" xfId="0">
      <alignment horizontal="center" vertical="center" wrapText="1"/>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6" fillId="0" borderId="0" pivotButton="0" quotePrefix="0" xfId="0"/>
    <xf numFmtId="9" fontId="7" fillId="4"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4" fontId="2" fillId="0" borderId="1" applyAlignment="1" pivotButton="0" quotePrefix="0" xfId="0">
      <alignment vertical="top" wrapText="1"/>
    </xf>
    <xf numFmtId="0" fontId="2" fillId="0" borderId="1" pivotButton="0" quotePrefix="0" xfId="0"/>
    <xf numFmtId="0" fontId="2" fillId="3" borderId="1" applyAlignment="1" pivotButton="0" quotePrefix="0" xfId="0">
      <alignment vertical="top" wrapText="1"/>
    </xf>
    <xf numFmtId="4"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40" customWidth="1" min="1" max="1"/>
  </cols>
  <sheetData>
    <row r="1">
      <c r="A1" s="1" t="inlineStr">
        <is>
          <t>Catalogo case editrici indipendenti – libri per bambini e ragazzi</t>
        </is>
      </c>
    </row>
    <row r="2">
      <c r="A2" s="2" t="inlineStr">
        <is>
          <t>Dati raccolti il 11 ottobre 2026 dai siti degli editori e dagli store online (IBS, Feltrinelli, Unilibro, Librerie.coop). Per ogni riga trovi la fonte.</t>
        </is>
      </c>
    </row>
    <row r="3">
      <c r="A3" s="2" t="inlineStr"/>
    </row>
    <row r="4">
      <c r="A4" s="3" t="inlineStr">
        <is>
          <t>Come leggerlo</t>
        </is>
      </c>
    </row>
    <row r="5">
      <c r="A5" s="2" t="inlineStr">
        <is>
          <t>• Nuovi fogli: 'Condizioni' (sconto libreria modificabile), 'Contatti editori' (email, telefono, distributori, aggancio per la mail) ed 'Email modello'.</t>
        </is>
      </c>
    </row>
    <row r="6">
      <c r="A6" s="2" t="inlineStr">
        <is>
          <t>• Prezzi: solo dove verificabili (fonte in colonna); il prezzo netto si calcola con lo sconto del foglio 'Condizioni'.</t>
        </is>
      </c>
    </row>
    <row r="7">
      <c r="A7" s="2" t="inlineStr">
        <is>
          <t>• 'Tutti i titoli': elenco completo con filtri (casa editrice, fascia, genere, tema sociale, CAA).</t>
        </is>
      </c>
    </row>
    <row r="8">
      <c r="A8" s="2" t="inlineStr">
        <is>
          <t>• Un foglio per ogni casa editrice (22), ordinati per fascia d'età.</t>
        </is>
      </c>
    </row>
    <row r="9">
      <c r="A9" s="2" t="inlineStr">
        <is>
          <t>• 'CAA': solo i libri in simboli / Comunicazione Aumentativa Alternativa. 'Temi sociali': solo i titoli con un tema sociale indicato. 'Riepilogo': conteggi con formule.</t>
        </is>
      </c>
    </row>
    <row r="10">
      <c r="A10" s="2" t="inlineStr">
        <is>
          <t>• Colonna 'Affidabilità dell'età': Catalogo = età scritta dall'editore o dal negozio per quel titolo; Collana = età della collana; Da verificare = età non trovata o dedotta.</t>
        </is>
      </c>
    </row>
    <row r="11">
      <c r="A11" s="2" t="inlineStr">
        <is>
          <t>• Celle gialle = da verificare sulla scheda del libro. Celle verdi = libro in CAA.</t>
        </is>
      </c>
    </row>
    <row r="12">
      <c r="A12" s="2" t="inlineStr"/>
    </row>
    <row r="13">
      <c r="A13" s="3" t="inlineStr">
        <is>
          <t>Limiti importanti</t>
        </is>
      </c>
    </row>
    <row r="14">
      <c r="A14" s="2" t="inlineStr">
        <is>
          <t>• Prima, seconda e terza media sono unite nella fascia 'Scuola media (11-13)': i cataloghi usano le età, non le classi.</t>
        </is>
      </c>
    </row>
    <row r="15">
      <c r="A15" s="2" t="inlineStr">
        <is>
          <t>• Per gli editori con cataloghi grandi (Logos, Lapis, Minibombo, Gallucci, Uovonero) l'elenco è rappresentativo, non esaustivo.</t>
        </is>
      </c>
    </row>
    <row r="16">
      <c r="A16" s="2" t="inlineStr">
        <is>
          <t>• Alcuni temi sociali sono marcati 'tema noto, da verificare': non li ho trovati nella scheda dell'editore.</t>
        </is>
      </c>
    </row>
    <row r="17">
      <c r="A17" s="2" t="inlineStr">
        <is>
          <t>• Minibombo e Lapis non hanno edizioni CAA proprie nei cataloghi consultati: le versioni in simboli di loro titoli sono traduzioni di reti di biblioteche (InBook).</t>
        </is>
      </c>
    </row>
    <row r="18">
      <c r="A18" s="2" t="inlineStr">
        <is>
          <t>• Nero Latte pubblica poesia e albi illustrati (ho trovato solo un albo, senza età). Tetra e Neo Edizioni: cataloghi per adulti. Pelledoca: solo gialli e mistero, nessuna CAA. Gallucci: nessuna CAA trovata.</t>
        </is>
      </c>
    </row>
    <row r="19">
      <c r="A19" s="2" t="inlineStr"/>
    </row>
    <row r="20">
      <c r="A20" s="3" t="inlineStr">
        <is>
          <t>Editori di libri in CAA non nella tua lista (da considerare)</t>
        </is>
      </c>
    </row>
    <row r="21">
      <c r="A21" s="2" t="inlineStr">
        <is>
          <t>• Officina Babùk (Babalibri + Uovonero): solo libri accessibili con testo in simboli. Fonte: lachiccaufficiostampa.it/eventi/officina-babuk-i-libri-in-simboli/</t>
        </is>
      </c>
    </row>
    <row r="22">
      <c r="A22" s="2" t="inlineStr">
        <is>
          <t>• Homeless Book: collana CAA diretta da Maria Caterina Minardi. Fonte: homelessbook.it/collana/caa--comunicazione-aumentativa-alternativa/32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40" customWidth="1" min="3" max="3"/>
    <col width="30" customWidth="1" min="4" max="4"/>
    <col width="16" customWidth="1" min="5" max="5"/>
    <col width="12" customWidth="1" min="6" max="6"/>
    <col width="16" customWidth="1" min="7" max="7"/>
    <col width="7" customWidth="1" min="8" max="8"/>
    <col width="10" customWidth="1" min="9" max="9"/>
    <col width="22" customWidth="1" min="10" max="10"/>
    <col width="26" customWidth="1" min="11" max="11"/>
    <col width="80" customWidth="1" min="12" max="12"/>
    <col width="50" customWidth="1" min="13" max="13"/>
  </cols>
  <sheetData>
    <row r="1" ht="30" customHeight="1">
      <c r="A1" s="13" t="inlineStr">
        <is>
          <t>Fascia d’età</t>
        </is>
      </c>
      <c r="B1" s="13" t="inlineStr">
        <is>
          <t>Casa editrice</t>
        </is>
      </c>
      <c r="C1" s="13" t="inlineStr">
        <is>
          <t>Titolo</t>
        </is>
      </c>
      <c r="D1" s="13" t="inlineStr">
        <is>
          <t>Autori</t>
        </is>
      </c>
      <c r="E1" s="13" t="inlineStr">
        <is>
          <t>Età</t>
        </is>
      </c>
      <c r="F1" s="13" t="inlineStr">
        <is>
          <t>Prezzo copertina (€)</t>
        </is>
      </c>
      <c r="G1" s="13" t="inlineStr">
        <is>
          <t>ISBN</t>
        </is>
      </c>
      <c r="H1" s="13" t="inlineStr">
        <is>
          <t>CAA</t>
        </is>
      </c>
      <c r="I1" s="13" t="inlineStr">
        <is>
          <t>Copertina</t>
        </is>
      </c>
      <c r="J1" s="13" t="inlineStr">
        <is>
          <t>Collana</t>
        </is>
      </c>
      <c r="K1" s="13" t="inlineStr">
        <is>
          <t>Temi</t>
        </is>
      </c>
      <c r="L1" s="13" t="inlineStr">
        <is>
          <t>Sinossi</t>
        </is>
      </c>
      <c r="M1" s="13" t="inlineStr">
        <is>
          <t>Fonte dei dati presi dalla rete</t>
        </is>
      </c>
    </row>
    <row r="2">
      <c r="A2" s="14" t="inlineStr">
        <is>
          <t>3-6 anni</t>
        </is>
      </c>
      <c r="B2" s="14" t="inlineStr">
        <is>
          <t>Settenove</t>
        </is>
      </c>
      <c r="C2" s="14" t="inlineStr">
        <is>
          <t>Ada al contrario</t>
        </is>
      </c>
      <c r="D2" s="14" t="inlineStr">
        <is>
          <t>Guia Risari; ill. Francesca Buonanno</t>
        </is>
      </c>
      <c r="E2" s="14" t="inlineStr">
        <is>
          <t>da 4 anni</t>
        </is>
      </c>
      <c r="F2" s="16" t="n">
        <v>16.5</v>
      </c>
      <c r="G2" s="14" t="inlineStr">
        <is>
          <t>9788898947423</t>
        </is>
      </c>
      <c r="H2" s="14" t="inlineStr"/>
      <c r="I2" s="14" t="inlineStr">
        <is>
          <t>Sì</t>
        </is>
      </c>
      <c r="J2" s="14" t="inlineStr">
        <is>
          <t>Albi illustrati / Narrativa / Educazione al genere</t>
        </is>
      </c>
      <c r="K2" s="14" t="inlineStr">
        <is>
          <t>Autismo (Asperger) e diritto alla diversità</t>
        </is>
      </c>
      <c r="L2" s="14" t="inlineStr">
        <is>
          <t>Da neonata Ada gridava “Éééu” invece di “Uééé”, dormiva di giorno e stava sveglia di notte; chiamava mamma il papà e papà la mamma e, crescendo, cominciò persino a camminare al contrario. Una storia che tocca con leggerezza il tema dell’Asperger, una forma di autismo, e il diritto di essere accolti nella propria diversità. Cartonato, 36 pagine, da 4 anni.</t>
        </is>
      </c>
      <c r="M2" s="14" t="inlineStr">
        <is>
          <t>https://www.ibs.it/x/e/9788898947423</t>
        </is>
      </c>
    </row>
    <row r="3">
      <c r="A3" s="14" t="inlineStr">
        <is>
          <t>3-6 anni</t>
        </is>
      </c>
      <c r="B3" s="14" t="inlineStr">
        <is>
          <t>Settenove</t>
        </is>
      </c>
      <c r="C3" s="14" t="inlineStr">
        <is>
          <t>Beaver, come Castoro</t>
        </is>
      </c>
      <c r="D3" s="14" t="inlineStr">
        <is>
          <t>Serena Ballista; ill. Martina Paderni</t>
        </is>
      </c>
      <c r="E3" s="14" t="inlineStr">
        <is>
          <t>da 4 anni</t>
        </is>
      </c>
      <c r="F3" s="16" t="n">
        <v>14</v>
      </c>
      <c r="G3" s="14" t="inlineStr">
        <is>
          <t>9788898947737</t>
        </is>
      </c>
      <c r="H3" s="14" t="inlineStr"/>
      <c r="I3" s="14" t="inlineStr">
        <is>
          <t>Sì</t>
        </is>
      </c>
      <c r="J3" s="14" t="inlineStr">
        <is>
          <t>Albi illustrati / Narrativa / Educazione al genere</t>
        </is>
      </c>
      <c r="K3" s="14" t="inlineStr">
        <is>
          <t>Identità</t>
        </is>
      </c>
      <c r="L3" s="14" t="inlineStr">
        <is>
          <t>Da bambina la filosofa Simone de Beauvoir ebbe il soprannome “Castoro” (Beaver) per l’assonanza con il suo cognome. L’albo racconta quando, coraggiosa come un castoro, sfidò per la prima volta le regole di sua madre e della società chiedendo una bicicletta: non l’ottenne, ma fu la prima delle occasioni in cui rifiutò il ruolo di bambina e poi di donna imposto dalle norme sociali. Cartonato, 32 pagine, da 4 anni.</t>
        </is>
      </c>
      <c r="M3" s="14" t="inlineStr">
        <is>
          <t>https://www.ibs.it/x/e/9788898947737</t>
        </is>
      </c>
    </row>
    <row r="4">
      <c r="A4" s="14" t="inlineStr">
        <is>
          <t>3-6 anni</t>
        </is>
      </c>
      <c r="B4" s="14" t="inlineStr">
        <is>
          <t>Settenove</t>
        </is>
      </c>
      <c r="C4" s="14" t="inlineStr">
        <is>
          <t>C’è qualcosa di più noioso che essere una principessa rosa?</t>
        </is>
      </c>
      <c r="D4" s="14" t="inlineStr">
        <is>
          <t>Raquel Díaz Reguera</t>
        </is>
      </c>
      <c r="E4" s="14" t="inlineStr">
        <is>
          <t>da 4 anni</t>
        </is>
      </c>
      <c r="F4" s="16" t="n">
        <v>16.5</v>
      </c>
      <c r="G4" s="14" t="inlineStr">
        <is>
          <t>9788898947560</t>
        </is>
      </c>
      <c r="H4" s="14" t="inlineStr"/>
      <c r="I4" s="14" t="inlineStr">
        <is>
          <t>Sì</t>
        </is>
      </c>
      <c r="J4" s="14" t="inlineStr">
        <is>
          <t>Albi illustrati / Narrativa / Educazione al genere</t>
        </is>
      </c>
      <c r="K4" s="14" t="inlineStr">
        <is>
          <t>Stereotipi di genere</t>
        </is>
      </c>
      <c r="L4" s="14" t="inlineStr">
        <is>
          <t>Carlotta è una principessa rosa, con il suo vestito rosa e il suo armadio pieno di vestiti rosa, ma ne è arcistufa: vuole vestirsi di rosso, di verde e di violetto, non ha voglia di baciare rospi per trovare il principe azzurro e sogna di cacciare draghi e volare in mongolfiera. Un albo sull’uguaglianza di diritti tra bambine e bambini, sugli stereotipi e sulle pari opportunità. Da 4 anni, 48 pagine.</t>
        </is>
      </c>
      <c r="M4" s="14" t="inlineStr">
        <is>
          <t>https://www.ibs.it/x/e/9788898947560</t>
        </is>
      </c>
    </row>
    <row r="5">
      <c r="A5" s="14" t="inlineStr">
        <is>
          <t>3-6 anni</t>
        </is>
      </c>
      <c r="B5" s="14" t="inlineStr">
        <is>
          <t>Settenove</t>
        </is>
      </c>
      <c r="C5" s="14" t="inlineStr">
        <is>
          <t>Ettore. L’uomo straordinariamente forte</t>
        </is>
      </c>
      <c r="D5" s="14" t="inlineStr">
        <is>
          <t>Magali Le Huche</t>
        </is>
      </c>
      <c r="E5" s="14" t="inlineStr">
        <is>
          <t>5 anni</t>
        </is>
      </c>
      <c r="F5" s="16" t="n">
        <v>16.5</v>
      </c>
      <c r="G5" s="14" t="inlineStr">
        <is>
          <t>9788890860553</t>
        </is>
      </c>
      <c r="H5" s="14" t="inlineStr"/>
      <c r="I5" s="14" t="inlineStr">
        <is>
          <t>Sì</t>
        </is>
      </c>
      <c r="J5" s="14" t="inlineStr">
        <is>
          <t>Albi illustrati / Narrativa / Educazione al genere</t>
        </is>
      </c>
      <c r="K5" s="14" t="inlineStr">
        <is>
          <t>Stereotipi di genere</t>
        </is>
      </c>
      <c r="L5" s="14" t="inlineStr">
        <is>
          <t>Ettore è l’uomo straordinariamente forte del circo Extraordinaire, ammirato da tutti, ma di nascosto ama l’uncinetto. Quando i domatori, invidiosi, svelano il suo segreto, un tifone distrugge il tendone e proprio l’uncinetto salva il circo: una storia che spazza via gli stereotipi sulla mascolinità. Cartonato, 48 pagine.</t>
        </is>
      </c>
      <c r="M5" s="14" t="inlineStr">
        <is>
          <t>https://www.ibs.it/x/e/9788890860553</t>
        </is>
      </c>
    </row>
    <row r="6">
      <c r="A6" s="14" t="inlineStr">
        <is>
          <t>3-6 anni</t>
        </is>
      </c>
      <c r="B6" s="14" t="inlineStr">
        <is>
          <t>Settenove</t>
        </is>
      </c>
      <c r="C6" s="14" t="inlineStr">
        <is>
          <t>Giorgia e Giorgio. W i nonni!</t>
        </is>
      </c>
      <c r="D6" s="14" t="inlineStr">
        <is>
          <t>C. Obber; ill. S. Vinciguerra</t>
        </is>
      </c>
      <c r="E6" s="14" t="inlineStr">
        <is>
          <t>da 3 anni</t>
        </is>
      </c>
      <c r="F6" s="16" t="n">
        <v>13.5</v>
      </c>
      <c r="G6" s="14" t="inlineStr">
        <is>
          <t>9788898947270</t>
        </is>
      </c>
      <c r="H6" s="14" t="inlineStr"/>
      <c r="I6" s="14" t="inlineStr">
        <is>
          <t>Sì</t>
        </is>
      </c>
      <c r="J6" s="14" t="inlineStr">
        <is>
          <t>Albi illustrati / Narrativa / Educazione al genere</t>
        </is>
      </c>
      <c r="K6" s="14" t="inlineStr">
        <is>
          <t>Parità e famiglia (serie Giorgia e Giorgio)</t>
        </is>
      </c>
      <c r="L6" s="14" t="inlineStr">
        <is>
          <t>Giorgio e Giorgia organizzano in gran segreto con i genitori una festa a sorpresa per i 50 anni insieme di nonno e nonna, mentre raccontano la vita quotidiana della famiglia: il papà che fa il bagno al nonno, la nonna e Giorgio che preparano i biscotti, la mamma che torna la sera con le coccole. Frasi semplici e cadenzate sul tema della cura quotidiana, in cui tutti contribuiscono al benessere comune e gli anziani sono parte attiva della storia. 48 pagine, da 3 anni.</t>
        </is>
      </c>
      <c r="M6" s="14" t="inlineStr">
        <is>
          <t>https://www.ibs.it/x/e/9788898947270</t>
        </is>
      </c>
    </row>
    <row r="7">
      <c r="A7" s="14" t="inlineStr">
        <is>
          <t>3-6 anni</t>
        </is>
      </c>
      <c r="B7" s="14" t="inlineStr">
        <is>
          <t>Settenove</t>
        </is>
      </c>
      <c r="C7" s="14" t="inlineStr">
        <is>
          <t>Il bosco in casa</t>
        </is>
      </c>
      <c r="D7" s="14" t="inlineStr">
        <is>
          <t>Sarah Vegna; ill. Astrid Tolke</t>
        </is>
      </c>
      <c r="E7" s="14" t="inlineStr">
        <is>
          <t>da 4 anni</t>
        </is>
      </c>
      <c r="F7" s="16" t="n">
        <v>14</v>
      </c>
      <c r="G7" s="14" t="inlineStr">
        <is>
          <t>9788898947355</t>
        </is>
      </c>
      <c r="H7" s="14" t="inlineStr"/>
      <c r="I7" s="14" t="inlineStr">
        <is>
          <t>Sì</t>
        </is>
      </c>
      <c r="J7" s="14" t="inlineStr">
        <is>
          <t>Albi illustrati / Narrativa / Educazione al genere</t>
        </is>
      </c>
      <c r="K7" s="14" t="inlineStr">
        <is>
          <t>Famiglie omogenitoriali, riciclo e natura</t>
        </is>
      </c>
      <c r="L7" s="14" t="inlineStr">
        <is>
          <t>Una bambina racconta passo passo come coltivare in casa le fragoline di bosco insieme ai suoi genitori, che sono due papà: dalla semina all’attesa fino alla scorpacciata finale. Un albo su riciclo, conoscenza della natura e diritti civili, che non insiste sulle differenze della famiglia omogenitoriale ma su ciò che la accomuna a ogni altra: cura, affetto e attività fatte insieme. Da 4 anni.</t>
        </is>
      </c>
      <c r="M7" s="14" t="inlineStr">
        <is>
          <t>https://www.ibs.it/x/e/9788898947355</t>
        </is>
      </c>
    </row>
    <row r="8">
      <c r="A8" s="14" t="inlineStr">
        <is>
          <t>3-6 anni</t>
        </is>
      </c>
      <c r="B8" s="14" t="inlineStr">
        <is>
          <t>Settenove</t>
        </is>
      </c>
      <c r="C8" s="14" t="inlineStr">
        <is>
          <t>Il piccolo giardiniere</t>
        </is>
      </c>
      <c r="D8" s="14" t="inlineStr">
        <is>
          <t>Emily Hughes</t>
        </is>
      </c>
      <c r="E8" s="14" t="inlineStr">
        <is>
          <t>da 4 anni</t>
        </is>
      </c>
      <c r="F8" s="16" t="n">
        <v>18</v>
      </c>
      <c r="G8" s="14" t="inlineStr">
        <is>
          <t>9788898947119</t>
        </is>
      </c>
      <c r="H8" s="14" t="inlineStr"/>
      <c r="I8" s="14" t="inlineStr">
        <is>
          <t>Sì</t>
        </is>
      </c>
      <c r="J8" s="14" t="inlineStr">
        <is>
          <t>Albi illustrati / Narrativa / Educazione al genere</t>
        </is>
      </c>
      <c r="K8" s="14" t="inlineStr">
        <is>
          <t>Libertà e identità</t>
        </is>
      </c>
      <c r="L8" s="14" t="inlineStr">
        <is>
          <t>C’era una volta un grande giardino e il suo minuscolo giardiniere. Il giardino per lui era tutto: la sua casa, il suo cibo, la sua gioia, ma era troppo grande per lui e, nonostante la fatica, rischiava di morire. Solo una cosa continuava a crescere rigogliosa: un fiore rosso, alto e robusto, che lo spingeva a non arrendersi mai. Una notte, disperato, chiese aiuto con la sua piccola voce: nessuno lo udì, ma qualcuno vide quel fiore e pensò che con l’impegno di tutti il grande giardino potesse tornare rigoglioso. Un piccolo classico di dedizione, fragilità, pazienza e fiducia nel futuro: perché, a volte, affinché le cose cambino, bisogna saper attendere il giusto tempo. Di Emily Hughes, da 4 anni.</t>
        </is>
      </c>
      <c r="M8" s="14" t="inlineStr"/>
    </row>
    <row r="9">
      <c r="A9" s="14" t="inlineStr">
        <is>
          <t>3-6 anni</t>
        </is>
      </c>
      <c r="B9" s="14" t="inlineStr">
        <is>
          <t>Settenove</t>
        </is>
      </c>
      <c r="C9" s="14" t="inlineStr">
        <is>
          <t>In famiglia!</t>
        </is>
      </c>
      <c r="D9" s="14" t="inlineStr">
        <is>
          <t>A. Maxeiner; ill. A. Kuhl</t>
        </is>
      </c>
      <c r="E9" s="14" t="inlineStr">
        <is>
          <t>da 4 anni</t>
        </is>
      </c>
      <c r="F9" s="16" t="n">
        <v>16</v>
      </c>
      <c r="G9" s="14" t="inlineStr">
        <is>
          <t>9788898947287</t>
        </is>
      </c>
      <c r="H9" s="14" t="inlineStr"/>
      <c r="I9" s="14" t="inlineStr">
        <is>
          <t>Sì</t>
        </is>
      </c>
      <c r="J9" s="14" t="inlineStr">
        <is>
          <t>Albi illustrati / Narrativa / Educazione al genere</t>
        </is>
      </c>
      <c r="K9" s="14" t="inlineStr">
        <is>
          <t>Famiglie ricomposte</t>
        </is>
      </c>
      <c r="L9" s="14" t="inlineStr">
        <is>
          <t>Luca bisticcia con la sorella Lisa, Mina non ha fratelli ma ha tutto doppio, Carla e Max hanno due mamme e due papà, Paola festeggia il suo giorno due volte l’anno (compleanno e arrivo): ogni persona è diversa, ma tutti fanno parte di una famiglia e come la propria non ce n’è al mondo. Un albo premiato in Germania sulle famiglie “reali”: separate e ricostruite, adottive, omogenitoriali, monoparentali. 36 pagine, da 4 anni.</t>
        </is>
      </c>
      <c r="M9" s="14" t="inlineStr">
        <is>
          <t>https://www.ibs.it/x/e/9788898947287</t>
        </is>
      </c>
    </row>
    <row r="10">
      <c r="A10" s="14" t="inlineStr">
        <is>
          <t>3-6 anni</t>
        </is>
      </c>
      <c r="B10" s="14" t="inlineStr">
        <is>
          <t>Settenove</t>
        </is>
      </c>
      <c r="C10" s="14" t="inlineStr">
        <is>
          <t>Io sono così</t>
        </is>
      </c>
      <c r="D10" s="14" t="inlineStr">
        <is>
          <t>F. Degl’Innocenti, A. Ferrara</t>
        </is>
      </c>
      <c r="E10" s="14" t="inlineStr">
        <is>
          <t>4 anni</t>
        </is>
      </c>
      <c r="F10" s="16" t="n">
        <v>14</v>
      </c>
      <c r="G10" s="14" t="inlineStr">
        <is>
          <t>9788898947010</t>
        </is>
      </c>
      <c r="H10" s="14" t="inlineStr"/>
      <c r="I10" s="14" t="inlineStr">
        <is>
          <t>Sì</t>
        </is>
      </c>
      <c r="J10" s="14" t="inlineStr">
        <is>
          <t>Albi illustrati / Narrativa / Educazione al genere</t>
        </is>
      </c>
      <c r="K10" s="14" t="inlineStr">
        <is>
          <t>Identità e stereotipi di genere</t>
        </is>
      </c>
      <c r="L10" s="14" t="inlineStr">
        <is>
          <t>Un libro a soffietto (leporello) in cui un personaggio si descrive come in una filastrocca, attraverso ciò che ama fare: lottare, cucinare, arrampicarsi, giocare a carte. È un maschio o una femmina? Lo si scopre solo alla fine, capovolgendo il soffietto. Premio Andersen 2015.</t>
        </is>
      </c>
      <c r="M10" s="14" t="inlineStr">
        <is>
          <t>https://www.ibs.it/x/e/9788898947010</t>
        </is>
      </c>
    </row>
    <row r="11">
      <c r="A11" s="14" t="inlineStr">
        <is>
          <t>3-6 anni</t>
        </is>
      </c>
      <c r="B11" s="14" t="inlineStr">
        <is>
          <t>Settenove</t>
        </is>
      </c>
      <c r="C11" s="14" t="inlineStr">
        <is>
          <t>Mi piace Spiderman... e allora?</t>
        </is>
      </c>
      <c r="D11" s="14" t="inlineStr">
        <is>
          <t>G. Vezzoli, M. Di Lauro</t>
        </is>
      </c>
      <c r="E11" s="14" t="inlineStr">
        <is>
          <t>da 5 anni</t>
        </is>
      </c>
      <c r="F11" s="16" t="n">
        <v>13</v>
      </c>
      <c r="G11" s="14" t="inlineStr">
        <is>
          <t>9788890860560</t>
        </is>
      </c>
      <c r="H11" s="14" t="inlineStr"/>
      <c r="I11" s="14" t="inlineStr">
        <is>
          <t>Sì</t>
        </is>
      </c>
      <c r="J11" s="14" t="inlineStr">
        <is>
          <t>Albi illustrati / Narrativa / Educazione al genere</t>
        </is>
      </c>
      <c r="K11" s="14" t="inlineStr">
        <is>
          <t>Stereotipi di genere</t>
        </is>
      </c>
      <c r="L11" s="14" t="inlineStr">
        <is>
          <t>Cloe ha sei anni, racconta storie che la mamma trascrive al computer e ha una grande passione: Spiderman. Per la prima elementare sceglie lo zaino del suo supereroe e tutti ripetono: “Ma è da maschi!”. Il suo mondo, tra scuola, giocattoli e inviti alle feste, è diviso rigidamente tra maschi e femmine: con l’aiuto dei genitori Cloe smonta stereotipi, giocattoli sessisti e pregiudizi. Narrativa illustrata, 64 pagine, da 5 anni.</t>
        </is>
      </c>
      <c r="M11" s="14" t="inlineStr">
        <is>
          <t>https://www.ibs.it/x/e/9788890860560</t>
        </is>
      </c>
    </row>
    <row r="12">
      <c r="A12" s="14" t="inlineStr">
        <is>
          <t>3-6 anni</t>
        </is>
      </c>
      <c r="B12" s="14" t="inlineStr">
        <is>
          <t>Settenove</t>
        </is>
      </c>
      <c r="C12" s="14" t="inlineStr">
        <is>
          <t>Se un bambino</t>
        </is>
      </c>
      <c r="D12" s="14" t="inlineStr">
        <is>
          <t>Davide Musso; ill. Anna Forlati</t>
        </is>
      </c>
      <c r="E12" s="14" t="inlineStr">
        <is>
          <t>da 4 anni</t>
        </is>
      </c>
      <c r="F12" s="16" t="n">
        <v>17</v>
      </c>
      <c r="G12" s="14" t="inlineStr">
        <is>
          <t>9788898947515</t>
        </is>
      </c>
      <c r="H12" s="14" t="inlineStr"/>
      <c r="I12" s="14" t="inlineStr">
        <is>
          <t>Sì</t>
        </is>
      </c>
      <c r="J12" s="14" t="inlineStr">
        <is>
          <t>Albi illustrati / Narrativa / Educazione al genere</t>
        </is>
      </c>
      <c r="K12" s="14" t="inlineStr">
        <is>
          <t>Diritti dell’infanzia</t>
        </is>
      </c>
      <c r="L12" s="14" t="inlineStr">
        <is>
          <t>Se un bambino non è uguale a tutti gli altri (è timido, arriva in ritardo, vede le cose a modo suo, non crede a ciò in cui credono tutti) rischia di essere etichettato come “sbagliato”. Ma ogni bambino è diverso e per questo prezioso. Un albo con continui cambi di prospettiva che invita a superare i pregiudizi e a cercare l’incontro con chi ci sta accanto. 32 pagine, da 4 anni.</t>
        </is>
      </c>
      <c r="M12" s="14" t="inlineStr">
        <is>
          <t>https://www.ibs.it/x/e/9788898947515</t>
        </is>
      </c>
    </row>
    <row r="13">
      <c r="A13" s="14" t="inlineStr">
        <is>
          <t>3-6 anni</t>
        </is>
      </c>
      <c r="B13" s="14" t="inlineStr">
        <is>
          <t>Settenove</t>
        </is>
      </c>
      <c r="C13" s="14" t="inlineStr">
        <is>
          <t>Una damigella NON in pericolo!</t>
        </is>
      </c>
      <c r="D13" s="14" t="inlineStr">
        <is>
          <t>Bethan Stevens</t>
        </is>
      </c>
      <c r="E13" s="14" t="inlineStr">
        <is>
          <t>da 5 anni</t>
        </is>
      </c>
      <c r="F13" s="16" t="n">
        <v>19</v>
      </c>
      <c r="G13" s="14" t="inlineStr">
        <is>
          <t>9788898947980</t>
        </is>
      </c>
      <c r="H13" s="14" t="inlineStr"/>
      <c r="I13" s="14" t="inlineStr">
        <is>
          <t>Sì</t>
        </is>
      </c>
      <c r="J13" s="14" t="inlineStr">
        <is>
          <t>Albi illustrati / Narrativa / Educazione al genere</t>
        </is>
      </c>
      <c r="K13" s="14" t="inlineStr">
        <is>
          <t>Stereotipi nelle fiabe</t>
        </is>
      </c>
      <c r="L13" s="14" t="inlineStr">
        <is>
          <t>In cima a un’altissima torre c’è una donzella… in pericolo? In realtà la protagonista dice al narratore che sta benissimo, ma lui non l’ascolta e continua il racconto; quando arriva un drago sputafuoco tocca a lei prendere in mano la storia e salvare la giornata di relax a tutti i personaggi. Un albo per chi vuole essere l’eroe o l’eroina della propria storia. 32 pagine, da 5 anni.</t>
        </is>
      </c>
      <c r="M13" s="14" t="inlineStr">
        <is>
          <t>https://www.ibs.it/x/e/9788898947980</t>
        </is>
      </c>
    </row>
    <row r="14">
      <c r="A14" s="14" t="inlineStr">
        <is>
          <t>3-6 anni</t>
        </is>
      </c>
      <c r="B14" s="14" t="inlineStr">
        <is>
          <t>Settenove</t>
        </is>
      </c>
      <c r="C14" s="14" t="inlineStr">
        <is>
          <t>Una stanza tutta per me</t>
        </is>
      </c>
      <c r="D14" s="14" t="inlineStr">
        <is>
          <t>Serena Ballista; ill. Chiara Carrer</t>
        </is>
      </c>
      <c r="E14" s="14" t="inlineStr">
        <is>
          <t>da 3 anni</t>
        </is>
      </c>
      <c r="F14" s="16" t="n">
        <v>15</v>
      </c>
      <c r="G14" s="14" t="inlineStr">
        <is>
          <t>9788898947256</t>
        </is>
      </c>
      <c r="H14" s="14" t="inlineStr"/>
      <c r="I14" s="14" t="inlineStr">
        <is>
          <t>Sì</t>
        </is>
      </c>
      <c r="J14" s="14" t="inlineStr">
        <is>
          <t>Albi illustrati / Narrativa / Educazione al genere</t>
        </is>
      </c>
      <c r="K14" s="14" t="inlineStr">
        <is>
          <t>Autonomia delle donne (da Virginia Woolf)</t>
        </is>
      </c>
      <c r="L14" s="14" t="inlineStr">
        <is>
          <t>Cos’hanno in comune una scrittrice e un ragno? E una bambina e Virginia Woolf? Una scrittrice, un ragno e la piccola lettrice si alternano nelle pagine, ispirate a “Una stanza tutta per sé”, per scoprire che si può essere felici solo con una buona dose di autonomia e libertà: solitudine, tempo e autonomia come strumenti per pensare, inventare e progettare il proprio futuro. Nella lista White Ravens 2017. Cartonato, 32 pagine, da 3 anni.</t>
        </is>
      </c>
      <c r="M14" s="14" t="inlineStr">
        <is>
          <t>https://www.ibs.it/x/e/9788898947256</t>
        </is>
      </c>
    </row>
    <row r="15">
      <c r="A15" s="14" t="inlineStr">
        <is>
          <t>Prime letture (6-8)</t>
        </is>
      </c>
      <c r="B15" s="14" t="inlineStr">
        <is>
          <t>Settenove</t>
        </is>
      </c>
      <c r="C15" s="14" t="inlineStr">
        <is>
          <t>Greta e le altre. Un pianeta da salvare</t>
        </is>
      </c>
      <c r="D15" s="14" t="inlineStr">
        <is>
          <t>F. Degl’Innocenti; ill. F. Rizzato</t>
        </is>
      </c>
      <c r="E15" s="14" t="inlineStr">
        <is>
          <t>da 6 anni</t>
        </is>
      </c>
      <c r="F15" s="16" t="n">
        <v>12</v>
      </c>
      <c r="G15" s="14" t="inlineStr">
        <is>
          <t>9788898947478</t>
        </is>
      </c>
      <c r="H15" s="14" t="inlineStr"/>
      <c r="I15" s="14" t="inlineStr">
        <is>
          <t>Sì</t>
        </is>
      </c>
      <c r="J15" s="14" t="inlineStr">
        <is>
          <t>Albi illustrati / Narrativa / Educazione al genere</t>
        </is>
      </c>
      <c r="K15" s="14" t="inlineStr">
        <is>
          <t>Ambiente e attivismo giovanile</t>
        </is>
      </c>
      <c r="L15" s="14" t="inlineStr">
        <is>
          <t>Astrid, aspirante giornalista, osserva a lungo davanti al Parlamento svedese una ragazza con un impermeabile giallo e un cartello “Sciopero scolastico per il clima”: è Greta Thunberg. Astrid la intervista per il blog della scuola e il racconto dell’impegno per il clima si intreccia con la storia personale di Greta e con le ragioni della sua lotta. Narrativa illustrata adatta anche a percorsi scolastici sull’ambiente. 64 pagine, da 6 anni.</t>
        </is>
      </c>
      <c r="M15" s="14" t="inlineStr">
        <is>
          <t>https://www.ibs.it/x/e/9788898947478</t>
        </is>
      </c>
    </row>
    <row r="16">
      <c r="A16" s="14" t="inlineStr">
        <is>
          <t>Prime letture (6-8)</t>
        </is>
      </c>
      <c r="B16" s="14" t="inlineStr">
        <is>
          <t>Settenove</t>
        </is>
      </c>
      <c r="C16" s="14" t="inlineStr">
        <is>
          <t>Io sono Adila. Storia illustrata di Malala Yousafzai</t>
        </is>
      </c>
      <c r="D16" s="14" t="inlineStr">
        <is>
          <t>F. Degl’Innocenti; ill. A. Forlati</t>
        </is>
      </c>
      <c r="E16" s="14" t="inlineStr">
        <is>
          <t>da 6 anni</t>
        </is>
      </c>
      <c r="F16" s="16" t="n">
        <v>17</v>
      </c>
      <c r="G16" s="14" t="inlineStr">
        <is>
          <t>9788898947058</t>
        </is>
      </c>
      <c r="H16" s="14" t="inlineStr"/>
      <c r="I16" s="14" t="inlineStr">
        <is>
          <t>Sì</t>
        </is>
      </c>
      <c r="J16" s="14" t="inlineStr">
        <is>
          <t>Albi illustrati / Narrativa / Educazione al genere</t>
        </is>
      </c>
      <c r="K16" s="14" t="inlineStr">
        <is>
          <t>Diritto all’istruzione</t>
        </is>
      </c>
      <c r="L16" s="14" t="inlineStr">
        <is>
          <t>Adila è una bambina pakistana che ama la scuola ma rischia di dover interrompere gli studi per la difficile situazione del suo paese: troverà il coraggio grazie all’esempio di Malala Yousafzai, che l’ha preceduta. Attraverso questa cornice narrativa il libro racconta la storia di Malala, Premio Nobel per la pace 2014, dal blog della Bbc all’attentato dei talebani fino al Nobel e alla sua fondazione. Patrocinato da Amnesty International. 32 pagine, da 6 anni.</t>
        </is>
      </c>
      <c r="M16" s="14" t="inlineStr">
        <is>
          <t>https://www.ibs.it/x/e/9788898947058</t>
        </is>
      </c>
    </row>
    <row r="17">
      <c r="A17" s="14" t="inlineStr">
        <is>
          <t>Prime letture (6-8)</t>
        </is>
      </c>
      <c r="B17" s="14" t="inlineStr">
        <is>
          <t>Settenove</t>
        </is>
      </c>
      <c r="C17" s="14" t="inlineStr">
        <is>
          <t>June e Lea</t>
        </is>
      </c>
      <c r="D17" s="14" t="inlineStr">
        <is>
          <t>Sandrine Bonini; ill. Sandra Desmazières</t>
        </is>
      </c>
      <c r="E17" s="14" t="inlineStr">
        <is>
          <t>da 6 anni</t>
        </is>
      </c>
      <c r="F17" s="16" t="n">
        <v>19</v>
      </c>
      <c r="G17" s="14" t="inlineStr">
        <is>
          <t>9788890860539</t>
        </is>
      </c>
      <c r="H17" s="14" t="inlineStr"/>
      <c r="I17" s="14" t="inlineStr">
        <is>
          <t>Sì</t>
        </is>
      </c>
      <c r="J17" s="14" t="inlineStr">
        <is>
          <t>Albi illustrati / Narrativa / Educazione al genere</t>
        </is>
      </c>
      <c r="K17" s="14" t="inlineStr">
        <is>
          <t>Stereotipi di genere / passaggio all’adolescenza</t>
        </is>
      </c>
      <c r="L17" s="14" t="inlineStr">
        <is>
          <t>Per tutti June e Lea, un anno di differenza, sono “le Gemelle”. Ma l’ingresso di June in una nuova scuola mette in subbuglio abitudini e progetti: il passaggio dall’infanzia all’adolescenza e il distacco portano due personalità distinte, con sogni di ogni tipo (veterinarie, esploratrici, trapeziste…). Cartonato, 48 pagine, da 6 anni.</t>
        </is>
      </c>
      <c r="M17" s="14" t="inlineStr">
        <is>
          <t>https://www.ibs.it/x/e/9788890860539</t>
        </is>
      </c>
    </row>
    <row r="18">
      <c r="A18" s="14" t="inlineStr">
        <is>
          <t>8+</t>
        </is>
      </c>
      <c r="B18" s="14" t="inlineStr">
        <is>
          <t>Settenove</t>
        </is>
      </c>
      <c r="C18" s="14" t="inlineStr">
        <is>
          <t>Il mio super eserciziario femminista</t>
        </is>
      </c>
      <c r="D18" s="14" t="inlineStr">
        <is>
          <t>Claire Cantais</t>
        </is>
      </c>
      <c r="E18" s="14" t="inlineStr">
        <is>
          <t>da 8 anni</t>
        </is>
      </c>
      <c r="F18" s="16" t="n">
        <v>15</v>
      </c>
      <c r="G18" s="14" t="inlineStr">
        <is>
          <t>9788898947416</t>
        </is>
      </c>
      <c r="H18" s="14" t="inlineStr"/>
      <c r="I18" s="14" t="inlineStr">
        <is>
          <t>Sì</t>
        </is>
      </c>
      <c r="J18" s="14" t="inlineStr">
        <is>
          <t>Albi illustrati / Narrativa / Educazione al genere</t>
        </is>
      </c>
      <c r="K18" s="14" t="inlineStr">
        <is>
          <t>Femminismo</t>
        </is>
      </c>
      <c r="L18" s="14" t="inlineStr">
        <is>
          <t>Un libro di 56 pagine pieno di attività, idee e stimoli per bambine e bambini: colorare, ritagliare, risolvere problemi di logica e giocare con scrittrici e scrittori famosi, da Simone de Beauvoir ad Angela Davis, con informazioni sui diritti civili e sull’uguaglianza di diritti tra donne e uomini. Perché il sessismo non si combatte solo da grandi. Con materiali didattici scaricabili. Da 8 anni.</t>
        </is>
      </c>
      <c r="M18" s="14" t="inlineStr">
        <is>
          <t>https://www.ibs.it/x/e/9788898947416</t>
        </is>
      </c>
    </row>
    <row r="19">
      <c r="A19" s="14" t="inlineStr">
        <is>
          <t>10+</t>
        </is>
      </c>
      <c r="B19" s="14" t="inlineStr">
        <is>
          <t>Settenove</t>
        </is>
      </c>
      <c r="C19" s="14" t="inlineStr">
        <is>
          <t>Il mondo ha bisogno delle ragazze (di me)</t>
        </is>
      </c>
      <c r="D19" s="14" t="inlineStr">
        <is>
          <t>Alessandra Spada</t>
        </is>
      </c>
      <c r="E19" s="14" t="inlineStr">
        <is>
          <t>da 10 anni</t>
        </is>
      </c>
      <c r="F19" s="16" t="n">
        <v>14.9</v>
      </c>
      <c r="G19" s="14" t="inlineStr">
        <is>
          <t>9788898947447</t>
        </is>
      </c>
      <c r="H19" s="14" t="inlineStr"/>
      <c r="I19" s="14" t="inlineStr">
        <is>
          <t>Sì</t>
        </is>
      </c>
      <c r="J19" s="14" t="inlineStr">
        <is>
          <t>Albi illustrati / Narrativa / Educazione al genere</t>
        </is>
      </c>
      <c r="K19" s="14" t="inlineStr">
        <is>
          <t>Parità di genere</t>
        </is>
      </c>
      <c r="L19" s="14" t="inlineStr">
        <is>
          <t>Un diario, una raccolta di racconti e un quaderno di attività insieme: pagine per scrivere e disegnare, esperienze per capire il corpo che cambia, le emozioni che travolgono, le relazioni con sé stesse e con il mondo, e alcune storie di donne e ragazze. Ogni capitolo ha un tema e si può leggere in ordine sparso. Un invito a fare rete e a costruire alleanze. 128 pagine, da 10 anni.</t>
        </is>
      </c>
      <c r="M19" s="14" t="inlineStr">
        <is>
          <t>https://www.ibs.it/x/e/9788898947447</t>
        </is>
      </c>
    </row>
    <row r="20">
      <c r="A20" s="14" t="inlineStr">
        <is>
          <t>10+</t>
        </is>
      </c>
      <c r="B20" s="14" t="inlineStr">
        <is>
          <t>Settenove</t>
        </is>
      </c>
      <c r="C20" s="14" t="inlineStr">
        <is>
          <t>Il primo voto di Matilde</t>
        </is>
      </c>
      <c r="D20" s="14" t="inlineStr">
        <is>
          <t>F. Degl’Innocenti; ill. G. Marchegiani</t>
        </is>
      </c>
      <c r="E20" s="14" t="inlineStr">
        <is>
          <t>da 10 anni</t>
        </is>
      </c>
      <c r="F20" s="16" t="n">
        <v>15</v>
      </c>
      <c r="G20" s="14" t="inlineStr">
        <is>
          <t>9788898947690</t>
        </is>
      </c>
      <c r="H20" s="14" t="inlineStr"/>
      <c r="I20" s="14" t="inlineStr">
        <is>
          <t>Sì</t>
        </is>
      </c>
      <c r="J20" s="14" t="inlineStr">
        <is>
          <t>Albi illustrati / Narrativa / Educazione al genere</t>
        </is>
      </c>
      <c r="K20" s="14" t="inlineStr">
        <is>
          <t>Diritto di voto delle donne</t>
        </is>
      </c>
      <c r="L20" s="14" t="inlineStr">
        <is>
          <t>Campagna toscana, 1945: la guerra è appena finita e Matilde, vent’anni, vuole imparare, capire e discutere di politica, di voto universale e di libertà delle donne. Nel 1946 le donne votano per la prima volta, ma Matilde, non ancora maggiorenne, può solo gioire e attendere: servirà qualche mese per poter finalmente votare al referendum monarchia-repubblica del 2 giugno. Narrativa storica illustrata, 88 pagine, da 10 anni.</t>
        </is>
      </c>
      <c r="M20" s="14" t="inlineStr">
        <is>
          <t>https://www.ibs.it/x/e/9788898947690</t>
        </is>
      </c>
    </row>
    <row r="21">
      <c r="A21" s="14" t="inlineStr">
        <is>
          <t>10+</t>
        </is>
      </c>
      <c r="B21" s="14" t="inlineStr">
        <is>
          <t>Settenove</t>
        </is>
      </c>
      <c r="C21" s="14" t="inlineStr">
        <is>
          <t>Period Girl</t>
        </is>
      </c>
      <c r="D21" s="14" t="inlineStr">
        <is>
          <t>Giorgia Vezzoli</t>
        </is>
      </c>
      <c r="E21" s="14" t="inlineStr">
        <is>
          <t>da 10 anni</t>
        </is>
      </c>
      <c r="F21" s="16" t="n">
        <v>15.5</v>
      </c>
      <c r="G21" s="14" t="inlineStr">
        <is>
          <t>9788898947591</t>
        </is>
      </c>
      <c r="H21" s="14" t="inlineStr"/>
      <c r="I21" s="14" t="inlineStr">
        <is>
          <t>Sì</t>
        </is>
      </c>
      <c r="J21" s="14" t="inlineStr">
        <is>
          <t>Albi illustrati / Narrativa / Educazione al genere</t>
        </is>
      </c>
      <c r="K21" s="14" t="inlineStr">
        <is>
          <t>Ciclo mestruale / corpo</t>
        </is>
      </c>
      <c r="L21" s="14" t="inlineStr">
        <is>
          <t>All’arrivo del menarca Robin, 11 anni, scopre che a ogni mestruazione si manifesta in lei un superpotere: a contatto con la terra può far nascere alberi, piante e altri elementi naturali. Così nasce una supereroina che con il suo flusso può salvare il pianeta dalla deforestazione e contrastare i cambiamenti climatici. Il primo romanzo per ragazze e ragazzi in cui le mestruazioni, da tabù, diventano protagoniste. 206 pagine, da 10 anni.</t>
        </is>
      </c>
      <c r="M21" s="14" t="inlineStr">
        <is>
          <t>https://www.ibs.it/x/e/9788898947591</t>
        </is>
      </c>
    </row>
    <row r="22">
      <c r="A22" s="14" t="inlineStr">
        <is>
          <t>Scuola media (11-13)</t>
        </is>
      </c>
      <c r="B22" s="14" t="inlineStr">
        <is>
          <t>Settenove</t>
        </is>
      </c>
      <c r="C22" s="14" t="inlineStr">
        <is>
          <t>Come un fiume. Una storia chiamata femminismo</t>
        </is>
      </c>
      <c r="D22" s="14" t="inlineStr">
        <is>
          <t>Emilia Zazza, Anna Arianna Melone</t>
        </is>
      </c>
      <c r="E22" s="14" t="inlineStr">
        <is>
          <t>da 11 anni</t>
        </is>
      </c>
      <c r="F22" s="16" t="n">
        <v>17</v>
      </c>
      <c r="G22" s="14" t="inlineStr">
        <is>
          <t>9791281477117</t>
        </is>
      </c>
      <c r="H22" s="14" t="inlineStr"/>
      <c r="I22" s="14" t="inlineStr">
        <is>
          <t>Sì</t>
        </is>
      </c>
      <c r="J22" s="14" t="inlineStr">
        <is>
          <t>Albi illustrati / Narrativa / Educazione al genere</t>
        </is>
      </c>
      <c r="K22" s="14" t="inlineStr">
        <is>
          <t>Storia del femminismo</t>
        </is>
      </c>
      <c r="L22" s="14" t="inlineStr">
        <is>
          <t>Nora, studentessa di seconda media, riceve un compito per l’8 marzo: una ricerca su una donna che ha cambiato la società. Con la nonna Margherita e i compagni scopre il femminismo come grande storia di conquiste, ingiustizie e battaglie, dalla Rivoluzione francese al movimento iraniano Donna, Vita, Libertà fino alla cultura pop, per i diritti all’istruzione, al lavoro e alla libertà. Premio Bruna Betti 2026. 144 pagine, da 11 anni.</t>
        </is>
      </c>
      <c r="M22" s="14" t="inlineStr">
        <is>
          <t>https://www.ibs.it/x/e/9791281477117</t>
        </is>
      </c>
    </row>
    <row r="23">
      <c r="A23" s="14" t="inlineStr">
        <is>
          <t>Scuola media (11-13)</t>
        </is>
      </c>
      <c r="B23" s="14" t="inlineStr">
        <is>
          <t>Settenove</t>
        </is>
      </c>
      <c r="C23" s="14" t="inlineStr">
        <is>
          <t>Rompi le scatole! Idee e storie per fare a pezzi stereotipi e pregiudizi</t>
        </is>
      </c>
      <c r="D23" s="14" t="inlineStr">
        <is>
          <t>Pina Caporaso</t>
        </is>
      </c>
      <c r="E23" s="14" t="inlineStr">
        <is>
          <t>da 11 anni</t>
        </is>
      </c>
      <c r="F23" s="16" t="n">
        <v>17</v>
      </c>
      <c r="G23" s="14" t="inlineStr">
        <is>
          <t>9791281477124</t>
        </is>
      </c>
      <c r="H23" s="14" t="inlineStr"/>
      <c r="I23" s="14" t="inlineStr">
        <is>
          <t>Sì</t>
        </is>
      </c>
      <c r="J23" s="14" t="inlineStr">
        <is>
          <t>Albi illustrati / Narrativa / Educazione al genere</t>
        </is>
      </c>
      <c r="K23" s="14" t="inlineStr">
        <is>
          <t>Stereotipi e pregiudizi</t>
        </is>
      </c>
      <c r="L23" s="14" t="inlineStr">
        <is>
          <t>Come funzionano stereotipi e pregiudizi? Che effetti hanno sulla vita delle persone? Come possiamo decostruirli e cambiare il nostro modo di pensare? Il libro li affronta in vari ambiti: corpo, genere, educazione, immigrazione, religioni, identità, scelte sessuali, età, nuove tecnologie. Per cambiare idee, azioni e sistemi che producono discriminazioni non basta cambiare modo di pensare né fornire dati: serve incontrare persone che raccontino una storia fuori dagli schemi in cui la società le rappresenta. Da 11 anni.</t>
        </is>
      </c>
      <c r="M23" s="14" t="inlineStr">
        <is>
          <t>https://www.ibs.it/x/e/9791281477124</t>
        </is>
      </c>
    </row>
    <row r="24">
      <c r="A24" s="14" t="inlineStr">
        <is>
          <t>Adolescenza (14+)</t>
        </is>
      </c>
      <c r="B24" s="14" t="inlineStr">
        <is>
          <t>Settenove</t>
        </is>
      </c>
      <c r="C24" s="14" t="inlineStr">
        <is>
          <t>E io qui, nuda</t>
        </is>
      </c>
      <c r="D24" s="14" t="inlineStr">
        <is>
          <t>Cristina Obber</t>
        </is>
      </c>
      <c r="E24" s="14" t="inlineStr">
        <is>
          <t>14+</t>
        </is>
      </c>
      <c r="F24" s="16" t="n">
        <v>16.5</v>
      </c>
      <c r="G24" s="14" t="inlineStr">
        <is>
          <t>9788898947683</t>
        </is>
      </c>
      <c r="H24" s="14" t="inlineStr"/>
      <c r="I24" s="14" t="inlineStr">
        <is>
          <t>Sì</t>
        </is>
      </c>
      <c r="J24" s="14" t="inlineStr">
        <is>
          <t>Albi illustrati / Narrativa / Educazione al genere</t>
        </is>
      </c>
      <c r="K24" s="14" t="inlineStr">
        <is>
          <t>Violenza e consenso</t>
        </is>
      </c>
      <c r="L24" s="14" t="inlineStr">
        <is>
          <t>Stella è una ragazza ribelle e anticonformista, ascolta solo musica punk, si sente indistruttibile e non sorride mai. Non vuole un ragazzo fisso e l’incontro con Jacopo la trova resistente, ma l’amore vince. Quando sembra lasciarsi travolgere dalla felicità, una malattia rischia di farla precipitare nel buio: vuole stare sola, ma accanto a lei ci sono una nonna amorevole, Jacopo, l’amica del cuore Carolina e il gruppo di amici. Una storia di amore e di amicizia, di trasformazione, riconoscimento e libertà. 14+.</t>
        </is>
      </c>
      <c r="M24" s="14" t="inlineStr">
        <is>
          <t>https://www.ibs.it/x/e/9788898947683</t>
        </is>
      </c>
    </row>
    <row r="25">
      <c r="A25" s="14" t="inlineStr">
        <is>
          <t>Prime letture (6-8)</t>
        </is>
      </c>
      <c r="B25" s="14" t="inlineStr">
        <is>
          <t>Settenove</t>
        </is>
      </c>
      <c r="C25" s="14" t="inlineStr">
        <is>
          <t>La nudità che male fa?</t>
        </is>
      </c>
      <c r="D25" s="14" t="inlineStr">
        <is>
          <t>Rosie Haine</t>
        </is>
      </c>
      <c r="E25" s="14" t="inlineStr">
        <is>
          <t>da 6 anni</t>
        </is>
      </c>
      <c r="F25" s="16" t="n">
        <v>18</v>
      </c>
      <c r="G25" s="14" t="inlineStr">
        <is>
          <t>9788898947621</t>
        </is>
      </c>
      <c r="H25" s="14" t="inlineStr"/>
      <c r="I25" s="14" t="inlineStr">
        <is>
          <t>Sì</t>
        </is>
      </c>
      <c r="J25" s="14" t="inlineStr">
        <is>
          <t>Albi illustrati / Narrativa / Educazione al genere</t>
        </is>
      </c>
      <c r="K25" s="14" t="inlineStr">
        <is>
          <t>Corpo e nudità</t>
        </is>
      </c>
      <c r="L25" s="14" t="inlineStr">
        <is>
          <t>Un albo gioioso e giocoso che, con una galleria di acquerelli carichi di espressività, mostra la varietà dei corpi umani e le loro trasformazioni nel tempo.</t>
        </is>
      </c>
      <c r="M25" s="14" t="inlineStr">
        <is>
          <t>https://www.ibs.it/x/e/9788898947621</t>
        </is>
      </c>
    </row>
    <row r="26">
      <c r="A26" s="14" t="inlineStr">
        <is>
          <t>Prime letture (6-8)</t>
        </is>
      </c>
      <c r="B26" s="14" t="inlineStr">
        <is>
          <t>Settenove</t>
        </is>
      </c>
      <c r="C26" s="14" t="inlineStr">
        <is>
          <t>La strana storia di Cappuccetto Blu</t>
        </is>
      </c>
      <c r="D26" s="14" t="inlineStr">
        <is>
          <t>Guia Risari; ill. Clémence Pollet</t>
        </is>
      </c>
      <c r="E26" s="14" t="inlineStr">
        <is>
          <t>da 7 anni</t>
        </is>
      </c>
      <c r="F26" s="16" t="n">
        <v>17</v>
      </c>
      <c r="G26" s="14" t="inlineStr">
        <is>
          <t>9788898947492</t>
        </is>
      </c>
      <c r="H26" s="14" t="inlineStr"/>
      <c r="I26" s="14" t="inlineStr">
        <is>
          <t>Sì</t>
        </is>
      </c>
      <c r="J26" s="14" t="inlineStr">
        <is>
          <t>Albi illustrati / Narrativa / Educazione al genere</t>
        </is>
      </c>
      <c r="K26" s="14" t="inlineStr">
        <is>
          <t>Stereotipi nelle fiabe</t>
        </is>
      </c>
      <c r="L26" s="14" t="inlineStr">
        <is>
          <t>Riscrittura contemporanea di Cappuccetto Rosso in cui la bambina e il lupo, con il loro carico simbolico, sono completamente rielaborati: al centro non c’è la paura ma la dimensione dell’incontro.</t>
        </is>
      </c>
      <c r="M26" s="14" t="inlineStr">
        <is>
          <t>https://www.ibs.it/x/e/9788898947492</t>
        </is>
      </c>
    </row>
    <row r="27">
      <c r="A27" s="14" t="inlineStr">
        <is>
          <t>3-6 anni</t>
        </is>
      </c>
      <c r="B27" s="14" t="inlineStr">
        <is>
          <t>Settenove</t>
        </is>
      </c>
      <c r="C27" s="14" t="inlineStr">
        <is>
          <t>Papà aspetta un bimbo!</t>
        </is>
      </c>
      <c r="D27" s="14" t="inlineStr">
        <is>
          <t>F. Loew; ill. S.-Y. Barroux</t>
        </is>
      </c>
      <c r="E27" s="14" t="inlineStr">
        <is>
          <t>da 4 anni</t>
        </is>
      </c>
      <c r="F27" s="16" t="n">
        <v>16</v>
      </c>
      <c r="G27" s="14" t="inlineStr">
        <is>
          <t>9788890860515</t>
        </is>
      </c>
      <c r="H27" s="14" t="inlineStr"/>
      <c r="I27" s="14" t="inlineStr">
        <is>
          <t>Sì</t>
        </is>
      </c>
      <c r="J27" s="14" t="inlineStr">
        <is>
          <t>Albi illustrati / Narrativa / Educazione al genere</t>
        </is>
      </c>
      <c r="K27" s="14" t="inlineStr">
        <is>
          <t>Ruoli familiari e genitorialità</t>
        </is>
      </c>
      <c r="L27" s="14" t="inlineStr">
        <is>
          <t>Dai primi mesi alla nascita entriamo nei pensieri di un papà: la camera da preparare, le visite, la scuola per nuovi papà, le insicurezze e i sogni. Un albo che mette in luce la figura paterna lontano dagli stereotipi sui ruoli familiari. Cartonato, 56 pagine.</t>
        </is>
      </c>
      <c r="M27" s="14" t="inlineStr">
        <is>
          <t>https://www.ibs.it/x/e/9788890860515</t>
        </is>
      </c>
    </row>
    <row r="28">
      <c r="A28" s="14" t="inlineStr">
        <is>
          <t>3-6 anni</t>
        </is>
      </c>
      <c r="B28" s="14" t="inlineStr">
        <is>
          <t>Settenove</t>
        </is>
      </c>
      <c r="C28" s="14" t="inlineStr">
        <is>
          <t>Selvaggia</t>
        </is>
      </c>
      <c r="D28" s="14" t="inlineStr">
        <is>
          <t>Emily Hughes</t>
        </is>
      </c>
      <c r="E28" s="14" t="inlineStr">
        <is>
          <t>da 4 anni</t>
        </is>
      </c>
      <c r="F28" s="16" t="n">
        <v>17</v>
      </c>
      <c r="G28" s="14" t="inlineStr">
        <is>
          <t>9788898947102</t>
        </is>
      </c>
      <c r="H28" s="14" t="inlineStr"/>
      <c r="I28" s="14" t="inlineStr">
        <is>
          <t>Sì</t>
        </is>
      </c>
      <c r="J28" s="14" t="inlineStr">
        <is>
          <t>Albi illustrati / Narrativa / Educazione al genere</t>
        </is>
      </c>
      <c r="K28" s="14" t="inlineStr">
        <is>
          <t>Libertà e identità</t>
        </is>
      </c>
      <c r="L28" s="14" t="inlineStr">
        <is>
          <t>Cresciuta nella foresta, dove gli orsi le hanno insegnato a mangiare, gli uccelli a parlare, le volpi a giocare, Selvaggia è sfacciatamente selvaggia, finché incontra uno strano animale che vive in cubi di cemento e non sa giocare: la “civiltà” sarà abbastanza a suo agio con lei? Cartonato, 40 pagine, da 4 anni.</t>
        </is>
      </c>
      <c r="M28" s="14" t="inlineStr">
        <is>
          <t>https://www.ibs.it/x/e/9788898947102</t>
        </is>
      </c>
    </row>
    <row r="29">
      <c r="A29" s="14" t="inlineStr">
        <is>
          <t>Prime letture (6-8)</t>
        </is>
      </c>
      <c r="B29" s="14" t="inlineStr">
        <is>
          <t>Settenove</t>
        </is>
      </c>
      <c r="C29" s="14" t="inlineStr">
        <is>
          <t>Storia di Giulia che aveva un’ombra da bambino</t>
        </is>
      </c>
      <c r="D29" s="14" t="inlineStr">
        <is>
          <t>C. Bruel; ill. A. Bozellec</t>
        </is>
      </c>
      <c r="E29" s="14" t="inlineStr">
        <is>
          <t>da 7 anni</t>
        </is>
      </c>
      <c r="F29" s="16" t="n">
        <v>17</v>
      </c>
      <c r="G29" s="14" t="inlineStr">
        <is>
          <t>9788898947096</t>
        </is>
      </c>
      <c r="H29" s="14" t="inlineStr"/>
      <c r="I29" s="14" t="inlineStr">
        <is>
          <t>Sì</t>
        </is>
      </c>
      <c r="J29" s="14" t="inlineStr">
        <is>
          <t>Albi illustrati / Narrativa / Educazione al genere</t>
        </is>
      </c>
      <c r="K29" s="14" t="inlineStr">
        <is>
          <t>Identità di genere</t>
        </is>
      </c>
      <c r="L29" s="14" t="inlineStr">
        <is>
          <t>Giulia è vivace e poco aggraziata e i genitori la rimproverano di essere un “maschio mancato”. Un mattino si sveglia con un’ombra da bambino attaccata ai piedi, che la segue e fa il contrario di quello che fa lei. Incontrando un bambino nella sua stessa condizione capisce che entrambi hanno il diritto di essere ciò che sono, senza etichette. Riedizione di un album francese del 1975 sul tema dell’identità di genere. Cartonato, 46 pagine.</t>
        </is>
      </c>
      <c r="M29" s="14" t="inlineStr">
        <is>
          <t>https://www.ibs.it/x/e/9788898947096</t>
        </is>
      </c>
    </row>
    <row r="30">
      <c r="A30" s="14" t="inlineStr">
        <is>
          <t>0-3 anni</t>
        </is>
      </c>
      <c r="B30" s="14" t="inlineStr">
        <is>
          <t>Uovonero</t>
        </is>
      </c>
      <c r="C30" s="14" t="inlineStr">
        <is>
          <t>Biancaneve</t>
        </is>
      </c>
      <c r="D30" s="14" t="inlineStr">
        <is>
          <t>a cura di E. Crivelli; ill. T. D’Incalci</t>
        </is>
      </c>
      <c r="E30" s="14" t="inlineStr">
        <is>
          <t>0/3, 3/6</t>
        </is>
      </c>
      <c r="F30" s="16" t="n">
        <v>19</v>
      </c>
      <c r="G30" s="14" t="inlineStr">
        <is>
          <t>9788896918739</t>
        </is>
      </c>
      <c r="H30" s="14" t="inlineStr">
        <is>
          <t>Sì</t>
        </is>
      </c>
      <c r="I30" s="14" t="inlineStr">
        <is>
          <t>Sì</t>
        </is>
      </c>
      <c r="J30" s="14" t="inlineStr">
        <is>
          <t>Pesci parlanti</t>
        </is>
      </c>
      <c r="K30" s="14" t="inlineStr"/>
      <c r="L30" s="14" t="inlineStr">
        <is>
          <t>Biancaneve fugge dalla regina invidiosa e trova rifugio dai sette nani. Edizione con simboli PCS e formato sfogliafacile® (pagine sagomate, facili da sfogliare): per chi ha difficoltà di lettura o di motricità fine e per chi non parla italiano come prima lingua. Disponibile anche nel formato Pesciolini a € 12,90.</t>
        </is>
      </c>
      <c r="M30" s="14" t="inlineStr">
        <is>
          <t>https://www.ibs.it/x/e/9788896918739</t>
        </is>
      </c>
    </row>
    <row r="31">
      <c r="A31" s="14" t="inlineStr">
        <is>
          <t>0-3 anni</t>
        </is>
      </c>
      <c r="B31" s="14" t="inlineStr">
        <is>
          <t>Uovonero</t>
        </is>
      </c>
      <c r="C31" s="14" t="inlineStr">
        <is>
          <t>Che rabbia!</t>
        </is>
      </c>
      <c r="D31" s="14" t="inlineStr">
        <is>
          <t>Mireille D’Allancé</t>
        </is>
      </c>
      <c r="E31" s="14" t="inlineStr">
        <is>
          <t>0/3, 3/6</t>
        </is>
      </c>
      <c r="F31" s="16" t="n">
        <v>12</v>
      </c>
      <c r="G31" s="14" t="inlineStr">
        <is>
          <t>9788896918449</t>
        </is>
      </c>
      <c r="H31" s="14" t="inlineStr">
        <is>
          <t>Sì</t>
        </is>
      </c>
      <c r="I31" s="14" t="inlineStr">
        <is>
          <t>Sì</t>
        </is>
      </c>
      <c r="J31" s="14" t="inlineStr">
        <is>
          <t>I libri di Camilla</t>
        </is>
      </c>
      <c r="K31" s="14" t="inlineStr">
        <is>
          <t>Emozioni (rabbia)</t>
        </is>
      </c>
      <c r="L31" s="14" t="inlineStr">
        <is>
          <t>Roberto è furioso e la sua rabbia diventa una “Cosa rossa” che scaraventa in giro libri e giocattoli. Quando si calma, la Cosa diventa piccola e può essere chiusa in una scatola. Utile per parlare di rabbia già dai 2 anni. Identico all’albo originale per formato e prezzo, ma con testo ad alta leggibilità e simboli WLS (CAA).</t>
        </is>
      </c>
      <c r="M31" s="14" t="inlineStr">
        <is>
          <t>https://www.ibs.it/x/e/9788896918449</t>
        </is>
      </c>
    </row>
    <row r="32">
      <c r="A32" s="14" t="inlineStr">
        <is>
          <t>0-3 anni</t>
        </is>
      </c>
      <c r="B32" s="14" t="inlineStr">
        <is>
          <t>Uovonero</t>
        </is>
      </c>
      <c r="C32" s="14" t="inlineStr">
        <is>
          <t>Domino gli aggettivi con i simboli</t>
        </is>
      </c>
      <c r="D32" s="14" t="inlineStr">
        <is>
          <t>E. Crivelli; ill. A. Manca</t>
        </is>
      </c>
      <c r="E32" s="14" t="inlineStr">
        <is>
          <t>0/3, 3/6</t>
        </is>
      </c>
      <c r="F32" s="16" t="n">
        <v>20</v>
      </c>
      <c r="G32" s="14" t="inlineStr">
        <is>
          <t>9791280104281</t>
        </is>
      </c>
      <c r="H32" s="14" t="inlineStr">
        <is>
          <t>Sì</t>
        </is>
      </c>
      <c r="I32" s="14" t="inlineStr">
        <is>
          <t>Sì</t>
        </is>
      </c>
      <c r="J32" s="14" t="inlineStr">
        <is>
          <t>Altrimenti (giochi)</t>
        </is>
      </c>
      <c r="K32" s="14" t="inlineStr"/>
      <c r="L32" s="14" t="inlineStr">
        <is>
          <t>Secondo domino della serie: simboli PCS e immagini in plastilina per imparare gli aggettivi più comuni (64 pagine, 28 tessere). Da 1 o più giocatori dai 3 anni.</t>
        </is>
      </c>
      <c r="M32" s="14" t="inlineStr">
        <is>
          <t>https://www.ibs.it/x/e/9791280104281</t>
        </is>
      </c>
    </row>
    <row r="33">
      <c r="A33" s="14" t="inlineStr">
        <is>
          <t>0-3 anni</t>
        </is>
      </c>
      <c r="B33" s="14" t="inlineStr">
        <is>
          <t>Uovonero</t>
        </is>
      </c>
      <c r="C33" s="14" t="inlineStr">
        <is>
          <t>Domino i verbi con i simboli</t>
        </is>
      </c>
      <c r="D33" s="14" t="inlineStr">
        <is>
          <t>E. Crivelli; ill. A. Manca</t>
        </is>
      </c>
      <c r="E33" s="14" t="inlineStr">
        <is>
          <t>0/3, 3/6</t>
        </is>
      </c>
      <c r="F33" s="16" t="n">
        <v>20</v>
      </c>
      <c r="G33" s="14" t="inlineStr">
        <is>
          <t>9788896918050</t>
        </is>
      </c>
      <c r="H33" s="14" t="inlineStr">
        <is>
          <t>Sì</t>
        </is>
      </c>
      <c r="I33" s="14" t="inlineStr">
        <is>
          <t>Sì</t>
        </is>
      </c>
      <c r="J33" s="14" t="inlineStr">
        <is>
          <t>Altrimenti (giochi)</t>
        </is>
      </c>
      <c r="K33" s="14" t="inlineStr"/>
      <c r="L33" s="14" t="inlineStr">
        <is>
          <t>Gioco di associazione con simboli PCS e illustrazioni in plastilina, più un albo con azioni quotidiane (64 pagine, 28 tessere). Per imparare i verbi giocando, da 1 o più giocatori dai 3 anni.</t>
        </is>
      </c>
      <c r="M33" s="14" t="inlineStr">
        <is>
          <t>https://www.ibs.it/x/e/9788896918050</t>
        </is>
      </c>
    </row>
    <row r="34">
      <c r="A34" s="14" t="inlineStr">
        <is>
          <t>0-3 anni</t>
        </is>
      </c>
      <c r="B34" s="14" t="inlineStr">
        <is>
          <t>Uovonero</t>
        </is>
      </c>
      <c r="C34" s="14" t="inlineStr">
        <is>
          <t>I musicanti di Brema</t>
        </is>
      </c>
      <c r="D34" s="14" t="inlineStr">
        <is>
          <t>a cura di E. Crivelli; ill. A. Manca</t>
        </is>
      </c>
      <c r="E34" s="14" t="inlineStr">
        <is>
          <t>0/3, 3/6</t>
        </is>
      </c>
      <c r="F34" s="16" t="n">
        <v>19</v>
      </c>
      <c r="G34" s="14" t="inlineStr">
        <is>
          <t>9791280104663</t>
        </is>
      </c>
      <c r="H34" s="14" t="inlineStr">
        <is>
          <t>Sì</t>
        </is>
      </c>
      <c r="I34" s="14" t="inlineStr">
        <is>
          <t>Sì</t>
        </is>
      </c>
      <c r="J34" s="14" t="inlineStr">
        <is>
          <t>Pesci parlanti</t>
        </is>
      </c>
      <c r="K34" s="14" t="inlineStr">
        <is>
          <t>Cooperazione</t>
        </is>
      </c>
      <c r="L34" s="14" t="inlineStr">
        <is>
          <t>Quattro animali ormai anziani scoprono che insieme possono ricominciare: l’unione fa la forza. Edizione con simboli PCS e formato sfogliafacile® (pagine sagomate, facili da sfogliare): per chi ha difficoltà di lettura o di motricità fine e per chi non parla italiano come prima lingua.</t>
        </is>
      </c>
      <c r="M34" s="14" t="inlineStr">
        <is>
          <t>https://www.ibs.it/x/e/9791280104663</t>
        </is>
      </c>
    </row>
    <row r="35">
      <c r="A35" s="14" t="inlineStr">
        <is>
          <t>0-3 anni</t>
        </is>
      </c>
      <c r="B35" s="14" t="inlineStr">
        <is>
          <t>Uovonero</t>
        </is>
      </c>
      <c r="C35" s="14" t="inlineStr">
        <is>
          <t>Il brutto anatroccolo</t>
        </is>
      </c>
      <c r="D35" s="14" t="inlineStr">
        <is>
          <t>a cura di E. Crivelli; ill. A. Papini</t>
        </is>
      </c>
      <c r="E35" s="14" t="inlineStr">
        <is>
          <t>0/3, 3/6</t>
        </is>
      </c>
      <c r="F35" s="16" t="n">
        <v>19</v>
      </c>
      <c r="G35" s="14" t="inlineStr">
        <is>
          <t>9788896918562</t>
        </is>
      </c>
      <c r="H35" s="14" t="inlineStr">
        <is>
          <t>Sì</t>
        </is>
      </c>
      <c r="I35" s="14" t="inlineStr">
        <is>
          <t>Sì</t>
        </is>
      </c>
      <c r="J35" s="14" t="inlineStr">
        <is>
          <t>Pesci parlanti</t>
        </is>
      </c>
      <c r="K35" s="14" t="inlineStr"/>
      <c r="L35" s="14" t="inlineStr">
        <is>
          <t>La fiaba di Andersen: un anatroccolo rifiutato da tutti per il suo aspetto scopre di essere un cigno. Edizione con simboli PCS e formato sfogliafacile® (pagine sagomate, facili da sfogliare): per chi ha difficoltà di lettura o di motricità fine e per chi non parla italiano come prima lingua. Disponibile anche nel formato Pesciolini a € 12,90.</t>
        </is>
      </c>
      <c r="M35" s="14" t="inlineStr">
        <is>
          <t>https://www.ibs.it/x/e/9788896918562</t>
        </is>
      </c>
    </row>
    <row r="36">
      <c r="A36" s="14" t="inlineStr">
        <is>
          <t>0-3 anni</t>
        </is>
      </c>
      <c r="B36" s="14" t="inlineStr">
        <is>
          <t>Uovonero</t>
        </is>
      </c>
      <c r="C36" s="14" t="inlineStr">
        <is>
          <t>Il gatto con gli stivali</t>
        </is>
      </c>
      <c r="D36" s="14" t="inlineStr">
        <is>
          <t>a cura di E. Crivelli; ill. R. Angeletti</t>
        </is>
      </c>
      <c r="E36" s="14" t="inlineStr">
        <is>
          <t>0/3, 3/6</t>
        </is>
      </c>
      <c r="F36" s="16" t="n">
        <v>19</v>
      </c>
      <c r="G36" s="14" t="inlineStr">
        <is>
          <t>9791280104502</t>
        </is>
      </c>
      <c r="H36" s="14" t="inlineStr">
        <is>
          <t>Sì</t>
        </is>
      </c>
      <c r="I36" s="14" t="inlineStr">
        <is>
          <t>Sì</t>
        </is>
      </c>
      <c r="J36" s="14" t="inlineStr">
        <is>
          <t>Pesci parlanti</t>
        </is>
      </c>
      <c r="K36" s="14" t="inlineStr"/>
      <c r="L36" s="14" t="inlineStr">
        <is>
          <t>Un gatto astuto fa la fortuna del più giovane figlio di un mugnaio. Edizione con simboli PCS e formato sfogliafacile® (pagine sagomate, facili da sfogliare): per chi ha difficoltà di lettura o di motricità fine e per chi non parla italiano come prima lingua. Disponibile anche nel formato Pesciolini a € 12,90.</t>
        </is>
      </c>
      <c r="M36" s="14" t="inlineStr">
        <is>
          <t>https://www.ibs.it/x/e/9791280104502</t>
        </is>
      </c>
    </row>
    <row r="37">
      <c r="A37" s="14" t="inlineStr">
        <is>
          <t>0-3 anni</t>
        </is>
      </c>
      <c r="B37" s="14" t="inlineStr">
        <is>
          <t>Uovonero</t>
        </is>
      </c>
      <c r="C37" s="14" t="inlineStr">
        <is>
          <t>Il lupo e i sette capretti</t>
        </is>
      </c>
      <c r="D37" s="14" t="inlineStr">
        <is>
          <t>a cura di E. Crivelli; ill. A. Alemanno</t>
        </is>
      </c>
      <c r="E37" s="14" t="inlineStr">
        <is>
          <t>0/3, 3/6</t>
        </is>
      </c>
      <c r="F37" s="16" t="n">
        <v>19</v>
      </c>
      <c r="G37" s="14" t="inlineStr">
        <is>
          <t>9788896918234</t>
        </is>
      </c>
      <c r="H37" s="14" t="inlineStr">
        <is>
          <t>Sì</t>
        </is>
      </c>
      <c r="I37" s="14" t="inlineStr">
        <is>
          <t>Sì</t>
        </is>
      </c>
      <c r="J37" s="14" t="inlineStr">
        <is>
          <t>Pesci parlanti</t>
        </is>
      </c>
      <c r="K37" s="14" t="inlineStr"/>
      <c r="L37" s="14" t="inlineStr">
        <is>
          <t>Sette capretti rimasti soli in casa devono farsi furbi per non farsi ingannare dal lupo. Edizione con simboli PCS e formato sfogliafacile® (pagine sagomate, facili da sfogliare): per chi ha difficoltà di lettura o di motricità fine e per chi non parla italiano come prima lingua. Disponibile anche nel formato Pesciolini a € 12,90.</t>
        </is>
      </c>
      <c r="M37" s="14" t="inlineStr">
        <is>
          <t>https://www.ibs.it/x/e/9788896918234</t>
        </is>
      </c>
    </row>
    <row r="38">
      <c r="A38" s="14" t="inlineStr">
        <is>
          <t>0-3 anni</t>
        </is>
      </c>
      <c r="B38" s="14" t="inlineStr">
        <is>
          <t>Uovonero</t>
        </is>
      </c>
      <c r="C38" s="14" t="inlineStr">
        <is>
          <t>Il piccolo coniglio bianco</t>
        </is>
      </c>
      <c r="D38" s="14" t="inlineStr">
        <is>
          <t>Xosé Ballesteros; ill. Óscar Villán</t>
        </is>
      </c>
      <c r="E38" s="14" t="inlineStr">
        <is>
          <t>0/3, 3/6</t>
        </is>
      </c>
      <c r="F38" s="16" t="n">
        <v>14</v>
      </c>
      <c r="G38" s="14" t="inlineStr">
        <is>
          <t>9788896918470</t>
        </is>
      </c>
      <c r="H38" s="14" t="inlineStr">
        <is>
          <t>Sì</t>
        </is>
      </c>
      <c r="I38" s="14" t="inlineStr">
        <is>
          <t>Sì</t>
        </is>
      </c>
      <c r="J38" s="14" t="inlineStr">
        <is>
          <t>I libri di Camilla</t>
        </is>
      </c>
      <c r="K38" s="14" t="inlineStr"/>
      <c r="L38" s="14" t="inlineStr">
        <is>
          <t>Un coniglietto bianco e il suo viaggio tra ostacoli e incontri, in un albo tenero per i più piccoli. Identico all’albo originale per formato e prezzo, ma con testo ad alta leggibilità e simboli WLS (CAA).</t>
        </is>
      </c>
      <c r="M38" s="14" t="inlineStr">
        <is>
          <t>https://www.ibs.it/x/e/9788896918470</t>
        </is>
      </c>
    </row>
    <row r="39">
      <c r="A39" s="14" t="inlineStr">
        <is>
          <t>0-3 anni</t>
        </is>
      </c>
      <c r="B39" s="14" t="inlineStr">
        <is>
          <t>Uovonero</t>
        </is>
      </c>
      <c r="C39" s="14" t="inlineStr">
        <is>
          <t>Lei ci sarà sempre</t>
        </is>
      </c>
      <c r="D39" s="14" t="inlineStr">
        <is>
          <t>Thierry Lenain; ill. Manon Gauthier</t>
        </is>
      </c>
      <c r="E39" s="14" t="inlineStr">
        <is>
          <t>0/3, 3/6</t>
        </is>
      </c>
      <c r="F39" s="16" t="n">
        <v>15</v>
      </c>
      <c r="G39" s="14" t="inlineStr">
        <is>
          <t>9788896918654</t>
        </is>
      </c>
      <c r="H39" s="14" t="inlineStr">
        <is>
          <t>Sì</t>
        </is>
      </c>
      <c r="I39" s="14" t="inlineStr">
        <is>
          <t>Sì</t>
        </is>
      </c>
      <c r="J39" s="14" t="inlineStr">
        <is>
          <t>I libri di Camilla</t>
        </is>
      </c>
      <c r="K39" s="14" t="inlineStr"/>
      <c r="L39" s="14" t="inlineStr">
        <is>
          <t>Un albo delicato sul legame con chi ci cresce e ci accompagna, dal gesto di nutrire a quello di cullare il cuore. Identico all’albo originale per formato e prezzo, ma con testo ad alta leggibilità e simboli WLS (CAA).</t>
        </is>
      </c>
      <c r="M39" s="14" t="inlineStr">
        <is>
          <t>https://www.ibs.it/x/e/9788896918654</t>
        </is>
      </c>
    </row>
    <row r="40">
      <c r="A40" s="14" t="inlineStr">
        <is>
          <t>0-3 anni</t>
        </is>
      </c>
      <c r="B40" s="14" t="inlineStr">
        <is>
          <t>Uovonero</t>
        </is>
      </c>
      <c r="C40" s="14" t="inlineStr">
        <is>
          <t>Lindo Porcello</t>
        </is>
      </c>
      <c r="D40" s="14" t="inlineStr">
        <is>
          <t>Eric Battut</t>
        </is>
      </c>
      <c r="E40" s="14" t="inlineStr">
        <is>
          <t>0/3</t>
        </is>
      </c>
      <c r="F40" s="16" t="n">
        <v>12</v>
      </c>
      <c r="G40" s="14" t="inlineStr">
        <is>
          <t>9788896918593</t>
        </is>
      </c>
      <c r="H40" s="14" t="inlineStr">
        <is>
          <t>Sì</t>
        </is>
      </c>
      <c r="I40" s="14" t="inlineStr">
        <is>
          <t>Sì</t>
        </is>
      </c>
      <c r="J40" s="14" t="inlineStr">
        <is>
          <t>I libri di Camilla</t>
        </is>
      </c>
      <c r="K40" s="14" t="inlineStr"/>
      <c r="L40" s="14" t="inlineStr">
        <is>
          <t>Un albo divertente con un maialino protagonista e illustrazioni grandi, pensato per la lettura ad alta voce con i più piccoli. Identico all’albo originale per formato e prezzo, ma con testo ad alta leggibilità e simboli WLS (CAA).</t>
        </is>
      </c>
      <c r="M40" s="14" t="inlineStr">
        <is>
          <t>https://www.ibs.it/x/e/9788896918593</t>
        </is>
      </c>
    </row>
    <row r="41">
      <c r="A41" s="14" t="inlineStr">
        <is>
          <t>0-3 anni</t>
        </is>
      </c>
      <c r="B41" s="14" t="inlineStr">
        <is>
          <t>Uovonero</t>
        </is>
      </c>
      <c r="C41" s="14" t="inlineStr">
        <is>
          <t>Ninna nanna per una pecorella</t>
        </is>
      </c>
      <c r="D41" s="14" t="inlineStr">
        <is>
          <t>E. Bellini, M. Caccia</t>
        </is>
      </c>
      <c r="E41" s="14" t="inlineStr">
        <is>
          <t>0/3, 3/6</t>
        </is>
      </c>
      <c r="F41" s="16" t="n">
        <v>14</v>
      </c>
      <c r="G41" s="14" t="inlineStr">
        <is>
          <t>9788896918586</t>
        </is>
      </c>
      <c r="H41" s="14" t="inlineStr">
        <is>
          <t>Sì</t>
        </is>
      </c>
      <c r="I41" s="14" t="inlineStr">
        <is>
          <t>Sì</t>
        </is>
      </c>
      <c r="J41" s="14" t="inlineStr">
        <is>
          <t>I libri di Camilla</t>
        </is>
      </c>
      <c r="K41" s="14" t="inlineStr"/>
      <c r="L41" s="14" t="inlineStr">
        <is>
          <t>Una ninna nanna illustrata per accompagnare il sonno dei più piccoli. Identico all’albo originale per formato e prezzo, ma con testo ad alta leggibilità e simboli WLS (CAA).</t>
        </is>
      </c>
      <c r="M41" s="14" t="inlineStr">
        <is>
          <t>https://www.ibs.it/x/e/9788896918586</t>
        </is>
      </c>
    </row>
    <row r="42">
      <c r="A42" s="14" t="inlineStr">
        <is>
          <t>0-3 anni</t>
        </is>
      </c>
      <c r="B42" s="14" t="inlineStr">
        <is>
          <t>Uovonero</t>
        </is>
      </c>
      <c r="C42" s="14" t="inlineStr">
        <is>
          <t>Piccolo Uovo</t>
        </is>
      </c>
      <c r="D42" s="14" t="inlineStr">
        <is>
          <t>Francesca Pardi; ill. Altan</t>
        </is>
      </c>
      <c r="E42" s="14" t="inlineStr">
        <is>
          <t>0/3, 3/6</t>
        </is>
      </c>
      <c r="F42" s="16" t="n">
        <v>11.9</v>
      </c>
      <c r="G42" s="14" t="inlineStr">
        <is>
          <t>9788896918524</t>
        </is>
      </c>
      <c r="H42" s="14" t="inlineStr">
        <is>
          <t>Sì</t>
        </is>
      </c>
      <c r="I42" s="14" t="inlineStr">
        <is>
          <t>Sì</t>
        </is>
      </c>
      <c r="J42" s="14" t="inlineStr">
        <is>
          <t>I libri di Camilla</t>
        </is>
      </c>
      <c r="K42" s="14" t="inlineStr">
        <is>
          <t>Famiglie diverse</t>
        </is>
      </c>
      <c r="L42" s="14" t="inlineStr">
        <is>
          <t>Piccolo Uovo non vuole nascere perché non sa dove andrà a finire: parte per un lungo viaggio alla scoperta dei tanti tipi di famiglia che esistono nel mondo. Identico all’albo originale per formato e prezzo, ma con testo ad alta leggibilità e simboli WLS (CAA).</t>
        </is>
      </c>
      <c r="M42" s="14" t="inlineStr">
        <is>
          <t>https://www.ibs.it/x/e/9788896918524</t>
        </is>
      </c>
    </row>
    <row r="43">
      <c r="A43" s="14" t="inlineStr">
        <is>
          <t>0-3 anni</t>
        </is>
      </c>
      <c r="B43" s="14" t="inlineStr">
        <is>
          <t>Uovonero</t>
        </is>
      </c>
      <c r="C43" s="14" t="inlineStr">
        <is>
          <t>Questo posso farlo</t>
        </is>
      </c>
      <c r="D43" s="14" t="inlineStr">
        <is>
          <t>Satoe Tone</t>
        </is>
      </c>
      <c r="E43" s="14" t="inlineStr">
        <is>
          <t>0/3, 3/6</t>
        </is>
      </c>
      <c r="F43" s="16" t="n">
        <v>15</v>
      </c>
      <c r="G43" s="14" t="inlineStr">
        <is>
          <t>9788896918852</t>
        </is>
      </c>
      <c r="H43" s="14" t="inlineStr">
        <is>
          <t>Sì</t>
        </is>
      </c>
      <c r="I43" s="14" t="inlineStr">
        <is>
          <t>Sì</t>
        </is>
      </c>
      <c r="J43" s="14" t="inlineStr">
        <is>
          <t>I libri di Camilla</t>
        </is>
      </c>
      <c r="K43" s="14" t="inlineStr">
        <is>
          <t>Disabilità</t>
        </is>
      </c>
      <c r="L43" s="14" t="inlineStr">
        <is>
          <t>Un albo che celebra ciò che ognuno sa fare, senza giudizi: le abilità, anche diverse, diventano motivo di orgoglio. Identico all’albo originale per formato e prezzo, ma con testo ad alta leggibilità e simboli WLS (CAA).</t>
        </is>
      </c>
      <c r="M43" s="14" t="inlineStr">
        <is>
          <t>https://www.ibs.it/x/e/9788896918852</t>
        </is>
      </c>
    </row>
    <row r="44">
      <c r="A44" s="14" t="inlineStr">
        <is>
          <t>0-3 anni</t>
        </is>
      </c>
      <c r="B44" s="14" t="inlineStr">
        <is>
          <t>Uovonero</t>
        </is>
      </c>
      <c r="C44" s="14" t="inlineStr">
        <is>
          <t>Raperonzolo</t>
        </is>
      </c>
      <c r="D44" s="14" t="inlineStr">
        <is>
          <t>a cura di E. Crivelli; ill. A. Boffa</t>
        </is>
      </c>
      <c r="E44" s="14" t="inlineStr">
        <is>
          <t>0/3, 3/6</t>
        </is>
      </c>
      <c r="F44" s="16" t="n">
        <v>19</v>
      </c>
      <c r="G44" s="14" t="inlineStr">
        <is>
          <t>9788896918715</t>
        </is>
      </c>
      <c r="H44" s="14" t="inlineStr">
        <is>
          <t>Sì</t>
        </is>
      </c>
      <c r="I44" s="14" t="inlineStr">
        <is>
          <t>Sì</t>
        </is>
      </c>
      <c r="J44" s="14" t="inlineStr">
        <is>
          <t>Pesci parlanti</t>
        </is>
      </c>
      <c r="K44" s="14" t="inlineStr"/>
      <c r="L44" s="14" t="inlineStr">
        <is>
          <t>La ragazza dai lunghissimi capelli, chiusa in una torre, trova il modo di essere libera. Edizione con simboli PCS e formato sfogliafacile® (pagine sagomate, facili da sfogliare): per chi ha difficoltà di lettura o di motricità fine e per chi non parla italiano come prima lingua. Disponibile anche nel formato Pesciolini a € 12,90.</t>
        </is>
      </c>
      <c r="M44" s="14" t="inlineStr">
        <is>
          <t>https://www.ibs.it/x/e/9788896918715</t>
        </is>
      </c>
    </row>
    <row r="45">
      <c r="A45" s="14" t="inlineStr">
        <is>
          <t>0-3 anni</t>
        </is>
      </c>
      <c r="B45" s="14" t="inlineStr">
        <is>
          <t>Uovonero</t>
        </is>
      </c>
      <c r="C45" s="14" t="inlineStr">
        <is>
          <t>Una scatola gialla</t>
        </is>
      </c>
      <c r="D45" s="14" t="inlineStr">
        <is>
          <t>Pieter Gaudesaboos</t>
        </is>
      </c>
      <c r="E45" s="14" t="inlineStr">
        <is>
          <t>0/3, 3/6</t>
        </is>
      </c>
      <c r="F45" s="16" t="n">
        <v>11</v>
      </c>
      <c r="G45" s="14" t="inlineStr">
        <is>
          <t>9788896918555</t>
        </is>
      </c>
      <c r="H45" s="14" t="inlineStr">
        <is>
          <t>Sì</t>
        </is>
      </c>
      <c r="I45" s="14" t="inlineStr">
        <is>
          <t>Sì</t>
        </is>
      </c>
      <c r="J45" s="14" t="inlineStr">
        <is>
          <t>I libri di Camilla</t>
        </is>
      </c>
      <c r="K45" s="14" t="inlineStr"/>
      <c r="L45" s="14" t="inlineStr">
        <is>
          <t>Una scatola gialla diventa il punto di partenza per giocare con l’immaginazione. Identico all’albo originale per formato e prezzo, ma con testo ad alta leggibilità e simboli WLS (CAA).</t>
        </is>
      </c>
      <c r="M45" s="14" t="inlineStr">
        <is>
          <t>https://www.ibs.it/x/e/9788896918555</t>
        </is>
      </c>
    </row>
    <row r="46">
      <c r="A46" s="14" t="inlineStr">
        <is>
          <t>3-6 anni</t>
        </is>
      </c>
      <c r="B46" s="14" t="inlineStr">
        <is>
          <t>Uovonero</t>
        </is>
      </c>
      <c r="C46" s="14" t="inlineStr">
        <is>
          <t>Ad abbracciar nessuno</t>
        </is>
      </c>
      <c r="D46" s="14" t="inlineStr">
        <is>
          <t>Arianna Papini</t>
        </is>
      </c>
      <c r="E46" s="14" t="inlineStr">
        <is>
          <t>3/6</t>
        </is>
      </c>
      <c r="F46" s="16" t="n">
        <v>16</v>
      </c>
      <c r="G46" s="14" t="inlineStr">
        <is>
          <t>9791280104083</t>
        </is>
      </c>
      <c r="H46" s="14" t="inlineStr"/>
      <c r="I46" s="14" t="inlineStr">
        <is>
          <t>Sì</t>
        </is>
      </c>
      <c r="J46" s="14" t="inlineStr">
        <is>
          <t>I Geodi</t>
        </is>
      </c>
      <c r="K46" s="14" t="inlineStr">
        <is>
          <t>Autismo</t>
        </is>
      </c>
      <c r="L46" s="14" t="inlineStr">
        <is>
          <t>Un incontro inaspettato che apre la strada alla difficile crescita di due bambini diversi. La storia di Damiano e Maddalena, del loro incontro alla scuola dell’infanzia, delle loro unicità che si sfiorano per un istante.</t>
        </is>
      </c>
      <c r="M46" s="14" t="inlineStr"/>
    </row>
    <row r="47">
      <c r="A47" s="14" t="inlineStr">
        <is>
          <t>3-6 anni</t>
        </is>
      </c>
      <c r="B47" s="14" t="inlineStr">
        <is>
          <t>Uovonero</t>
        </is>
      </c>
      <c r="C47" s="14" t="inlineStr">
        <is>
          <t>Che bambino fortunato!</t>
        </is>
      </c>
      <c r="D47" s="14" t="inlineStr">
        <is>
          <t>L. Schimel, J. C. Mayorga</t>
        </is>
      </c>
      <c r="E47" s="14" t="inlineStr">
        <is>
          <t>3/6, 6/9</t>
        </is>
      </c>
      <c r="F47" s="16" t="n">
        <v>14.5</v>
      </c>
      <c r="G47" s="14" t="inlineStr">
        <is>
          <t>9788896918838</t>
        </is>
      </c>
      <c r="H47" s="14" t="inlineStr"/>
      <c r="I47" s="14" t="inlineStr">
        <is>
          <t>Sì</t>
        </is>
      </c>
      <c r="J47" s="14" t="inlineStr">
        <is>
          <t>I Geodi</t>
        </is>
      </c>
      <c r="K47" s="14" t="inlineStr">
        <is>
          <t>Cecità / valore della differenza</t>
        </is>
      </c>
      <c r="L47" s="14" t="inlineStr">
        <is>
          <t>Un albo con due pagine in braille sull’importanza del legame tra siblings. Avere un fratello può essere una grande seccatura, ma non se è un amico come Davide, capace di raccontare le storie più divertenti e leggere al buio!</t>
        </is>
      </c>
      <c r="M47" s="14" t="inlineStr">
        <is>
          <t>https://www.ibs.it/x/e/9788896918838</t>
        </is>
      </c>
    </row>
    <row r="48">
      <c r="A48" s="14" t="inlineStr">
        <is>
          <t>3-6 anni</t>
        </is>
      </c>
      <c r="B48" s="14" t="inlineStr">
        <is>
          <t>Uovonero</t>
        </is>
      </c>
      <c r="C48" s="14" t="inlineStr">
        <is>
          <t>Che cos’è una sindrome?</t>
        </is>
      </c>
      <c r="D48" s="14" t="inlineStr">
        <is>
          <t>Giovanni Colaneri</t>
        </is>
      </c>
      <c r="E48" s="14" t="inlineStr">
        <is>
          <t>3/6, 6/9</t>
        </is>
      </c>
      <c r="F48" s="16" t="n">
        <v>18</v>
      </c>
      <c r="G48" s="14" t="inlineStr">
        <is>
          <t>9788896918807</t>
        </is>
      </c>
      <c r="H48" s="14" t="inlineStr"/>
      <c r="I48" s="14" t="inlineStr">
        <is>
          <t>Sì</t>
        </is>
      </c>
      <c r="J48" s="14" t="inlineStr">
        <is>
          <t>I Geodi</t>
        </is>
      </c>
      <c r="K48" s="14" t="inlineStr">
        <is>
          <t>Disabilità</t>
        </is>
      </c>
      <c r="L48" s="14" t="inlineStr">
        <is>
          <t>Una casualità? Un microcosmo? Cos’altro? Qualunque cosa sia, una sindrome è prima di tutto qualcosa che ci riguarda. Trenta splendide tavole, indagando la domanda del titolo, ci accompagnano per mano alla scoperta di un mondo fatto di varietà, singolarità e differenza.</t>
        </is>
      </c>
      <c r="M48" s="14" t="inlineStr"/>
    </row>
    <row r="49">
      <c r="A49" s="14" t="inlineStr">
        <is>
          <t>3-6 anni</t>
        </is>
      </c>
      <c r="B49" s="14" t="inlineStr">
        <is>
          <t>Uovonero</t>
        </is>
      </c>
      <c r="C49" s="14" t="inlineStr">
        <is>
          <t>Dove sei, piccolo Giulio?</t>
        </is>
      </c>
      <c r="D49" s="14" t="inlineStr">
        <is>
          <t>Giovanni Colaneri</t>
        </is>
      </c>
      <c r="E49" s="14" t="inlineStr">
        <is>
          <t>3/6, 6/9</t>
        </is>
      </c>
      <c r="F49" s="16" t="n">
        <v>18</v>
      </c>
      <c r="G49" s="14" t="inlineStr">
        <is>
          <t>9791280104342</t>
        </is>
      </c>
      <c r="H49" s="14" t="inlineStr"/>
      <c r="I49" s="14" t="inlineStr">
        <is>
          <t>Sì</t>
        </is>
      </c>
      <c r="J49" s="14" t="inlineStr">
        <is>
          <t>I Geodi</t>
        </is>
      </c>
      <c r="K49" s="14" t="inlineStr">
        <is>
          <t>Autismo</t>
        </is>
      </c>
      <c r="L49" s="14" t="inlineStr">
        <is>
          <t>Dov’è finito il piccolo Giulio? È proprio qui? Si nasconde? Si è smarrito in un bosco? Dovunque sia finito, il piccolo Giulio sarà sempre ritrovato. Un albo illustrato che, in un’armoniosa sintonia di frasi brevi e immagini dettagliatissime, offre una porta d’accesso poetica e immediata sull’universo dell’autismo.</t>
        </is>
      </c>
      <c r="M49" s="14" t="inlineStr"/>
    </row>
    <row r="50">
      <c r="A50" s="14" t="inlineStr">
        <is>
          <t>3-6 anni</t>
        </is>
      </c>
      <c r="B50" s="14" t="inlineStr">
        <is>
          <t>Uovonero</t>
        </is>
      </c>
      <c r="C50" s="14" t="inlineStr">
        <is>
          <t>I vestiti nuovi dell’imperatore</t>
        </is>
      </c>
      <c r="D50" s="14" t="inlineStr">
        <is>
          <t>a cura di E. Crivelli; ill. N. Corfini</t>
        </is>
      </c>
      <c r="E50" s="14" t="inlineStr">
        <is>
          <t>3/6</t>
        </is>
      </c>
      <c r="F50" s="16" t="n">
        <v>19</v>
      </c>
      <c r="G50" s="14" t="inlineStr">
        <is>
          <t>9791280104434</t>
        </is>
      </c>
      <c r="H50" s="14" t="inlineStr">
        <is>
          <t>Sì</t>
        </is>
      </c>
      <c r="I50" s="14" t="inlineStr">
        <is>
          <t>Sì</t>
        </is>
      </c>
      <c r="J50" s="14" t="inlineStr">
        <is>
          <t>Pesci parlanti</t>
        </is>
      </c>
      <c r="K50" s="14" t="inlineStr"/>
      <c r="L50" s="14" t="inlineStr">
        <is>
          <t>Un imperatore vanitoso, un abito che non esiste e un bambino che dice la verità. Edizione con simboli PCS e formato sfogliafacile® (pagine sagomate, facili da sfogliare): per chi ha difficoltà di lettura o di motricità fine e per chi non parla italiano come prima lingua.</t>
        </is>
      </c>
      <c r="M50" s="14" t="inlineStr">
        <is>
          <t>https://www.ibs.it/x/e/9791280104434</t>
        </is>
      </c>
    </row>
    <row r="51">
      <c r="A51" s="14" t="inlineStr">
        <is>
          <t>3-6 anni</t>
        </is>
      </c>
      <c r="B51" s="14" t="inlineStr">
        <is>
          <t>Uovonero</t>
        </is>
      </c>
      <c r="C51" s="14" t="inlineStr">
        <is>
          <t>Il mondo è rosso</t>
        </is>
      </c>
      <c r="D51" s="14" t="inlineStr">
        <is>
          <t>Britta Teckentrup</t>
        </is>
      </c>
      <c r="E51" s="14" t="inlineStr">
        <is>
          <t>3/6, 6/9</t>
        </is>
      </c>
      <c r="F51" s="16" t="n">
        <v>18</v>
      </c>
      <c r="G51" s="14" t="inlineStr">
        <is>
          <t>9791280104274</t>
        </is>
      </c>
      <c r="H51" s="14" t="inlineStr"/>
      <c r="I51" s="14" t="inlineStr">
        <is>
          <t>Sì</t>
        </is>
      </c>
      <c r="J51" s="14" t="inlineStr">
        <is>
          <t>I Geodi</t>
        </is>
      </c>
      <c r="K51" s="14" t="inlineStr">
        <is>
          <t>Emozioni (rabbia)</t>
        </is>
      </c>
      <c r="L51" s="14" t="inlineStr">
        <is>
          <t>Un viaggio nei continenti della rabbia, tra vulcani, tornadi e animali feroci, per imparare a nominare le mille sfumature dell’emozione più incontenibile. I raffinati collage di Britta Teckentrup si intrecciano al testo in rima e danno vita a un albo dall’energia travolgente, perfetto da leggere – anzi urlare – ad alta voce.</t>
        </is>
      </c>
      <c r="M51" s="14" t="inlineStr"/>
    </row>
    <row r="52">
      <c r="A52" s="14" t="inlineStr">
        <is>
          <t>3-6 anni</t>
        </is>
      </c>
      <c r="B52" s="14" t="inlineStr">
        <is>
          <t>Uovonero</t>
        </is>
      </c>
      <c r="C52" s="14" t="inlineStr">
        <is>
          <t>In cielo, ma dove?</t>
        </is>
      </c>
      <c r="D52" s="14" t="inlineStr">
        <is>
          <t>A. Ossorio, A. Ferrara</t>
        </is>
      </c>
      <c r="E52" s="14" t="inlineStr">
        <is>
          <t>3/6, 6/9</t>
        </is>
      </c>
      <c r="F52" s="16" t="n">
        <v>16</v>
      </c>
      <c r="G52" s="14" t="inlineStr">
        <is>
          <t>9788896918890</t>
        </is>
      </c>
      <c r="H52" s="14" t="inlineStr"/>
      <c r="I52" s="14" t="inlineStr">
        <is>
          <t>Sì</t>
        </is>
      </c>
      <c r="J52" s="14" t="inlineStr">
        <is>
          <t>I Geodi</t>
        </is>
      </c>
      <c r="K52" s="14" t="inlineStr">
        <is>
          <t>Lutto</t>
        </is>
      </c>
      <c r="L52" s="14" t="inlineStr">
        <is>
          <t>Un dialogo sul lutto che ha la potenza del mito e la leggerezza della fi aba. Due fratelli, un pallone, l’incontro inaspettato con un passerotto morto. La difficoltà e l’importanza di trovare le parole per parlare della morte.</t>
        </is>
      </c>
      <c r="M52" s="14" t="inlineStr"/>
    </row>
    <row r="53">
      <c r="A53" s="14" t="inlineStr">
        <is>
          <t>3-6 anni</t>
        </is>
      </c>
      <c r="B53" s="14" t="inlineStr">
        <is>
          <t>Uovonero</t>
        </is>
      </c>
      <c r="C53" s="14" t="inlineStr">
        <is>
          <t>La bambina che andava a pile</t>
        </is>
      </c>
      <c r="D53" s="14" t="inlineStr">
        <is>
          <t>Monica Taini</t>
        </is>
      </c>
      <c r="E53" s="14" t="inlineStr">
        <is>
          <t>3/6, 6/9</t>
        </is>
      </c>
      <c r="F53" s="16" t="n">
        <v>13.5</v>
      </c>
      <c r="G53" s="14" t="inlineStr">
        <is>
          <t>9788896918616</t>
        </is>
      </c>
      <c r="H53" s="14" t="inlineStr"/>
      <c r="I53" s="14" t="inlineStr">
        <is>
          <t>Sì</t>
        </is>
      </c>
      <c r="J53" s="14" t="inlineStr">
        <is>
          <t>I Geodi</t>
        </is>
      </c>
      <c r="K53" s="14" t="inlineStr">
        <is>
          <t>Disabilità / identità</t>
        </is>
      </c>
      <c r="L53" s="14" t="inlineStr">
        <is>
          <t>Monìc ha due voci: la sua bocca e le sue mani. Qual è la più forte? Un albo illustrato autobiografico per raccontare la sordità e i suoi significati. Con un divertentissimo e autoironico “Glossario semiserio (e strettamente confidenziale) di cultura sorda”.</t>
        </is>
      </c>
      <c r="M53" s="14" t="inlineStr"/>
    </row>
    <row r="54">
      <c r="A54" s="14" t="inlineStr">
        <is>
          <t>3-6 anni</t>
        </is>
      </c>
      <c r="B54" s="14" t="inlineStr">
        <is>
          <t>Uovonero</t>
        </is>
      </c>
      <c r="C54" s="14" t="inlineStr">
        <is>
          <t>La distanza dei pesci</t>
        </is>
      </c>
      <c r="D54" s="14" t="inlineStr">
        <is>
          <t>C. Lorenzoni, G. Conoscenti</t>
        </is>
      </c>
      <c r="E54" s="14" t="inlineStr">
        <is>
          <t>3/6, 6/9</t>
        </is>
      </c>
      <c r="F54" s="16" t="n">
        <v>16</v>
      </c>
      <c r="G54" s="14" t="inlineStr">
        <is>
          <t>9788896918777</t>
        </is>
      </c>
      <c r="H54" s="14" t="inlineStr"/>
      <c r="I54" s="14" t="inlineStr">
        <is>
          <t>Sì</t>
        </is>
      </c>
      <c r="J54" s="14" t="inlineStr">
        <is>
          <t>I Geodi</t>
        </is>
      </c>
      <c r="K54" s="14" t="inlineStr">
        <is>
          <t>Autismo</t>
        </is>
      </c>
      <c r="L54" s="14" t="inlineStr">
        <is>
          <t>Un viaggio nelle profondità marine con gli occhi e la sensibilità di un bambino autistico. Giulio e Marco, fratelli, spesso condividono le avventure sulla barca gialla del nonno. Ma sentono il mare in modo diverso: per uno è solo una distesa bianca e blu, per l’altro, autistico, è un’esplosione di sensazioni indescrivibili.</t>
        </is>
      </c>
      <c r="M54" s="14" t="inlineStr"/>
    </row>
    <row r="55">
      <c r="A55" s="14" t="inlineStr">
        <is>
          <t>3-6 anni</t>
        </is>
      </c>
      <c r="B55" s="14" t="inlineStr">
        <is>
          <t>Uovonero</t>
        </is>
      </c>
      <c r="C55" s="14" t="inlineStr">
        <is>
          <t>Le parole di Bianca sono farfalle</t>
        </is>
      </c>
      <c r="D55" s="14" t="inlineStr">
        <is>
          <t>Chiara Lorenzoni; ill. Sophie Fatus</t>
        </is>
      </c>
      <c r="E55" s="14" t="inlineStr">
        <is>
          <t>3/6, 6/9</t>
        </is>
      </c>
      <c r="F55" s="16" t="n">
        <v>13.5</v>
      </c>
      <c r="G55" s="14" t="inlineStr">
        <is>
          <t>9788896918456</t>
        </is>
      </c>
      <c r="H55" s="14" t="inlineStr">
        <is>
          <t>Sì</t>
        </is>
      </c>
      <c r="I55" s="14" t="inlineStr">
        <is>
          <t>Sì</t>
        </is>
      </c>
      <c r="J55" s="14" t="inlineStr">
        <is>
          <t>I libri di Camilla</t>
        </is>
      </c>
      <c r="K55" s="14" t="inlineStr">
        <is>
          <t>Disabilità / comunicazione</t>
        </is>
      </c>
      <c r="L55" s="14" t="inlineStr">
        <is>
          <t>Bianca non parla, ma le sue mani leggere come farfalle disegnano nell’aria tutte le storie del mondo: un albo poetico sul mondo interiore di chi comunica in modi diversi. Identico all’albo originale per formato e prezzo, ma con testo ad alta leggibilità e simboli WLS (CAA).</t>
        </is>
      </c>
      <c r="M55" s="14" t="inlineStr">
        <is>
          <t>https://www.ibs.it/x/e/9788896918456</t>
        </is>
      </c>
    </row>
    <row r="56">
      <c r="A56" s="14" t="inlineStr">
        <is>
          <t>3-6 anni</t>
        </is>
      </c>
      <c r="B56" s="14" t="inlineStr">
        <is>
          <t>Uovonero</t>
        </is>
      </c>
      <c r="C56" s="14" t="inlineStr">
        <is>
          <t>Ti cerco</t>
        </is>
      </c>
      <c r="D56" s="14" t="inlineStr">
        <is>
          <t>Britta Teckentrup</t>
        </is>
      </c>
      <c r="E56" s="14" t="inlineStr">
        <is>
          <t>3/6</t>
        </is>
      </c>
      <c r="F56" s="16" t="n">
        <v>18</v>
      </c>
      <c r="G56" s="14" t="inlineStr">
        <is>
          <t>9791280104854</t>
        </is>
      </c>
      <c r="H56" s="14" t="inlineStr"/>
      <c r="I56" s="14" t="inlineStr">
        <is>
          <t>Sì</t>
        </is>
      </c>
      <c r="J56" s="14" t="inlineStr">
        <is>
          <t>I Geodi</t>
        </is>
      </c>
      <c r="K56" s="14" t="inlineStr">
        <is>
          <t>Emozioni</t>
        </is>
      </c>
      <c r="L56" s="14" t="inlineStr">
        <is>
          <t>Albo illustrato di Britta Teckentrup su emozioni e legami.</t>
        </is>
      </c>
      <c r="M56" s="14" t="inlineStr">
        <is>
          <t>https://www.ibs.it/x/e/9791280104854</t>
        </is>
      </c>
    </row>
    <row r="57">
      <c r="A57" s="14" t="inlineStr">
        <is>
          <t>3-6 anni</t>
        </is>
      </c>
      <c r="B57" s="14" t="inlineStr">
        <is>
          <t>Uovonero</t>
        </is>
      </c>
      <c r="C57" s="14" t="inlineStr">
        <is>
          <t>Una canzone</t>
        </is>
      </c>
      <c r="D57" s="14" t="inlineStr">
        <is>
          <t>E. Vincenzi, I. Braiotta</t>
        </is>
      </c>
      <c r="E57" s="14" t="inlineStr">
        <is>
          <t>3/6, 6/9</t>
        </is>
      </c>
      <c r="F57" s="16" t="n">
        <v>16</v>
      </c>
      <c r="G57" s="14" t="inlineStr">
        <is>
          <t>9791280104106</t>
        </is>
      </c>
      <c r="H57" s="14" t="inlineStr"/>
      <c r="I57" s="14" t="inlineStr">
        <is>
          <t>Sì</t>
        </is>
      </c>
      <c r="J57" s="14" t="inlineStr">
        <is>
          <t>I Geodi</t>
        </is>
      </c>
      <c r="K57" s="14" t="inlineStr">
        <is>
          <t>Malattia (Alzheimer) e nonni</t>
        </is>
      </c>
      <c r="L57" s="14" t="inlineStr">
        <is>
          <t>«Nonna, mi canti una canzone?». Un’affettuosa richiesta che innesca una melodia di ricordi ed esperienze quotidiane. Un dialogo tra una nonna a cui l’Alzheimer ha divorato i ricordi e una nipote che, con delicatezza, la prende per mano e l’accompagna nel passato comune.</t>
        </is>
      </c>
      <c r="M57" s="14" t="inlineStr"/>
    </row>
    <row r="58">
      <c r="A58" s="14" t="inlineStr">
        <is>
          <t>Prime letture (6-8)</t>
        </is>
      </c>
      <c r="B58" s="14" t="inlineStr">
        <is>
          <t>Uovonero</t>
        </is>
      </c>
      <c r="C58" s="14" t="inlineStr">
        <is>
          <t>L’orco del piano di sotto</t>
        </is>
      </c>
      <c r="D58" s="14" t="inlineStr">
        <is>
          <t>Olivier Dupin; ill. Barroux</t>
        </is>
      </c>
      <c r="E58" s="14" t="inlineStr">
        <is>
          <t>6/9</t>
        </is>
      </c>
      <c r="F58" s="16" t="n">
        <v>18.5</v>
      </c>
      <c r="G58" s="14" t="inlineStr">
        <is>
          <t>9791280104601</t>
        </is>
      </c>
      <c r="H58" s="14" t="inlineStr"/>
      <c r="I58" s="14" t="inlineStr">
        <is>
          <t>Sì</t>
        </is>
      </c>
      <c r="J58" s="14" t="inlineStr">
        <is>
          <t>I Geodi</t>
        </is>
      </c>
      <c r="K58" s="14" t="inlineStr">
        <is>
          <t>Memoria della Shoah / Giusti</t>
        </is>
      </c>
      <c r="L58" s="14" t="inlineStr">
        <is>
          <t>Un racconto potente e poetico sui Giusti, le persone anonime che rischiarono la vita per salvare gli ebrei durante la Seconda guerra mondiale. Bandiere rosse con strisce nere sventolano sulla città, i soldati sono ovunque. E le persone scompaiono. Persone proprio uguali alle due piccole protagoniste. Sarah e la sorellina sono rimaste sole, e presto scopriranno il vero volto dello spaventoso Orco del piano di sotto... Ma sotto la folta barba e gli occhi</t>
        </is>
      </c>
      <c r="M58" s="14" t="inlineStr">
        <is>
          <t>https://www.ibs.it/x/e/9791280104601</t>
        </is>
      </c>
    </row>
    <row r="59">
      <c r="A59" s="14" t="inlineStr">
        <is>
          <t>Prime letture (6-8)</t>
        </is>
      </c>
      <c r="B59" s="14" t="inlineStr">
        <is>
          <t>Uovonero</t>
        </is>
      </c>
      <c r="C59" s="14" t="inlineStr">
        <is>
          <t>La chitarra di Django</t>
        </is>
      </c>
      <c r="D59" s="14" t="inlineStr">
        <is>
          <t>Fabrizio Silei, Alfred</t>
        </is>
      </c>
      <c r="E59" s="14" t="inlineStr">
        <is>
          <t>6/9</t>
        </is>
      </c>
      <c r="F59" s="16" t="n">
        <v>16</v>
      </c>
      <c r="G59" s="14" t="inlineStr">
        <is>
          <t>9788896918289</t>
        </is>
      </c>
      <c r="H59" s="14" t="inlineStr"/>
      <c r="I59" s="14" t="inlineStr">
        <is>
          <t>Sì</t>
        </is>
      </c>
      <c r="J59" s="14" t="inlineStr">
        <is>
          <t>I Geodi</t>
        </is>
      </c>
      <c r="K59" s="14" t="inlineStr">
        <is>
          <t>Disabilità (Django Reinhardt)</t>
        </is>
      </c>
      <c r="L59" s="14" t="inlineStr">
        <is>
          <t>La straordinaria vita di Django Reinhardt, uno dei più grandi jazzisti della storia, raccontata dalla voce della sua chitarra. Cosa può fare, oltre che disperarsi, un suonatore di banjo che si è ustionato una mano? Molte cose: ad esempio imparare a suonare la chitarra. Un racconto dove la volontà e la voglia di vivere hanno la meglio su tutti gli ostacoli e le difficoltà.</t>
        </is>
      </c>
      <c r="M59" s="14" t="inlineStr"/>
    </row>
    <row r="60">
      <c r="A60" s="14" t="inlineStr">
        <is>
          <t>Prime letture (6-8)</t>
        </is>
      </c>
      <c r="B60" s="14" t="inlineStr">
        <is>
          <t>Uovonero</t>
        </is>
      </c>
      <c r="C60" s="14" t="inlineStr">
        <is>
          <t>La scuola</t>
        </is>
      </c>
      <c r="D60" s="14" t="inlineStr">
        <is>
          <t>Britta Teckentrup</t>
        </is>
      </c>
      <c r="E60" s="14" t="inlineStr">
        <is>
          <t>6/9, 9/12</t>
        </is>
      </c>
      <c r="F60" s="16" t="n">
        <v>20</v>
      </c>
      <c r="G60" s="14" t="inlineStr">
        <is>
          <t>9791280104571</t>
        </is>
      </c>
      <c r="H60" s="14" t="inlineStr"/>
      <c r="I60" s="14" t="inlineStr">
        <is>
          <t>Sì</t>
        </is>
      </c>
      <c r="J60" s="14" t="inlineStr">
        <is>
          <t>I Geodi</t>
        </is>
      </c>
      <c r="K60" s="14" t="inlineStr">
        <is>
          <t>Comunità scolastica</t>
        </is>
      </c>
      <c r="L60" s="14" t="inlineStr">
        <is>
          <t>Un libro, rivolto a insegnanti e studenti, in cui l’autrice esplora le complicate relazioni ed emozioni che fanno parte della scuola. Con la voce narrante di una ragazza, Britta Teckentrup ci fa rivivere il microcosmo scolastico, con emozioni, ansie e paure degli studenti, e ci offre spunti per affrontare i temi importanti di crescita.</t>
        </is>
      </c>
      <c r="M60" s="14" t="inlineStr"/>
    </row>
    <row r="61">
      <c r="A61" s="14" t="inlineStr">
        <is>
          <t>Prime letture (6-8)</t>
        </is>
      </c>
      <c r="B61" s="14" t="inlineStr">
        <is>
          <t>Uovonero</t>
        </is>
      </c>
      <c r="C61" s="14" t="inlineStr">
        <is>
          <t>La vecchia casa sul canale</t>
        </is>
      </c>
      <c r="D61" s="14" t="inlineStr">
        <is>
          <t>Britta Teckentrup</t>
        </is>
      </c>
      <c r="E61" s="14" t="inlineStr">
        <is>
          <t>6/9, 9/12</t>
        </is>
      </c>
      <c r="F61" s="16" t="n">
        <v>20</v>
      </c>
      <c r="G61" s="14" t="inlineStr">
        <is>
          <t>9791280104519</t>
        </is>
      </c>
      <c r="H61" s="14" t="inlineStr"/>
      <c r="I61" s="14" t="inlineStr">
        <is>
          <t>Sì</t>
        </is>
      </c>
      <c r="J61" s="14" t="inlineStr">
        <is>
          <t>I Geodi</t>
        </is>
      </c>
      <c r="K61" s="14" t="inlineStr">
        <is>
          <t>Memoria (la casa di Anne Frank)</t>
        </is>
      </c>
      <c r="L61" s="14" t="inlineStr">
        <is>
          <t>La casa che ha protetto Anna Frank dalla furia nazista racconta le storie che l’hanno attraversata. Ad Amsterdam, in via Prinsengracht 261, c’è una casa alta e stretta; ha 400 anni. Molte cose sono accadute dentro e attorno ai suoi muri.</t>
        </is>
      </c>
      <c r="M61" s="14" t="inlineStr">
        <is>
          <t>https://www.ibs.it/x/e/9791280104519</t>
        </is>
      </c>
    </row>
    <row r="62">
      <c r="A62" s="14" t="inlineStr">
        <is>
          <t>Prime letture (6-8)</t>
        </is>
      </c>
      <c r="B62" s="14" t="inlineStr">
        <is>
          <t>Uovonero</t>
        </is>
      </c>
      <c r="C62" s="14" t="inlineStr">
        <is>
          <t>Lilo</t>
        </is>
      </c>
      <c r="D62" s="14" t="inlineStr">
        <is>
          <t>Inés Garland; ill. Maite Mutuberria</t>
        </is>
      </c>
      <c r="E62" s="14" t="inlineStr">
        <is>
          <t>6/9, 9/12</t>
        </is>
      </c>
      <c r="F62" s="16" t="n">
        <v>16</v>
      </c>
      <c r="G62" s="14" t="inlineStr">
        <is>
          <t>9791280104250</t>
        </is>
      </c>
      <c r="H62" s="14" t="inlineStr"/>
      <c r="I62" s="14" t="inlineStr">
        <is>
          <t>Sì</t>
        </is>
      </c>
      <c r="J62" s="14" t="inlineStr">
        <is>
          <t>I Geodi</t>
        </is>
      </c>
      <c r="K62" s="14" t="inlineStr">
        <is>
          <t>Dipendenza dallo smartphone</t>
        </is>
      </c>
      <c r="L62" s="14" t="inlineStr">
        <is>
          <t>Lilo, un cane, fiuta che la sua Emi è triste e indaga: una storia di cyberbullismo vista da un protagonista canino. Premio Strega Ragazze e Ragazzi 2023 (8+).</t>
        </is>
      </c>
      <c r="M62" s="14" t="inlineStr">
        <is>
          <t>https://www.ibs.it/x/e/9791280104250</t>
        </is>
      </c>
    </row>
    <row r="63">
      <c r="A63" s="14" t="inlineStr">
        <is>
          <t>Prime letture (6-8)</t>
        </is>
      </c>
      <c r="B63" s="14" t="inlineStr">
        <is>
          <t>Uovonero</t>
        </is>
      </c>
      <c r="C63" s="14" t="inlineStr">
        <is>
          <t>Rumple Buttercup</t>
        </is>
      </c>
      <c r="D63" s="14" t="inlineStr">
        <is>
          <t>Matthew Gray Gubler</t>
        </is>
      </c>
      <c r="E63" s="14" t="inlineStr">
        <is>
          <t>6/9</t>
        </is>
      </c>
      <c r="F63" s="16" t="n">
        <v>17.5</v>
      </c>
      <c r="G63" s="14" t="inlineStr">
        <is>
          <t>9791280104380</t>
        </is>
      </c>
      <c r="H63" s="14" t="inlineStr"/>
      <c r="I63" s="14" t="inlineStr">
        <is>
          <t>Sì</t>
        </is>
      </c>
      <c r="J63" s="14" t="inlineStr">
        <is>
          <t>I Geodi</t>
        </is>
      </c>
      <c r="K63" s="14" t="inlineStr">
        <is>
          <t>Unicità e amicizia</t>
        </is>
      </c>
      <c r="L63" s="14" t="inlineStr">
        <is>
          <t>Una storia che parla di banane, appartenenza ed essere sé stessi. Un personaggio un po’ strano scopre cosa significa non sentirsi più soli e “diversi” in un albo illustrato dai disegni unici e altrettanto strani. Rumple Buttercup ha cinque denti storti, tre ciuffidi capelli, la pelle verde e il suo piede sinistro è leggermente più grande del destro. Rumple Buttercup è strano. Unisciti a lui e Candy Corn Carl (il suo amico immaginario fatto di spazzatura) mentre scoprono la meraviglia dell’unicità e la magia del senso di appartenenza. nza.</t>
        </is>
      </c>
      <c r="M63" s="14" t="inlineStr">
        <is>
          <t>https://www.ibs.it/x/e/9791280104380</t>
        </is>
      </c>
    </row>
    <row r="64">
      <c r="A64" s="14" t="inlineStr">
        <is>
          <t>Prime letture (6-8)</t>
        </is>
      </c>
      <c r="B64" s="14" t="inlineStr">
        <is>
          <t>Uovonero</t>
        </is>
      </c>
      <c r="C64" s="14" t="inlineStr">
        <is>
          <t>Vi presento Hank 1 – Un segnalibro in cerca d’autore</t>
        </is>
      </c>
      <c r="D64" s="14" t="inlineStr">
        <is>
          <t>H. Winkler, L. Oliver; ill. G. Orecchia</t>
        </is>
      </c>
      <c r="E64" s="14" t="inlineStr">
        <is>
          <t>6/9</t>
        </is>
      </c>
      <c r="F64" s="16" t="n">
        <v>12</v>
      </c>
      <c r="G64" s="14" t="inlineStr">
        <is>
          <t>9788896918302</t>
        </is>
      </c>
      <c r="H64" s="14" t="inlineStr"/>
      <c r="I64" s="14" t="inlineStr">
        <is>
          <t>Sì</t>
        </is>
      </c>
      <c r="J64" s="14" t="inlineStr">
        <is>
          <t>Abbecedanze (alta leggibilità)</t>
        </is>
      </c>
      <c r="K64" s="14" t="inlineStr">
        <is>
          <t>DSA (dislessia)</t>
        </is>
      </c>
      <c r="L64" s="14" t="inlineStr">
        <is>
          <t>Il prequel di Hank Zipzer: le avventure del “Superdisastro” dislessico e dei suoi amici in seconda elementare, per i primi lettori.</t>
        </is>
      </c>
      <c r="M64" s="14" t="inlineStr">
        <is>
          <t>https://www.ibs.it/x/e/9788896918302</t>
        </is>
      </c>
    </row>
    <row r="65">
      <c r="A65" s="14" t="inlineStr">
        <is>
          <t>9+</t>
        </is>
      </c>
      <c r="B65" s="14" t="inlineStr">
        <is>
          <t>Uovonero</t>
        </is>
      </c>
      <c r="C65" s="14" t="inlineStr">
        <is>
          <t>30 giorni per capire i disturbi dell’apprendimento</t>
        </is>
      </c>
      <c r="D65" s="14" t="inlineStr">
        <is>
          <t>Babe, Baroukh, Dunana (cura E. Crivelli)</t>
        </is>
      </c>
      <c r="E65" s="14" t="inlineStr">
        <is>
          <t>9/12, 12+, 14+</t>
        </is>
      </c>
      <c r="F65" s="16" t="n">
        <v>17</v>
      </c>
      <c r="G65" s="14" t="inlineStr">
        <is>
          <t>9788896918913</t>
        </is>
      </c>
      <c r="H65" s="14" t="inlineStr"/>
      <c r="I65" s="14" t="inlineStr">
        <is>
          <t>Sì</t>
        </is>
      </c>
      <c r="J65" s="14" t="inlineStr">
        <is>
          <t>Altrimenti</t>
        </is>
      </c>
      <c r="K65" s="14" t="inlineStr">
        <is>
          <t>DSA</t>
        </is>
      </c>
      <c r="L65" s="14" t="inlineStr">
        <is>
          <t>30 sfide e attività immersive (dai 10 anni): sai allacciarti le scarpe usando le bacchette cinesi? Per mettersi nei panni di chi ha un DSA.</t>
        </is>
      </c>
      <c r="M65" s="14" t="inlineStr">
        <is>
          <t>https://www.ibs.it/x/e/9788896918913</t>
        </is>
      </c>
    </row>
    <row r="66">
      <c r="A66" s="14" t="inlineStr">
        <is>
          <t>9+</t>
        </is>
      </c>
      <c r="B66" s="14" t="inlineStr">
        <is>
          <t>Uovonero</t>
        </is>
      </c>
      <c r="C66" s="14" t="inlineStr">
        <is>
          <t>30 giorni per capire i disturbi visivi</t>
        </is>
      </c>
      <c r="D66" s="14" t="inlineStr">
        <is>
          <t>Babe, Baroukh, Dunana (cura E. Crivelli)</t>
        </is>
      </c>
      <c r="E66" s="14" t="inlineStr">
        <is>
          <t>9/12, 12+, 14+</t>
        </is>
      </c>
      <c r="F66" s="16" t="n">
        <v>17</v>
      </c>
      <c r="G66" s="14" t="inlineStr">
        <is>
          <t>9788896918920</t>
        </is>
      </c>
      <c r="H66" s="14" t="inlineStr"/>
      <c r="I66" s="14" t="inlineStr">
        <is>
          <t>Sì</t>
        </is>
      </c>
      <c r="J66" s="14" t="inlineStr">
        <is>
          <t>Altrimenti</t>
        </is>
      </c>
      <c r="K66" s="14" t="inlineStr">
        <is>
          <t>Cecità / disabilità</t>
        </is>
      </c>
      <c r="L66" s="14" t="inlineStr">
        <is>
          <t>30 sfide e attività immersive (dai 10 anni): riesci a segnare un rigore a occhi chiusi? Come si organizza una cena al buio? Per capire i disturbi visivi.</t>
        </is>
      </c>
      <c r="M66" s="14" t="inlineStr">
        <is>
          <t>https://www.ibs.it/x/e/9788896918920</t>
        </is>
      </c>
    </row>
    <row r="67">
      <c r="A67" s="14" t="inlineStr">
        <is>
          <t>9+</t>
        </is>
      </c>
      <c r="B67" s="14" t="inlineStr">
        <is>
          <t>Uovonero</t>
        </is>
      </c>
      <c r="C67" s="14" t="inlineStr">
        <is>
          <t>30 giorni per capire l’autismo</t>
        </is>
      </c>
      <c r="D67" s="14" t="inlineStr">
        <is>
          <t>Babe, Baroukh, Dunana (cura E. Crivelli)</t>
        </is>
      </c>
      <c r="E67" s="14" t="inlineStr">
        <is>
          <t>9/12, 12+, 14+</t>
        </is>
      </c>
      <c r="F67" s="16" t="n">
        <v>17</v>
      </c>
      <c r="G67" s="14" t="inlineStr">
        <is>
          <t>9788896918906</t>
        </is>
      </c>
      <c r="H67" s="14" t="inlineStr"/>
      <c r="I67" s="14" t="inlineStr">
        <is>
          <t>Sì</t>
        </is>
      </c>
      <c r="J67" s="14" t="inlineStr">
        <is>
          <t>Altrimenti</t>
        </is>
      </c>
      <c r="K67" s="14" t="inlineStr">
        <is>
          <t>Autismo</t>
        </is>
      </c>
      <c r="L67" s="14" t="inlineStr">
        <is>
          <t>30 sfide, curiosità e attività immersive da giocare da soli o in gruppo (dai 10 anni) per capire, con empatia, come mettersi nei panni di una persona autistica.</t>
        </is>
      </c>
      <c r="M67" s="14" t="inlineStr">
        <is>
          <t>https://www.ibs.it/x/e/9788896918906</t>
        </is>
      </c>
    </row>
    <row r="68">
      <c r="A68" s="14" t="inlineStr">
        <is>
          <t>9+</t>
        </is>
      </c>
      <c r="B68" s="14" t="inlineStr">
        <is>
          <t>Uovonero</t>
        </is>
      </c>
      <c r="C68" s="14" t="inlineStr">
        <is>
          <t>Amiche d’ombra</t>
        </is>
      </c>
      <c r="D68" s="14" t="inlineStr">
        <is>
          <t>Arianna Papini</t>
        </is>
      </c>
      <c r="E68" s="14" t="inlineStr">
        <is>
          <t>9/12</t>
        </is>
      </c>
      <c r="F68" s="16" t="n">
        <v>16</v>
      </c>
      <c r="G68" s="14" t="inlineStr">
        <is>
          <t>9788896918944</t>
        </is>
      </c>
      <c r="H68" s="14" t="inlineStr"/>
      <c r="I68" s="14" t="inlineStr">
        <is>
          <t>Sì</t>
        </is>
      </c>
      <c r="J68" s="14" t="inlineStr">
        <is>
          <t>I Geodi</t>
        </is>
      </c>
      <c r="K68" s="14" t="inlineStr">
        <is>
          <t>Cecità / pregiudizi</t>
        </is>
      </c>
      <c r="L68" s="14" t="inlineStr">
        <is>
          <t>La forza di un’amicizia che supera i pregiudizi verso chi è cieco e il mondo lo legge con le mani. Arianna incontra Michela sulla soglia delle scuole medie, all’alba dell’adolescenza; insieme scopriranno il mondo dentro e fuori di loro.</t>
        </is>
      </c>
      <c r="M68" s="14" t="inlineStr"/>
    </row>
    <row r="69">
      <c r="A69" s="14" t="inlineStr">
        <is>
          <t>9+</t>
        </is>
      </c>
      <c r="B69" s="14" t="inlineStr">
        <is>
          <t>Uovonero</t>
        </is>
      </c>
      <c r="C69" s="14" t="inlineStr">
        <is>
          <t>Castelli di fiammiferi</t>
        </is>
      </c>
      <c r="D69" s="14" t="inlineStr">
        <is>
          <t>Bettina Obrecht</t>
        </is>
      </c>
      <c r="E69" s="14" t="inlineStr">
        <is>
          <t>9/12, 12+</t>
        </is>
      </c>
      <c r="F69" s="16" t="n">
        <v>12.5</v>
      </c>
      <c r="G69" s="14" t="inlineStr">
        <is>
          <t>9788896918142</t>
        </is>
      </c>
      <c r="H69" s="14" t="inlineStr"/>
      <c r="I69" s="14" t="inlineStr">
        <is>
          <t>Sì</t>
        </is>
      </c>
      <c r="J69" s="14" t="inlineStr">
        <is>
          <t>I Geodi</t>
        </is>
      </c>
      <c r="K69" s="14" t="inlineStr">
        <is>
          <t>Autismo</t>
        </is>
      </c>
      <c r="L69" s="14" t="inlineStr">
        <is>
          <t>Jan parla col frigorifero, col mouse del computer, con una piccola automobile giocattolo e con un supereroe di plastica. Sua sorella Lisa, invece, non parla. È autistica. Il nonno di Jan e di Lisa ha un hobby molto speciale: costruire edifici famosi usando solo fiammiferi. E i fiammiferi del nonno permetteranno a Lisa di sorprendere tutti con la bellissima torre che costruirà, dove Jan vorrebbe portarla a vivere.</t>
        </is>
      </c>
      <c r="M69" s="14" t="inlineStr">
        <is>
          <t>https://www.ibs.it/x/e/9788896918142</t>
        </is>
      </c>
    </row>
    <row r="70">
      <c r="A70" s="14" t="inlineStr">
        <is>
          <t>9+</t>
        </is>
      </c>
      <c r="B70" s="14" t="inlineStr">
        <is>
          <t>Uovonero</t>
        </is>
      </c>
      <c r="C70" s="14" t="inlineStr">
        <is>
          <t>Farfariel – Il libro di Micù</t>
        </is>
      </c>
      <c r="D70" s="14" t="inlineStr">
        <is>
          <t>Pietro Albì</t>
        </is>
      </c>
      <c r="E70" s="14" t="inlineStr">
        <is>
          <t>9/12, 12+</t>
        </is>
      </c>
      <c r="F70" s="16" t="n">
        <v>16</v>
      </c>
      <c r="G70" s="14" t="inlineStr">
        <is>
          <t>9788896918661</t>
        </is>
      </c>
      <c r="H70" s="14" t="inlineStr"/>
      <c r="I70" s="14" t="inlineStr">
        <is>
          <t>Sì</t>
        </is>
      </c>
      <c r="J70" s="14" t="inlineStr">
        <is>
          <t>I Geodi</t>
        </is>
      </c>
      <c r="K70" s="14" t="inlineStr">
        <is>
          <t>Disabilità</t>
        </is>
      </c>
      <c r="L70" s="14" t="inlineStr">
        <is>
          <t>Segnalazione MicroEditoria di Qualità 2019 Un irresistibile romanzo di formazione nell’Italia del sud della fi ne degli anni ‘30. Un racconto fantastico dai toni grotteschi e surreali in equilibrio tra realismo e magia.</t>
        </is>
      </c>
      <c r="M70" s="14" t="inlineStr"/>
    </row>
    <row r="71">
      <c r="A71" s="14" t="inlineStr">
        <is>
          <t>9+</t>
        </is>
      </c>
      <c r="B71" s="14" t="inlineStr">
        <is>
          <t>Uovonero</t>
        </is>
      </c>
      <c r="C71" s="14" t="inlineStr">
        <is>
          <t>Garrincha. L’angelo dalle gambe storte</t>
        </is>
      </c>
      <c r="D71" s="14" t="inlineStr">
        <is>
          <t>Antonio Ferrara</t>
        </is>
      </c>
      <c r="E71" s="14" t="inlineStr">
        <is>
          <t>9/12, 12+</t>
        </is>
      </c>
      <c r="F71" s="16" t="n">
        <v>15</v>
      </c>
      <c r="G71" s="14" t="inlineStr">
        <is>
          <t>9788896918388</t>
        </is>
      </c>
      <c r="H71" s="14" t="inlineStr"/>
      <c r="I71" s="14" t="inlineStr">
        <is>
          <t>Sì</t>
        </is>
      </c>
      <c r="J71" s="14" t="inlineStr">
        <is>
          <t>I Geodi</t>
        </is>
      </c>
      <c r="K71" s="14" t="inlineStr">
        <is>
          <t>Disabilità</t>
        </is>
      </c>
      <c r="L71" s="14" t="inlineStr">
        <is>
          <t>Un graphic novel sull’incredibile vita di Garrincha, l’angelo dalle gambe storte, uno dei più grandi giocatori della storia del calcio. Il giovane Manoel vorrebbe fare il calciatore, ma a causa della poliomielite, ha le gambe storte. Con volontà e determinazione riuscirà a dimostrare ai medici che la sua invalidità non è un ostacolo, e a diventare un fuoriclasse.</t>
        </is>
      </c>
      <c r="M71" s="14" t="inlineStr"/>
    </row>
    <row r="72">
      <c r="A72" s="14" t="inlineStr">
        <is>
          <t>9+</t>
        </is>
      </c>
      <c r="B72" s="14" t="inlineStr">
        <is>
          <t>Uovonero</t>
        </is>
      </c>
      <c r="C72" s="14" t="inlineStr">
        <is>
          <t>Hank Zipzer e le cascate del Niagara (vol. 1)</t>
        </is>
      </c>
      <c r="D72" s="14" t="inlineStr">
        <is>
          <t>H. Winkler, L. Oliver</t>
        </is>
      </c>
      <c r="E72" s="14" t="inlineStr">
        <is>
          <t>9/12</t>
        </is>
      </c>
      <c r="F72" s="16" t="n">
        <v>12</v>
      </c>
      <c r="G72" s="14" t="inlineStr">
        <is>
          <t>9788896918173</t>
        </is>
      </c>
      <c r="H72" s="14" t="inlineStr"/>
      <c r="I72" s="14" t="inlineStr">
        <is>
          <t>Sì</t>
        </is>
      </c>
      <c r="J72" s="14" t="inlineStr">
        <is>
          <t>Abbecedanze (alta leggibilità)</t>
        </is>
      </c>
      <c r="K72" s="14" t="inlineStr">
        <is>
          <t>DSA (dislessia)</t>
        </is>
      </c>
      <c r="L72" s="14" t="inlineStr">
        <is>
          <t>Hank è dislessico, distratto e disordinato, ma pieno di soluzioni geniali e di amici che lo tirano fuori dai guai: serie ad alta leggibilità e ad altissimo divertimento.</t>
        </is>
      </c>
      <c r="M72" s="14" t="inlineStr">
        <is>
          <t>https://www.ibs.it/x/e/9788896918173</t>
        </is>
      </c>
    </row>
    <row r="73">
      <c r="A73" s="14" t="inlineStr">
        <is>
          <t>9+</t>
        </is>
      </c>
      <c r="B73" s="14" t="inlineStr">
        <is>
          <t>Uovonero</t>
        </is>
      </c>
      <c r="C73" s="14" t="inlineStr">
        <is>
          <t>La più bella nuotata della mia vita</t>
        </is>
      </c>
      <c r="D73" s="14" t="inlineStr">
        <is>
          <t>Anne Becker</t>
        </is>
      </c>
      <c r="E73" s="14" t="inlineStr">
        <is>
          <t>9/12, 12+</t>
        </is>
      </c>
      <c r="F73" s="16" t="n">
        <v>15</v>
      </c>
      <c r="G73" s="14" t="inlineStr">
        <is>
          <t>9791280104229</t>
        </is>
      </c>
      <c r="H73" s="14" t="inlineStr"/>
      <c r="I73" s="14" t="inlineStr">
        <is>
          <t>Sì</t>
        </is>
      </c>
      <c r="J73" s="14" t="inlineStr">
        <is>
          <t>I Geodi</t>
        </is>
      </c>
      <c r="K73" s="14" t="inlineStr">
        <is>
          <t>DSA</t>
        </is>
      </c>
      <c r="L73" s="14" t="inlineStr">
        <is>
          <t>Il nuoto, le difficoltà di lettura, le amicizie che cambiano la vita. Jan, 13 anni, dislessico, ama nuotare e si è appena trasferito. Conosce Flo, che veste hippie, alleva galline e adora l’infografica.</t>
        </is>
      </c>
      <c r="M73" s="14" t="inlineStr"/>
    </row>
    <row r="74">
      <c r="A74" s="14" t="inlineStr">
        <is>
          <t>9+</t>
        </is>
      </c>
      <c r="B74" s="14" t="inlineStr">
        <is>
          <t>Uovonero</t>
        </is>
      </c>
      <c r="C74" s="14" t="inlineStr">
        <is>
          <t>Non è colpa della pioggia</t>
        </is>
      </c>
      <c r="D74" s="14" t="inlineStr">
        <is>
          <t>Lynda Mullaly Hunt</t>
        </is>
      </c>
      <c r="E74" s="14" t="inlineStr">
        <is>
          <t>9/12, 12+</t>
        </is>
      </c>
      <c r="F74" s="16" t="n">
        <v>14</v>
      </c>
      <c r="G74" s="14" t="inlineStr">
        <is>
          <t>9788896918821</t>
        </is>
      </c>
      <c r="H74" s="14" t="inlineStr"/>
      <c r="I74" s="14" t="inlineStr">
        <is>
          <t>Sì</t>
        </is>
      </c>
      <c r="J74" s="14" t="inlineStr">
        <is>
          <t>Abbecedanze (alta leggibilità)</t>
        </is>
      </c>
      <c r="K74" s="14" t="inlineStr">
        <is>
          <t>Famiglia e comunità</t>
        </is>
      </c>
      <c r="L74" s="14" t="inlineStr">
        <is>
          <t>Delsie vive con la nonna e a 12 anni si chiede perché non possa avere anche lei una mamma e un papà. Anche i sentimenti cambiano come il tempo atmosferico?</t>
        </is>
      </c>
      <c r="M74" s="14" t="inlineStr">
        <is>
          <t>https://www.ibs.it/x/e/9788896918821</t>
        </is>
      </c>
    </row>
    <row r="75">
      <c r="A75" s="14" t="inlineStr">
        <is>
          <t>9+</t>
        </is>
      </c>
      <c r="B75" s="14" t="inlineStr">
        <is>
          <t>Uovonero</t>
        </is>
      </c>
      <c r="C75" s="14" t="inlineStr">
        <is>
          <t>Può succedere ancora?</t>
        </is>
      </c>
      <c r="D75" s="14" t="inlineStr">
        <is>
          <t>Jesper Lundqvist</t>
        </is>
      </c>
      <c r="E75" s="14" t="inlineStr">
        <is>
          <t>9/12</t>
        </is>
      </c>
      <c r="F75" s="16" t="n">
        <v>22</v>
      </c>
      <c r="G75" s="14" t="inlineStr">
        <is>
          <t>9791280104731</t>
        </is>
      </c>
      <c r="H75" s="14" t="inlineStr"/>
      <c r="I75" s="14" t="inlineStr">
        <is>
          <t>Sì</t>
        </is>
      </c>
      <c r="J75" s="14" t="inlineStr">
        <is>
          <t>I Geodi</t>
        </is>
      </c>
      <c r="K75" s="14" t="inlineStr">
        <is>
          <t>Memoria della Shoah</t>
        </is>
      </c>
      <c r="L75" s="14" t="inlineStr">
        <is>
          <t>Può succedere ancora? è un libro illustrato di saggistica per bambini dai 9 ai 12 anni sulla Seconda Guerra Mondiale e l’Olocausto, che descrive ciò che è accaduto e aiuta a capire come sia potuto diventare così terribile. Come per altre forme di violenza, esiste un processo di normalizzazione e tutti noi, compresi i bambini, dobbiamo esserne consapevoli. Solo allora possiamo interpretare ciò che sta accadendo e capire a cosa può portare. Ad esempio, quanto può essere grave quando dividiamo le persone in gruppi diversi, dove alcuni sono considerati peggiori di altri.</t>
        </is>
      </c>
      <c r="M75" s="14" t="inlineStr">
        <is>
          <t>https://www.ibs.it/x/e/9791280104731</t>
        </is>
      </c>
    </row>
    <row r="76">
      <c r="A76" s="14" t="inlineStr">
        <is>
          <t>9+</t>
        </is>
      </c>
      <c r="B76" s="14" t="inlineStr">
        <is>
          <t>Uovonero</t>
        </is>
      </c>
      <c r="C76" s="14" t="inlineStr">
        <is>
          <t>Un pesce sull’albero</t>
        </is>
      </c>
      <c r="D76" s="14" t="inlineStr">
        <is>
          <t>Lynda Mullaly Hunt</t>
        </is>
      </c>
      <c r="E76" s="14" t="inlineStr">
        <is>
          <t>9/12, 12+</t>
        </is>
      </c>
      <c r="F76" s="16" t="n">
        <v>15</v>
      </c>
      <c r="G76" s="14" t="inlineStr">
        <is>
          <t>9788896918357</t>
        </is>
      </c>
      <c r="H76" s="14" t="inlineStr"/>
      <c r="I76" s="14" t="inlineStr">
        <is>
          <t>Sì</t>
        </is>
      </c>
      <c r="J76" s="14" t="inlineStr">
        <is>
          <t>Abbecedanze (alta leggibilità)</t>
        </is>
      </c>
      <c r="K76" s="14" t="inlineStr">
        <is>
          <t>DSA (dislessia)</t>
        </is>
      </c>
      <c r="L76" s="14" t="inlineStr">
        <is>
          <t>Ally nasconde con stratagemmi la sua incapacità di leggere, finché il nuovo insegnante, il signor Daniels, vede la sua genialità. Una storia di dislessia e fiducia.</t>
        </is>
      </c>
      <c r="M76" s="14" t="inlineStr">
        <is>
          <t>https://www.ibs.it/x/e/9788896918357</t>
        </is>
      </c>
    </row>
    <row r="77">
      <c r="A77" s="14" t="inlineStr">
        <is>
          <t>9+</t>
        </is>
      </c>
      <c r="B77" s="14" t="inlineStr">
        <is>
          <t>Uovonero</t>
        </is>
      </c>
      <c r="C77" s="14" t="inlineStr">
        <is>
          <t>Una specie di scintilla</t>
        </is>
      </c>
      <c r="D77" s="14" t="inlineStr">
        <is>
          <t>Elle McNicoll</t>
        </is>
      </c>
      <c r="E77" s="14" t="inlineStr">
        <is>
          <t>9/12, 12+</t>
        </is>
      </c>
      <c r="F77" s="16" t="n">
        <v>15</v>
      </c>
      <c r="G77" s="14" t="inlineStr">
        <is>
          <t>9791280104069</t>
        </is>
      </c>
      <c r="H77" s="14" t="inlineStr"/>
      <c r="I77" s="14" t="inlineStr">
        <is>
          <t>Sì</t>
        </is>
      </c>
      <c r="J77" s="14" t="inlineStr">
        <is>
          <t>I Geodi</t>
        </is>
      </c>
      <c r="K77" s="14" t="inlineStr">
        <is>
          <t>Autismo (autrice autistica)</t>
        </is>
      </c>
      <c r="L77" s="14" t="inlineStr">
        <is>
          <t>Geniale opera prima di una giovane autrice neurodivergente. Addie ha 11 anni, è autistica e ha una missione: erigere un memoriale per ricordare le donne uccise come “streghe”.</t>
        </is>
      </c>
      <c r="M77" s="14" t="inlineStr"/>
    </row>
    <row r="78">
      <c r="A78" s="14" t="inlineStr">
        <is>
          <t>Scuola media (11-13)</t>
        </is>
      </c>
      <c r="B78" s="14" t="inlineStr">
        <is>
          <t>Uovonero</t>
        </is>
      </c>
      <c r="C78" s="14" t="inlineStr">
        <is>
          <t>Come un incantesimo</t>
        </is>
      </c>
      <c r="D78" s="14" t="inlineStr">
        <is>
          <t>Elle McNicoll</t>
        </is>
      </c>
      <c r="E78" s="14" t="inlineStr">
        <is>
          <t>12+</t>
        </is>
      </c>
      <c r="F78" s="16" t="n">
        <v>16</v>
      </c>
      <c r="G78" s="14" t="inlineStr">
        <is>
          <t>9791280104373</t>
        </is>
      </c>
      <c r="H78" s="14" t="inlineStr"/>
      <c r="I78" s="14" t="inlineStr">
        <is>
          <t>Sì</t>
        </is>
      </c>
      <c r="J78" s="14" t="inlineStr">
        <is>
          <t>I Geodi</t>
        </is>
      </c>
      <c r="K78" s="14" t="inlineStr">
        <is>
          <t>Neurodivergenza</t>
        </is>
      </c>
      <c r="L78" s="14" t="inlineStr">
        <is>
          <t>Come un incantesimo è il primo volume di una dilogia fantasy con protagonista una ragazzina neurodivergente. Catapultata nel mondo di segreti e incantesimi della sua famiglia, Ramya parte per scoprire quale verità si nasconde dietro il Popolo Nascosto. A guidarla soltanto le tre parole di avvertimento del nonno: attenta alle sirene.</t>
        </is>
      </c>
      <c r="M78" s="14" t="inlineStr"/>
    </row>
    <row r="79">
      <c r="A79" s="14" t="inlineStr">
        <is>
          <t>Scuola media (11-13)</t>
        </is>
      </c>
      <c r="B79" s="14" t="inlineStr">
        <is>
          <t>Uovonero</t>
        </is>
      </c>
      <c r="C79" s="14" t="inlineStr">
        <is>
          <t>Con le ali sbagliate</t>
        </is>
      </c>
      <c r="D79" s="14" t="inlineStr">
        <is>
          <t>Gabriele Clima</t>
        </is>
      </c>
      <c r="E79" s="14" t="inlineStr">
        <is>
          <t>12+, 14+</t>
        </is>
      </c>
      <c r="F79" s="16" t="n">
        <v>14</v>
      </c>
      <c r="G79" s="14" t="inlineStr">
        <is>
          <t>9788896918975</t>
        </is>
      </c>
      <c r="H79" s="14" t="inlineStr"/>
      <c r="I79" s="14" t="inlineStr">
        <is>
          <t>Sì</t>
        </is>
      </c>
      <c r="J79" s="14" t="inlineStr">
        <is>
          <t>I Geodi</t>
        </is>
      </c>
      <c r="K79" s="14" t="inlineStr">
        <is>
          <t>Identità sessuale e pregiudizi</t>
        </is>
      </c>
      <c r="L79" s="14" t="inlineStr">
        <is>
          <t>Un adolescente alla ricerca di sé stesso e della propria identità sessuale, tra pregiudizi e tabù. Nino, diciassette anni, scopre timidamente i primi amori. Sa da sempre di essere omosessuale, ma i suoi genitori non possono accettarlo: è qualcosa di sbagliato, da “curare”.</t>
        </is>
      </c>
      <c r="M79" s="14" t="inlineStr"/>
    </row>
    <row r="80">
      <c r="A80" s="14" t="inlineStr">
        <is>
          <t>Scuola media (11-13)</t>
        </is>
      </c>
      <c r="B80" s="14" t="inlineStr">
        <is>
          <t>Uovonero</t>
        </is>
      </c>
      <c r="C80" s="14" t="inlineStr">
        <is>
          <t>Dacca toxic</t>
        </is>
      </c>
      <c r="D80" s="14" t="inlineStr">
        <is>
          <t>Catherine Fradier</t>
        </is>
      </c>
      <c r="E80" s="14" t="inlineStr">
        <is>
          <t>12+</t>
        </is>
      </c>
      <c r="F80" s="16" t="n">
        <v>15</v>
      </c>
      <c r="G80" s="14" t="inlineStr">
        <is>
          <t>9791280104212</t>
        </is>
      </c>
      <c r="H80" s="14" t="inlineStr"/>
      <c r="I80" s="14" t="inlineStr">
        <is>
          <t>Sì</t>
        </is>
      </c>
      <c r="J80" s="14" t="inlineStr">
        <is>
          <t>I Geodi</t>
        </is>
      </c>
      <c r="K80" s="14" t="inlineStr">
        <is>
          <t>Autismo</t>
        </is>
      </c>
      <c r="L80" s="14" t="inlineStr">
        <is>
          <t>Secondo capitolo della serie Cronache lunari di un ragazzo bizzarro. Sacha, in Bangladesh con la madre, diventa amico di Sultana, sfigurata dall’acido nella conceria in cui lavora, e suo fratello Dilip, che sogna un futuro migliore per lei.</t>
        </is>
      </c>
      <c r="M80" s="14" t="inlineStr"/>
    </row>
    <row r="81">
      <c r="A81" s="14" t="inlineStr">
        <is>
          <t>Scuola media (11-13)</t>
        </is>
      </c>
      <c r="B81" s="14" t="inlineStr">
        <is>
          <t>Uovonero</t>
        </is>
      </c>
      <c r="C81" s="14" t="inlineStr">
        <is>
          <t>Gabbie</t>
        </is>
      </c>
      <c r="D81" s="14" t="inlineStr">
        <is>
          <t>A. Vivarelli, G. Quarzo</t>
        </is>
      </c>
      <c r="E81" s="14" t="inlineStr">
        <is>
          <t>12+, 14+</t>
        </is>
      </c>
      <c r="F81" s="16" t="n">
        <v>16</v>
      </c>
      <c r="G81" s="14" t="inlineStr">
        <is>
          <t>9791280104311</t>
        </is>
      </c>
      <c r="H81" s="14" t="inlineStr"/>
      <c r="I81" s="14" t="inlineStr">
        <is>
          <t>Sì</t>
        </is>
      </c>
      <c r="J81" s="14" t="inlineStr">
        <is>
          <t>I Geodi</t>
        </is>
      </c>
      <c r="K81" s="14" t="inlineStr">
        <is>
          <t>Autismo</t>
        </is>
      </c>
      <c r="L81" s="14" t="inlineStr">
        <is>
          <t>Torino, 1879. L’Accademia delle Scienze premia Darwin. Nel museo vengono ritrovati i corpi di un professore e un gorilla abbracciati. Sarà Stefano a scoprire il colpevole?</t>
        </is>
      </c>
      <c r="M81" s="14" t="inlineStr"/>
    </row>
    <row r="82">
      <c r="A82" s="14" t="inlineStr">
        <is>
          <t>Scuola media (11-13)</t>
        </is>
      </c>
      <c r="B82" s="14" t="inlineStr">
        <is>
          <t>Uovonero</t>
        </is>
      </c>
      <c r="C82" s="14" t="inlineStr">
        <is>
          <t>Il mistero del Guggenheim</t>
        </is>
      </c>
      <c r="D82" s="14" t="inlineStr">
        <is>
          <t>Robin Stevens (idea di S. Dowd)</t>
        </is>
      </c>
      <c r="E82" s="14" t="inlineStr">
        <is>
          <t>12+, 14+</t>
        </is>
      </c>
      <c r="F82" s="16" t="n">
        <v>16</v>
      </c>
      <c r="G82" s="14" t="inlineStr">
        <is>
          <t>9791280104700</t>
        </is>
      </c>
      <c r="H82" s="14" t="inlineStr"/>
      <c r="I82" s="14" t="inlineStr">
        <is>
          <t>Sì</t>
        </is>
      </c>
      <c r="J82" s="14" t="inlineStr">
        <is>
          <t>I Geodi</t>
        </is>
      </c>
      <c r="K82" s="14" t="inlineStr">
        <is>
          <t>Autismo</t>
        </is>
      </c>
      <c r="L82" s="14" t="inlineStr">
        <is>
          <t>Da un’idea di Siobhan Dowd, il seguito di un romanzo di culto. Dopo aver risolto il mistero della scomparsa di Salim sul London Eye, il furto di un importante dipinto dal Guggenheim Museum di New York sarà l’occasione per Ted e Kat di tornare a utilizzare le loro formidabili doti investigative.</t>
        </is>
      </c>
      <c r="M82" s="14" t="inlineStr"/>
    </row>
    <row r="83">
      <c r="A83" s="14" t="inlineStr">
        <is>
          <t>Scuola media (11-13)</t>
        </is>
      </c>
      <c r="B83" s="14" t="inlineStr">
        <is>
          <t>Uovonero</t>
        </is>
      </c>
      <c r="C83" s="14" t="inlineStr">
        <is>
          <t>Il mistero del London Eye</t>
        </is>
      </c>
      <c r="D83" s="14" t="inlineStr">
        <is>
          <t>Siobhan Dowd</t>
        </is>
      </c>
      <c r="E83" s="14" t="inlineStr">
        <is>
          <t>12+</t>
        </is>
      </c>
      <c r="F83" s="16" t="n">
        <v>16</v>
      </c>
      <c r="G83" s="14" t="inlineStr">
        <is>
          <t>9791280104007</t>
        </is>
      </c>
      <c r="H83" s="14" t="inlineStr"/>
      <c r="I83" s="14" t="inlineStr">
        <is>
          <t>Sì</t>
        </is>
      </c>
      <c r="J83" s="14" t="inlineStr">
        <is>
          <t>I Geodi</t>
        </is>
      </c>
      <c r="K83" s="14" t="inlineStr">
        <is>
          <t>Autismo (Premio Andersen 2012)</t>
        </is>
      </c>
      <c r="L83" s="14" t="inlineStr">
        <is>
          <t>Un giallo avvincente che ha appassionato più di 200.000 lettori! Nel cervello di Ted gira un sistema operativo diverso da quello delle altre persone. Riuscirà a ritrovare il cugino Salim con l’aiuto di sua sorella Kat?</t>
        </is>
      </c>
      <c r="M83" s="14" t="inlineStr"/>
    </row>
    <row r="84">
      <c r="A84" s="14" t="inlineStr">
        <is>
          <t>Scuola media (11-13)</t>
        </is>
      </c>
      <c r="B84" s="14" t="inlineStr">
        <is>
          <t>Uovonero</t>
        </is>
      </c>
      <c r="C84" s="14" t="inlineStr">
        <is>
          <t>Il pavee e la ragazza</t>
        </is>
      </c>
      <c r="D84" s="14" t="inlineStr">
        <is>
          <t>Siobhan Dowd; ill. Emma Shoard</t>
        </is>
      </c>
      <c r="E84" s="14" t="inlineStr">
        <is>
          <t>9/12, 12+, 14+</t>
        </is>
      </c>
      <c r="F84" s="16" t="n">
        <v>15</v>
      </c>
      <c r="G84" s="14" t="inlineStr">
        <is>
          <t>9788896918630</t>
        </is>
      </c>
      <c r="H84" s="14" t="inlineStr"/>
      <c r="I84" s="14" t="inlineStr">
        <is>
          <t>Sì</t>
        </is>
      </c>
      <c r="J84" s="14" t="inlineStr">
        <is>
          <t>I Geodi</t>
        </is>
      </c>
      <c r="K84" s="14" t="inlineStr">
        <is>
          <t>Minoranze (comunità Pavee)</t>
        </is>
      </c>
      <c r="L84" s="14" t="inlineStr">
        <is>
          <t>Secondo classificato Premio Cento 2020 Jim è un pavee, un nomade irlandese, e Kit una buffer, una stanziale; combatteranno insieme l’odio e pregiudizi.</t>
        </is>
      </c>
      <c r="M84" s="14" t="inlineStr"/>
    </row>
    <row r="85">
      <c r="A85" s="14" t="inlineStr">
        <is>
          <t>Scuola media (11-13)</t>
        </is>
      </c>
      <c r="B85" s="14" t="inlineStr">
        <is>
          <t>Uovonero</t>
        </is>
      </c>
      <c r="C85" s="14" t="inlineStr">
        <is>
          <t>Keedie</t>
        </is>
      </c>
      <c r="D85" s="14" t="inlineStr">
        <is>
          <t>Elle McNicoll</t>
        </is>
      </c>
      <c r="E85" s="14" t="inlineStr">
        <is>
          <t>12+</t>
        </is>
      </c>
      <c r="F85" s="16" t="n">
        <v>16</v>
      </c>
      <c r="G85" s="14" t="inlineStr">
        <is>
          <t>9791280104625</t>
        </is>
      </c>
      <c r="H85" s="14" t="inlineStr"/>
      <c r="I85" s="14" t="inlineStr">
        <is>
          <t>Sì</t>
        </is>
      </c>
      <c r="J85" s="14" t="inlineStr">
        <is>
          <t>I Geodi</t>
        </is>
      </c>
      <c r="K85" s="14" t="inlineStr">
        <is>
          <t>Autismo</t>
        </is>
      </c>
      <c r="L85" s="14" t="inlineStr">
        <is>
          <t>Ambientata a Juniper cinque anni prima di Una specie di scintilla, una potente storia di crescita che affronta in modo riflessivo il bullismo, la gestione delle amicizie e le gioie e le difficoltà dell’essere un’adolescente autistica. Mano a mano Keedie e sua sorella gemella Nina si avvicinano al loro quattordicesimo compleanno, si allontanano sempre di più una dall’atra. Keedie invece si sente attratta e ferocemente protettiva nei confronti della tranquilla sorella minore Addie, che in apparenza è il suo opposto – sempre così rumorosa e focosa – ma che in realtà ha in comune più di quanto si possa immaginare.</t>
        </is>
      </c>
      <c r="M85" s="14" t="inlineStr">
        <is>
          <t>https://www.ibs.it/x/e/9791280104625</t>
        </is>
      </c>
    </row>
    <row r="86">
      <c r="A86" s="14" t="inlineStr">
        <is>
          <t>Scuola media (11-13)</t>
        </is>
      </c>
      <c r="B86" s="14" t="inlineStr">
        <is>
          <t>Uovonero</t>
        </is>
      </c>
      <c r="C86" s="14" t="inlineStr">
        <is>
          <t>La fisica degli abbracci</t>
        </is>
      </c>
      <c r="D86" s="14" t="inlineStr">
        <is>
          <t>Anna Vivarelli</t>
        </is>
      </c>
      <c r="E86" s="14" t="inlineStr">
        <is>
          <t>12+, 14+</t>
        </is>
      </c>
      <c r="F86" s="16" t="n">
        <v>15</v>
      </c>
      <c r="G86" s="14" t="inlineStr">
        <is>
          <t>9791280104090</t>
        </is>
      </c>
      <c r="H86" s="14" t="inlineStr"/>
      <c r="I86" s="14" t="inlineStr">
        <is>
          <t>Sì</t>
        </is>
      </c>
      <c r="J86" s="14" t="inlineStr">
        <is>
          <t>I Geodi</t>
        </is>
      </c>
      <c r="K86" s="14" t="inlineStr">
        <is>
          <t>Autismo</t>
        </is>
      </c>
      <c r="L86" s="14" t="inlineStr">
        <is>
          <t>Una storia di fuga e rinascita con due protagonisti indimenticabili. Will ha 16 anni, 180 di QI ed è in fuga. Dora ne ha 50, è molto empatica e fa la badante. Due vite diverse che si incrociano.</t>
        </is>
      </c>
      <c r="M86" s="14" t="inlineStr"/>
    </row>
    <row r="87">
      <c r="A87" s="14" t="inlineStr">
        <is>
          <t>Scuola media (11-13)</t>
        </is>
      </c>
      <c r="B87" s="14" t="inlineStr">
        <is>
          <t>Uovonero</t>
        </is>
      </c>
      <c r="C87" s="14" t="inlineStr">
        <is>
          <t>Mio fratello è un Custode</t>
        </is>
      </c>
      <c r="D87" s="14" t="inlineStr">
        <is>
          <t>Marine Carteron</t>
        </is>
      </c>
      <c r="E87" s="14" t="inlineStr">
        <is>
          <t>12+, 14+</t>
        </is>
      </c>
      <c r="F87" s="16" t="n">
        <v>15</v>
      </c>
      <c r="G87" s="14" t="inlineStr">
        <is>
          <t>9788896918784</t>
        </is>
      </c>
      <c r="H87" s="14" t="inlineStr"/>
      <c r="I87" s="14" t="inlineStr">
        <is>
          <t>Sì</t>
        </is>
      </c>
      <c r="J87" s="14" t="inlineStr">
        <is>
          <t>I Geodi</t>
        </is>
      </c>
      <c r="K87" s="14" t="inlineStr">
        <is>
          <t>Autismo</t>
        </is>
      </c>
      <c r="L87" s="14" t="inlineStr">
        <is>
          <t>Il padre di Auguste e Césarine muore in un incidente d’auto. I due ragazzi si trasferiscono con la madre dai nonni, nella casa di famiglia in campagna. Lì scoprono che il padre è stato assassinato da una misteriosa società segreta: la Lega degli Autodafé. Il suo obiettivo? Controllare le coscienze attraverso la censura.</t>
        </is>
      </c>
      <c r="M87" s="14" t="inlineStr"/>
    </row>
    <row r="88">
      <c r="A88" s="14" t="inlineStr">
        <is>
          <t>Scuola media (11-13)</t>
        </is>
      </c>
      <c r="B88" s="14" t="inlineStr">
        <is>
          <t>Uovonero</t>
        </is>
      </c>
      <c r="C88" s="14" t="inlineStr">
        <is>
          <t>Mostraci chi sei</t>
        </is>
      </c>
      <c r="D88" s="14" t="inlineStr">
        <is>
          <t>Elle McNicoll</t>
        </is>
      </c>
      <c r="E88" s="14" t="inlineStr">
        <is>
          <t>12+, 14+</t>
        </is>
      </c>
      <c r="F88" s="16" t="n">
        <v>16</v>
      </c>
      <c r="G88" s="14" t="inlineStr">
        <is>
          <t>9791280104175</t>
        </is>
      </c>
      <c r="H88" s="14" t="inlineStr"/>
      <c r="I88" s="14" t="inlineStr">
        <is>
          <t>Sì</t>
        </is>
      </c>
      <c r="J88" s="14" t="inlineStr">
        <is>
          <t>I Geodi</t>
        </is>
      </c>
      <c r="K88" s="14" t="inlineStr">
        <is>
          <t>Autismo</t>
        </is>
      </c>
      <c r="L88" s="14" t="inlineStr">
        <is>
          <t>L’autrice del pluripremiato Una specie di scintilla torna in libreria con un atteso romanzo di fantascienza. Cora, giovane autistica, fa amicizia con Adrien, ragazzo con l’ADHD. Su di loro, l’ombra di un’azienda hi-tech che vuole creare degli ologrammi del tutto identici alle persone reali.</t>
        </is>
      </c>
      <c r="M88" s="14" t="inlineStr"/>
    </row>
    <row r="89">
      <c r="A89" s="14" t="inlineStr">
        <is>
          <t>Scuola media (11-13)</t>
        </is>
      </c>
      <c r="B89" s="14" t="inlineStr">
        <is>
          <t>Uovonero</t>
        </is>
      </c>
      <c r="C89" s="14" t="inlineStr">
        <is>
          <t>Professor papà</t>
        </is>
      </c>
      <c r="D89" s="14" t="inlineStr">
        <is>
          <t>Gunnar Helgason</t>
        </is>
      </c>
      <c r="E89" s="14" t="inlineStr">
        <is>
          <t>12+</t>
        </is>
      </c>
      <c r="F89" s="16" t="n">
        <v>16</v>
      </c>
      <c r="G89" s="14" t="inlineStr">
        <is>
          <t>9791280104656</t>
        </is>
      </c>
      <c r="H89" s="14" t="inlineStr"/>
      <c r="I89" s="14" t="inlineStr">
        <is>
          <t>Sì</t>
        </is>
      </c>
      <c r="J89" s="14" t="inlineStr">
        <is>
          <t>I Geodi</t>
        </is>
      </c>
      <c r="K89" s="14" t="inlineStr">
        <is>
          <t>Disabilità</t>
        </is>
      </c>
      <c r="L89" s="14" t="inlineStr">
        <is>
          <t>Stella torna alle prese con un papà geniale ma poco pratico, mentre la mamma è a Berlino: Natale, bulli a scuola e primo amore.</t>
        </is>
      </c>
      <c r="M89" s="14" t="inlineStr">
        <is>
          <t>https://www.ibs.it/x/e/9791280104656</t>
        </is>
      </c>
    </row>
    <row r="90">
      <c r="A90" s="14" t="inlineStr">
        <is>
          <t>Scuola media (11-13)</t>
        </is>
      </c>
      <c r="B90" s="14" t="inlineStr">
        <is>
          <t>Uovonero</t>
        </is>
      </c>
      <c r="C90" s="14" t="inlineStr">
        <is>
          <t>Semplicemente Maria</t>
        </is>
      </c>
      <c r="D90" s="14" t="inlineStr">
        <is>
          <t>Jay Hardwig</t>
        </is>
      </c>
      <c r="E90" s="14" t="inlineStr">
        <is>
          <t>12+</t>
        </is>
      </c>
      <c r="F90" s="16" t="n">
        <v>16.5</v>
      </c>
      <c r="G90" s="14" t="inlineStr">
        <is>
          <t>9791280104595</t>
        </is>
      </c>
      <c r="H90" s="14" t="inlineStr"/>
      <c r="I90" s="14" t="inlineStr">
        <is>
          <t>Sì</t>
        </is>
      </c>
      <c r="J90" s="14" t="inlineStr">
        <is>
          <t>I Geodi</t>
        </is>
      </c>
      <c r="K90" s="14" t="inlineStr">
        <is>
          <t>Cecità / disabilità</t>
        </is>
      </c>
      <c r="L90" s="14" t="inlineStr">
        <is>
          <t>Maria non vuole apparire strana o indifesa. Non vuole essere fantastica né una fonte di ispirazione. Maria vuole essere semplicemente normale. Questa è la storia di Maria Romero, un’undicenne cieca che cerca in tutti i modi di essere normale. Ma è difficile essere normale quando i tuoi occhi sono di vetro e impugni un bastone bianco. Ed è ancora più difficile passare inosservata quando hai un vicino e compagno di classe come JJ Munson, un ragazzino asmatico e sovrappeso un po’ stravagante che la coinvolge in una serie di sfide per dimostrare le loro abilità come dilettanti investigatori privati. Quando una giovane ragazza scompare, questa nuova amicizia e il coraggio di Maria saranno messi a dura prova...</t>
        </is>
      </c>
      <c r="M90" s="14" t="inlineStr">
        <is>
          <t>https://www.ibs.it/x/e/9791280104595</t>
        </is>
      </c>
    </row>
    <row r="91">
      <c r="A91" s="14" t="inlineStr">
        <is>
          <t>Scuola media (11-13)</t>
        </is>
      </c>
      <c r="B91" s="14" t="inlineStr">
        <is>
          <t>Uovonero</t>
        </is>
      </c>
      <c r="C91" s="14" t="inlineStr">
        <is>
          <t>Thornhill</t>
        </is>
      </c>
      <c r="D91" s="14" t="inlineStr">
        <is>
          <t>Pam Smy</t>
        </is>
      </c>
      <c r="E91" s="14" t="inlineStr">
        <is>
          <t>12+, 14+</t>
        </is>
      </c>
      <c r="F91" s="16" t="n">
        <v>22</v>
      </c>
      <c r="G91" s="14" t="inlineStr">
        <is>
          <t>9788896918531</t>
        </is>
      </c>
      <c r="H91" s="14" t="inlineStr"/>
      <c r="I91" s="14" t="inlineStr">
        <is>
          <t>Sì</t>
        </is>
      </c>
      <c r="J91" s="14" t="inlineStr">
        <is>
          <t>I Geodi</t>
        </is>
      </c>
      <c r="K91" s="14" t="inlineStr">
        <is>
          <t>Bullismo</t>
        </is>
      </c>
      <c r="L91" s="14" t="inlineStr">
        <is>
          <t>Un racconto nero e avvincente che intrappola in un vortice denso di immagini e parole. Le storie di due ragazze, una narrata dalle pagine di un diario e l’altra attraverso le meravigliose illustrazioni in bianco e nero, che nonostante le distanze si avvicinano fi no quasi a toccarsi...</t>
        </is>
      </c>
      <c r="M91" s="14" t="inlineStr"/>
    </row>
    <row r="92">
      <c r="A92" s="14" t="inlineStr">
        <is>
          <t>Scuola media (11-13)</t>
        </is>
      </c>
      <c r="B92" s="14" t="inlineStr">
        <is>
          <t>Uovonero</t>
        </is>
      </c>
      <c r="C92" s="14" t="inlineStr">
        <is>
          <t>Tre dita</t>
        </is>
      </c>
      <c r="D92" s="14" t="inlineStr">
        <is>
          <t>Massimo Canuti</t>
        </is>
      </c>
      <c r="E92" s="14" t="inlineStr">
        <is>
          <t>12+</t>
        </is>
      </c>
      <c r="F92" s="16" t="n">
        <v>16.5</v>
      </c>
      <c r="G92" s="14" t="inlineStr">
        <is>
          <t>9791280104670</t>
        </is>
      </c>
      <c r="H92" s="14" t="inlineStr"/>
      <c r="I92" s="14" t="inlineStr">
        <is>
          <t>Sì</t>
        </is>
      </c>
      <c r="J92" s="14" t="inlineStr">
        <is>
          <t>I Geodi</t>
        </is>
      </c>
      <c r="K92" s="14" t="inlineStr">
        <is>
          <t>Memoria (Seconda guerra mondiale)</t>
        </is>
      </c>
      <c r="L92" s="14" t="inlineStr">
        <is>
          <t>Un romanzo ispirato alla vita dello scultore Nado Canuti, padre dell’autore. Attraverso gli occhi del giovane Nado, il lettore vive il contrasto tra la spensieratezza dell’infanzia e la durezza della realtà, in una storia di dolore, resilienza e speranza. Un romanzo di formazione ambientato durante la Seconda Guerra Mondiale, che racconta la storia di Nado, undici anni, che vive nel piccolo paese di Bettolle, in Toscana. La narrazione, intrisa di ironia e malinconia, segue le vicende della famiglia del ragazzino e dei suoi giovani amici in un’Italia occupata dai tedeschi. Improvvisamente, la vita di Nado viene segnata da un evento drammatico: l’esplosione di una bomba che gli porta via sette dita. Questo incidente diventa il simbolo della sua lotta per crescere e trovare un senso in un mondo sconvolto dalla guerra.</t>
        </is>
      </c>
      <c r="M92" s="14" t="inlineStr">
        <is>
          <t>https://www.ibs.it/x/e/9791280104670</t>
        </is>
      </c>
    </row>
    <row r="93">
      <c r="A93" s="14" t="inlineStr">
        <is>
          <t>Scuola media (11-13)</t>
        </is>
      </c>
      <c r="B93" s="14" t="inlineStr">
        <is>
          <t>Uovonero</t>
        </is>
      </c>
      <c r="C93" s="14" t="inlineStr">
        <is>
          <t>Tutt’altro che tipico</t>
        </is>
      </c>
      <c r="D93" s="14" t="inlineStr">
        <is>
          <t>Nora Raleigh Baskin</t>
        </is>
      </c>
      <c r="E93" s="14" t="inlineStr">
        <is>
          <t>12+</t>
        </is>
      </c>
      <c r="F93" s="16" t="n">
        <v>14</v>
      </c>
      <c r="G93" s="14" t="inlineStr">
        <is>
          <t>9788896918180</t>
        </is>
      </c>
      <c r="H93" s="14" t="inlineStr"/>
      <c r="I93" s="14" t="inlineStr">
        <is>
          <t>Sì</t>
        </is>
      </c>
      <c r="J93" s="14" t="inlineStr">
        <is>
          <t>I Geodi</t>
        </is>
      </c>
      <c r="K93" s="14" t="inlineStr">
        <is>
          <t>Autismo</t>
        </is>
      </c>
      <c r="L93" s="14" t="inlineStr">
        <is>
          <t>Secondo classificato XXXV edizione Premio Cento Un appassionante romanzo sulla scrittura e l’amicizia, viste da un personaggio con un cervello tutt’altro che tipico. Jason è sé stesso solo quando scrive racconti, che posta sul sito Storyboard. Qui conosce una ragazza, PhoenixBird, ma ha paura di incontrarla nel mondo reale.</t>
        </is>
      </c>
      <c r="M93" s="14" t="inlineStr"/>
    </row>
    <row r="94">
      <c r="A94" s="14" t="inlineStr">
        <is>
          <t>Scuola media (11-13)</t>
        </is>
      </c>
      <c r="B94" s="14" t="inlineStr">
        <is>
          <t>Uovonero</t>
        </is>
      </c>
      <c r="C94" s="14" t="inlineStr">
        <is>
          <t>Tutta la rabbia che ho dentro</t>
        </is>
      </c>
      <c r="D94" s="14" t="inlineStr">
        <is>
          <t>Inés Garland</t>
        </is>
      </c>
      <c r="E94" s="14" t="inlineStr">
        <is>
          <t>12+</t>
        </is>
      </c>
      <c r="F94" s="16" t="n">
        <v>16</v>
      </c>
      <c r="G94" s="14" t="inlineStr">
        <is>
          <t>9791280104786</t>
        </is>
      </c>
      <c r="H94" s="14" t="inlineStr"/>
      <c r="I94" s="14" t="inlineStr">
        <is>
          <t>Sì</t>
        </is>
      </c>
      <c r="J94" s="14" t="inlineStr">
        <is>
          <t>I Geodi</t>
        </is>
      </c>
      <c r="K94" s="14" t="inlineStr">
        <is>
          <t>Emozioni e adolescenza</t>
        </is>
      </c>
      <c r="L94" s="14" t="inlineStr">
        <is>
          <t>La rabbia e l’amore, la scoperta della tenerezza, delle proprie emozioni e il difficile cammino per imparare a gestirle. Ambientato in Argentina, a Buenos Aires, alla fi ne degli anni Ottanta, Tutta la rabbia che ho dentro racconta la storia di Tadeo, un adolescente che subisce quotidianamente la violenza domestica della sua famiglia. Quando incontra Vera, scopre che non tutte le famiglie sono come la sua: si apre così una porta verso un nuovo modo di vivere. Tadeo riesce a superare la paura e ad agire in modo diverso, affrontando la sua natura e imparando a gestire quella che sembra la sua inevitabile eredità. Il suo percorso ci mostra il coraggio necessario per trovare la nostra strada e liberarci dalle catene che ci legano ai nostri cari. L’autrice Inés Garland ha vinto il Premio Strega Ragazze e Ragazzi 2023 nella categoria 8+ con Lilo</t>
        </is>
      </c>
      <c r="M94" s="14" t="inlineStr">
        <is>
          <t>https://www.ibs.it/x/e/9791280104786</t>
        </is>
      </c>
    </row>
    <row r="95">
      <c r="A95" s="14" t="inlineStr">
        <is>
          <t>Scuola media (11-13)</t>
        </is>
      </c>
      <c r="B95" s="14" t="inlineStr">
        <is>
          <t>Uovonero</t>
        </is>
      </c>
      <c r="C95" s="14" t="inlineStr">
        <is>
          <t>Una mamma svitata</t>
        </is>
      </c>
      <c r="D95" s="14" t="inlineStr">
        <is>
          <t>Gunnar Helgason</t>
        </is>
      </c>
      <c r="E95" s="14" t="inlineStr">
        <is>
          <t>12+</t>
        </is>
      </c>
      <c r="F95" s="16" t="n">
        <v>15</v>
      </c>
      <c r="G95" s="14" t="inlineStr">
        <is>
          <t>9791280104427</t>
        </is>
      </c>
      <c r="H95" s="14" t="inlineStr"/>
      <c r="I95" s="14" t="inlineStr">
        <is>
          <t>Sì</t>
        </is>
      </c>
      <c r="J95" s="14" t="inlineStr">
        <is>
          <t>I Geodi</t>
        </is>
      </c>
      <c r="K95" s="14" t="inlineStr">
        <is>
          <t>Famiglia e adolescenza</t>
        </is>
      </c>
      <c r="L95" s="14" t="inlineStr">
        <is>
          <t>Una storia umoristica che indaga il significato di “normalità” . Stella, dodici anni, sogna la normalità, ma con una madre così stravagante non è facile. Riuscirà a completare il piano “Trasformiamo la mamma”? Stella norm strava comp la ma</t>
        </is>
      </c>
      <c r="M95" s="14" t="inlineStr"/>
    </row>
    <row r="96">
      <c r="A96" s="14" t="inlineStr">
        <is>
          <t>Scuola media (11-13)</t>
        </is>
      </c>
      <c r="B96" s="14" t="inlineStr">
        <is>
          <t>Uovonero</t>
        </is>
      </c>
      <c r="C96" s="14" t="inlineStr">
        <is>
          <t>Una piccola cosa senza importanza</t>
        </is>
      </c>
      <c r="D96" s="14" t="inlineStr">
        <is>
          <t>Catherine Fradier</t>
        </is>
      </c>
      <c r="E96" s="14" t="inlineStr">
        <is>
          <t>12+, 14+</t>
        </is>
      </c>
      <c r="F96" s="16" t="n">
        <v>15</v>
      </c>
      <c r="G96" s="14" t="inlineStr">
        <is>
          <t>9791280104120</t>
        </is>
      </c>
      <c r="H96" s="14" t="inlineStr"/>
      <c r="I96" s="14" t="inlineStr">
        <is>
          <t>Sì</t>
        </is>
      </c>
      <c r="J96" s="14" t="inlineStr">
        <is>
          <t>I Geodi</t>
        </is>
      </c>
      <c r="K96" s="14" t="inlineStr">
        <is>
          <t>Autismo</t>
        </is>
      </c>
      <c r="L96" s="14" t="inlineStr">
        <is>
          <t>Un’avventura nel cuore del Congo raccontata dallo sguardo di un giovane Asperger. Sacha ha 14 anni, è autistico e vive con sua madre, una dottoressa che lavora in una missione umanitaria nel Congo. Simpatizza con Destinée, una ragazza soldato con cui si ritrova coinvolto in una pericolosa avventura.</t>
        </is>
      </c>
      <c r="M96" s="14" t="inlineStr"/>
    </row>
    <row r="97">
      <c r="A97" s="14" t="inlineStr">
        <is>
          <t>Adolescenza (14+)</t>
        </is>
      </c>
      <c r="B97" s="14" t="inlineStr">
        <is>
          <t>Uovonero</t>
        </is>
      </c>
      <c r="C97" s="14" t="inlineStr">
        <is>
          <t>Divergente</t>
        </is>
      </c>
      <c r="D97" s="14" t="inlineStr">
        <is>
          <t>Victoria Grondin</t>
        </is>
      </c>
      <c r="E97" s="14" t="inlineStr">
        <is>
          <t>14+</t>
        </is>
      </c>
      <c r="F97" s="16" t="n">
        <v>15</v>
      </c>
      <c r="G97" s="14" t="inlineStr">
        <is>
          <t>9791280104304</t>
        </is>
      </c>
      <c r="H97" s="14" t="inlineStr"/>
      <c r="I97" s="14" t="inlineStr">
        <is>
          <t>Sì</t>
        </is>
      </c>
      <c r="J97" s="14" t="inlineStr">
        <is>
          <t>I Geodi</t>
        </is>
      </c>
      <c r="K97" s="14" t="inlineStr">
        <is>
          <t>Autismo / diversità</t>
        </is>
      </c>
      <c r="L97" s="14" t="inlineStr">
        <is>
          <t>La dura storia di Guillaume, un ragazzo neurotipico in un mondo ribaltato, in cui l’autismo è la norma. Un romanzo distopico che interroga sul concetto di normalità ed esclusione.</t>
        </is>
      </c>
      <c r="M97" s="14" t="inlineStr"/>
    </row>
    <row r="98">
      <c r="A98" s="14" t="inlineStr">
        <is>
          <t>Adolescenza (14+)</t>
        </is>
      </c>
      <c r="B98" s="14" t="inlineStr">
        <is>
          <t>Uovonero</t>
        </is>
      </c>
      <c r="C98" s="14" t="inlineStr">
        <is>
          <t>Il mio posto</t>
        </is>
      </c>
      <c r="D98" s="14" t="inlineStr">
        <is>
          <t>Daniele Bergesio</t>
        </is>
      </c>
      <c r="E98" s="14" t="inlineStr">
        <is>
          <t>14+</t>
        </is>
      </c>
      <c r="F98" s="16" t="n">
        <v>16</v>
      </c>
      <c r="G98" s="14" t="inlineStr">
        <is>
          <t>9791280104779</t>
        </is>
      </c>
      <c r="H98" s="14" t="inlineStr"/>
      <c r="I98" s="14" t="inlineStr">
        <is>
          <t>Sì</t>
        </is>
      </c>
      <c r="J98" s="14" t="inlineStr">
        <is>
          <t>I Geodi</t>
        </is>
      </c>
      <c r="K98" s="14" t="inlineStr">
        <is>
          <t>Emozioni e adolescenza</t>
        </is>
      </c>
      <c r="L98" s="14" t="inlineStr">
        <is>
          <t>Un viaggio di formazione, un racconto di crescita personale e di ricerca di un luogo dove sentirsi a casa. Attraverso le difficoltà, le scoperte e le relazioni umane, Luca impara a conoscere se stesso e a trovare il coraggio di affrontare il futuro. La storia di un giovane di diciassette anni, Luca, che decide di fuggire dalla sua casa, una cascina dominata dalla fi gura tirannica del padre, il Pescecane, e dai suoi fratelli crudeli. La sua fuga lo porta a intraprendere un viaggio lungo il corso del Po, alla ricerca di un luogo dove sentirsi fi nalmente libero e accettato. Durante il suo cammino, Luca incontra diverse persone che segnano profondamente il suo percorso; ogni incontro lo aiuta a crescere, a riflettere e a comprendere meglio se stesso e il mondo che lo circonda. Fino a che, in lontananza, si staglia la sagoma di una grande città: Torino...</t>
        </is>
      </c>
      <c r="M98" s="14" t="inlineStr">
        <is>
          <t>https://www.ibs.it/x/e/9791280104779</t>
        </is>
      </c>
    </row>
    <row r="99">
      <c r="A99" s="14" t="inlineStr">
        <is>
          <t>Adolescenza (14+)</t>
        </is>
      </c>
      <c r="B99" s="14" t="inlineStr">
        <is>
          <t>Uovonero</t>
        </is>
      </c>
      <c r="C99" s="14" t="inlineStr">
        <is>
          <t>L’aquilone di Noah</t>
        </is>
      </c>
      <c r="D99" s="14" t="inlineStr">
        <is>
          <t>Rafael Salmerón</t>
        </is>
      </c>
      <c r="E99" s="14" t="inlineStr">
        <is>
          <t>14+</t>
        </is>
      </c>
      <c r="F99" s="16" t="n">
        <v>15</v>
      </c>
      <c r="G99" s="14" t="inlineStr">
        <is>
          <t>9791280104137</t>
        </is>
      </c>
      <c r="H99" s="14" t="inlineStr"/>
      <c r="I99" s="14" t="inlineStr">
        <is>
          <t>Sì</t>
        </is>
      </c>
      <c r="J99" s="14" t="inlineStr">
        <is>
          <t>I Geodi</t>
        </is>
      </c>
      <c r="K99" s="14" t="inlineStr">
        <is>
          <t>Autismo; Seconda guerra mondiale</t>
        </is>
      </c>
      <c r="L99" s="14" t="inlineStr">
        <is>
          <t>Un romanzo che ci invita a mantenere la speranza anche nelle situazioni più disperate. Noah, il fi glio più giovane dell’orologiaio Leopold e di sua moglie Dora, abita con i suoi fratelli a Cracovia. Noah è un bambino diverso dagli altri: vive nel suo mondo e non parla. È il 1939 e i tedeschi hanno appena invaso la Polonia...</t>
        </is>
      </c>
      <c r="M99" s="14" t="inlineStr"/>
    </row>
    <row r="100">
      <c r="A100" s="14" t="inlineStr">
        <is>
          <t>Adolescenza (14+)</t>
        </is>
      </c>
      <c r="B100" s="14" t="inlineStr">
        <is>
          <t>Uovonero</t>
        </is>
      </c>
      <c r="C100" s="14" t="inlineStr">
        <is>
          <t>Le degenerate</t>
        </is>
      </c>
      <c r="D100" s="14" t="inlineStr">
        <is>
          <t>J. Albert Mann</t>
        </is>
      </c>
      <c r="E100" s="14" t="inlineStr">
        <is>
          <t>14+</t>
        </is>
      </c>
      <c r="F100" s="16" t="n">
        <v>16</v>
      </c>
      <c r="G100" s="14" t="inlineStr">
        <is>
          <t>9791280104236</t>
        </is>
      </c>
      <c r="H100" s="14" t="inlineStr"/>
      <c r="I100" s="14" t="inlineStr">
        <is>
          <t>Sì</t>
        </is>
      </c>
      <c r="J100" s="14" t="inlineStr">
        <is>
          <t>I Geodi</t>
        </is>
      </c>
      <c r="K100" s="14" t="inlineStr">
        <is>
          <t>Disabilità (storia delle istituzioni, 1928)</t>
        </is>
      </c>
      <c r="L100" s="14" t="inlineStr">
        <is>
          <t>Stati Uniti, anni ‘20 del secolo scorso: quattro ragazze diverse e irriducibili sono pronte a tutto pur di cambiare un destino imposto da altri. La Scuola per deboli di mente del Massachusetts non è un posto felice. Non lo è per Rose, ragazza con Sindrome di Down, che affronta operatori crudeli e compagne prepotenti. Non lo è per Maxine, sua sorella maggiore, che tenta di proteggerla da un mondo che le ha etichettate come “idiote”. Non lo è nemmeno per Alice, abbandonata lì per il suo piede equino. Eppure, c’è una persona decisa a fuggire: London, la nuova arrivata. Coraggiosa e ribelle, non accetta passivamente il giudizio di una società ingiusta; riuscirà a infondere nelle compagne un germe di libertà?</t>
        </is>
      </c>
      <c r="M100" s="14" t="inlineStr"/>
    </row>
    <row r="101">
      <c r="A101" s="14" t="inlineStr">
        <is>
          <t>3-6 anni</t>
        </is>
      </c>
      <c r="B101" s="14" t="inlineStr">
        <is>
          <t>Uovonero</t>
        </is>
      </c>
      <c r="C101" s="14" t="inlineStr">
        <is>
          <t>I quaderni di #intantofaccioqualcosa 4 – Attività con la CAA</t>
        </is>
      </c>
      <c r="D101" s="14" t="inlineStr">
        <is>
          <t>a cura di Enza Crivelli</t>
        </is>
      </c>
      <c r="E101" s="14" t="inlineStr">
        <is>
          <t>da 4 anni</t>
        </is>
      </c>
      <c r="F101" s="16" t="n">
        <v>8.9</v>
      </c>
      <c r="G101" s="14" t="inlineStr">
        <is>
          <t>9791280104038</t>
        </is>
      </c>
      <c r="H101" s="14" t="inlineStr">
        <is>
          <t>Sì</t>
        </is>
      </c>
      <c r="I101" s="14" t="inlineStr">
        <is>
          <t>Sì</t>
        </is>
      </c>
      <c r="J101" s="14" t="inlineStr">
        <is>
          <t>I quaderni di #IFQ</t>
        </is>
      </c>
      <c r="K101" s="14" t="inlineStr"/>
      <c r="L101" s="14" t="inlineStr">
        <is>
          <t>Una raccolta di attività ed esercizi che utilizzano il sistema della Comunicazione Aumentativa Alternativa. Uno strumento efficace e divertente che, grazie ai simboli PCS, è fruibile da tutti: anche da chi ha qualche difficoltà di lettura o di comunicazione, o da chi sta imparando a leggere. A volte un logogramma vale più di mille parole!</t>
        </is>
      </c>
      <c r="M101" s="14" t="inlineStr">
        <is>
          <t>testo fornito da Bottegart (scheda Uovonero)</t>
        </is>
      </c>
    </row>
    <row r="102">
      <c r="A102" s="14" t="inlineStr">
        <is>
          <t>3-6 anni</t>
        </is>
      </c>
      <c r="B102" s="14" t="inlineStr">
        <is>
          <t>Uovonero</t>
        </is>
      </c>
      <c r="C102" s="14" t="inlineStr">
        <is>
          <t>I quaderni di #intantofaccioqualcosa 6 – Attività con la CAA 2</t>
        </is>
      </c>
      <c r="D102" s="14" t="inlineStr">
        <is>
          <t>a cura di Enza Crivelli</t>
        </is>
      </c>
      <c r="E102" s="14" t="inlineStr">
        <is>
          <t>da 4 anni</t>
        </is>
      </c>
      <c r="F102" s="16" t="n">
        <v>8.9</v>
      </c>
      <c r="G102" s="14" t="inlineStr">
        <is>
          <t>9791280104182</t>
        </is>
      </c>
      <c r="H102" s="14" t="inlineStr">
        <is>
          <t>Sì</t>
        </is>
      </c>
      <c r="I102" s="14" t="inlineStr">
        <is>
          <t>Sì</t>
        </is>
      </c>
      <c r="J102" s="14" t="inlineStr">
        <is>
          <t>I quaderni di #IFQ</t>
        </is>
      </c>
      <c r="K102" s="14" t="inlineStr"/>
      <c r="L102" s="14" t="inlineStr">
        <is>
          <t>Ti aspetta un mondo di attività da attraversare sulla punta delle dita! Dopo il grande successo di Attività con la CAA ecco il secondo quaderno per giocare insieme con i simboli PCS della Comunicazione Aumentativa Alternativa. Tanti giochi ed esercizi inclusivi progettati per pensatori visivi, con istruzioni in simboli e impaginati ad alta leggibilità: categorizzazione, associazioni, cruciverba...</t>
        </is>
      </c>
      <c r="M102" s="14" t="inlineStr">
        <is>
          <t>https://www.ibs.it/x/e/9791280104182</t>
        </is>
      </c>
    </row>
    <row r="103">
      <c r="A103" s="14" t="inlineStr">
        <is>
          <t>3-6 anni</t>
        </is>
      </c>
      <c r="B103" s="14" t="inlineStr">
        <is>
          <t>Uovonero</t>
        </is>
      </c>
      <c r="C103" s="14" t="inlineStr">
        <is>
          <t>La principessa sul pisello</t>
        </is>
      </c>
      <c r="D103" s="14" t="inlineStr">
        <is>
          <t>a cura di E. Crivelli; ill. F. Corso</t>
        </is>
      </c>
      <c r="E103" s="14" t="inlineStr">
        <is>
          <t>da 4 anni</t>
        </is>
      </c>
      <c r="F103" s="16" t="n">
        <v>19</v>
      </c>
      <c r="G103" s="14" t="inlineStr">
        <is>
          <t>9791280104403</t>
        </is>
      </c>
      <c r="H103" s="14" t="inlineStr">
        <is>
          <t>Sì</t>
        </is>
      </c>
      <c r="I103" s="14" t="inlineStr">
        <is>
          <t>Sì</t>
        </is>
      </c>
      <c r="J103" s="14" t="inlineStr">
        <is>
          <t>Pesci parlanti</t>
        </is>
      </c>
      <c r="K103" s="14" t="inlineStr"/>
      <c r="L103" s="14" t="inlineStr">
        <is>
          <t>Come si riconosce una principessa vera? Con una prova sotto venti materassi. Edizione con simboli PCS e formato sfogliafacile® (pagine sagomate, facili da sfogliare): per chi ha difficoltà di lettura o di motricità fine e per chi non parla italiano come prima lingua. Disponibile anche nel formato Pesciolini a € 12,90.</t>
        </is>
      </c>
      <c r="M103" s="14" t="inlineStr">
        <is>
          <t>https://www.ibs.it/x/e/9791280104403</t>
        </is>
      </c>
    </row>
    <row r="104">
      <c r="A104" s="14" t="inlineStr">
        <is>
          <t>0-3 anni</t>
        </is>
      </c>
      <c r="B104" s="14" t="inlineStr">
        <is>
          <t>Terre di Mezzo</t>
        </is>
      </c>
      <c r="C104" s="14" t="inlineStr">
        <is>
          <t>Bimbo Bubble va a scuola</t>
        </is>
      </c>
      <c r="D104" s="14" t="inlineStr">
        <is>
          <t>María Ramos</t>
        </is>
      </c>
      <c r="E104" s="14" t="inlineStr">
        <is>
          <t>per i più piccoli</t>
        </is>
      </c>
      <c r="F104" s="16" t="n">
        <v>12.9</v>
      </c>
      <c r="G104" s="14" t="inlineStr">
        <is>
          <t>9788861897182</t>
        </is>
      </c>
      <c r="H104" s="14" t="inlineStr"/>
      <c r="I104" s="14" t="inlineStr">
        <is>
          <t>Sì</t>
        </is>
      </c>
      <c r="J104" s="14" t="inlineStr">
        <is>
          <t>L’Acchiappastorie – Per i più piccoli</t>
        </is>
      </c>
      <c r="K104" s="14" t="inlineStr"/>
      <c r="L104" s="14" t="inlineStr">
        <is>
          <t>Bimbo Bubble oggi è triste! Deve andare alla nuova scuola e ha paura che nessuno voglia giocare con lui. Del resto, è l’unico bimbo fatto di chewing gum... Ma poi scopre che anche gli altri compagni sono tutti unici a modo loro. Conoscere tanti bimbi diversi è la cosa più divertente che c’è! Un libro perfetto per affrontare con allegria le paure del primo giorno di scuola.</t>
        </is>
      </c>
      <c r="M104" s="14" t="inlineStr"/>
    </row>
    <row r="105">
      <c r="A105" s="14" t="inlineStr">
        <is>
          <t>0-3 anni</t>
        </is>
      </c>
      <c r="B105" s="14" t="inlineStr">
        <is>
          <t>Terre di Mezzo</t>
        </is>
      </c>
      <c r="C105" s="14" t="inlineStr">
        <is>
          <t>Buonanotte, Coniglietto</t>
        </is>
      </c>
      <c r="D105" s="14" t="inlineStr">
        <is>
          <t>Jörg Mühle</t>
        </is>
      </c>
      <c r="E105" s="14" t="inlineStr">
        <is>
          <t>per i più piccoli</t>
        </is>
      </c>
      <c r="F105" s="16" t="n">
        <v>8.9</v>
      </c>
      <c r="G105" s="14" t="inlineStr">
        <is>
          <t>9788861895034</t>
        </is>
      </c>
      <c r="H105" s="14" t="inlineStr"/>
      <c r="I105" s="14" t="inlineStr">
        <is>
          <t>Sì</t>
        </is>
      </c>
      <c r="J105" s="14" t="inlineStr">
        <is>
          <t>L’Acchiappastorie – Per i più piccoli</t>
        </is>
      </c>
      <c r="K105" s="14" t="inlineStr"/>
      <c r="L105" s="14" t="inlineStr">
        <is>
          <t>È sera e Coniglietto deve andare a dormire. Basta un battito di mani per aiutarlo a mettersi il pigiama! E poi bisogna sistemargli il cuscino, fargli un po’ di grattini sulle orecchie, dargli il bacio della buonanotte... senza dimenticare di spegnere la luce. Un libro interattivo e interamente cartonato, per trasformare il momento della nanna in un gioco.</t>
        </is>
      </c>
      <c r="M105" s="14" t="inlineStr"/>
    </row>
    <row r="106">
      <c r="A106" s="14" t="inlineStr">
        <is>
          <t>0-3 anni</t>
        </is>
      </c>
      <c r="B106" s="14" t="inlineStr">
        <is>
          <t>Terre di Mezzo</t>
        </is>
      </c>
      <c r="C106" s="14" t="inlineStr">
        <is>
          <t>Tutti sul divano!</t>
        </is>
      </c>
      <c r="D106" s="14" t="inlineStr">
        <is>
          <t>Susanne Strasser</t>
        </is>
      </c>
      <c r="E106" s="14" t="inlineStr">
        <is>
          <t>per i più piccoli</t>
        </is>
      </c>
      <c r="F106" s="16" t="n">
        <v>12.9</v>
      </c>
      <c r="G106" s="14" t="inlineStr">
        <is>
          <t>9791259960108</t>
        </is>
      </c>
      <c r="H106" s="14" t="inlineStr"/>
      <c r="I106" s="14" t="inlineStr">
        <is>
          <t>Sì</t>
        </is>
      </c>
      <c r="J106" s="14" t="inlineStr">
        <is>
          <t>L’Acchiappastorie – Per i più piccoli</t>
        </is>
      </c>
      <c r="K106" s="14" t="inlineStr"/>
      <c r="L106" s="14" t="inlineStr">
        <is>
          <t>Pronti per leggere un libro insieme? Sembrerebbe facile ma... La cicogna è in ritardo. Il criceto vuole andare a prendere il pesce rosso. Il leone si lamenta che gli schiacciano la coda. E quando ognuno ha trovato posto, arriva il rinoceronte in cerca delle ciabatte: sono proprio sotto al divano, e… sbadabàm! Rovescia tutti per terra. Dove infine, quasi per magia, finalmente riescono a inizare il libro! Vincitore Premio Nati per Leggere 2024, Nascere con i libri - sezione 18-36 mesi 3</t>
        </is>
      </c>
      <c r="M106" s="14" t="inlineStr"/>
    </row>
    <row r="107">
      <c r="A107" s="14" t="inlineStr">
        <is>
          <t>3-6 anni</t>
        </is>
      </c>
      <c r="B107" s="14" t="inlineStr">
        <is>
          <t>Terre di Mezzo</t>
        </is>
      </c>
      <c r="C107" s="14" t="inlineStr">
        <is>
          <t>Alfonsina corre</t>
        </is>
      </c>
      <c r="D107" s="14" t="inlineStr">
        <is>
          <t>Joan Negrescolor</t>
        </is>
      </c>
      <c r="E107" s="14" t="inlineStr">
        <is>
          <t>albi illustrati (età indicativa)</t>
        </is>
      </c>
      <c r="F107" s="16" t="n">
        <v>15</v>
      </c>
      <c r="G107" s="14" t="inlineStr">
        <is>
          <t>9788861896697</t>
        </is>
      </c>
      <c r="H107" s="14" t="inlineStr"/>
      <c r="I107" s="14" t="inlineStr">
        <is>
          <t>Sì</t>
        </is>
      </c>
      <c r="J107" s="14" t="inlineStr">
        <is>
          <t>L’Acchiappastorie – Albi illustrati</t>
        </is>
      </c>
      <c r="K107" s="14" t="inlineStr"/>
      <c r="L107" s="14" t="inlineStr">
        <is>
          <t>La storia vera di una ciclista coraggiosa Quando il padre le regala una bicicletta, la piccola Alfonsina rimane folgorata: pedalerà più veloce del vento e sfreccerà per il paese! Ma divertirsi non le basta: vuole essere libera di dedicarsi anima e corpo alla sua passione, e annuncia che diventerà una ciclista. In sella alla sua bici, Alfonsina inizia a gareggiare contro gli atleti uomini finché, nel 1924, partecipa al Giro d’Italia: è la prima donna della storia.</t>
        </is>
      </c>
      <c r="M107" s="14" t="inlineStr"/>
    </row>
    <row r="108">
      <c r="A108" s="14" t="inlineStr">
        <is>
          <t>3-6 anni</t>
        </is>
      </c>
      <c r="B108" s="14" t="inlineStr">
        <is>
          <t>Terre di Mezzo</t>
        </is>
      </c>
      <c r="C108" s="14" t="inlineStr">
        <is>
          <t>Celeste e la gemella Blu</t>
        </is>
      </c>
      <c r="D108" s="14" t="inlineStr">
        <is>
          <t>Angelo Mozzillo, Deco</t>
        </is>
      </c>
      <c r="E108" s="14" t="inlineStr">
        <is>
          <t>albi illustrati (età indicativa)</t>
        </is>
      </c>
      <c r="F108" s="16" t="n">
        <v>16</v>
      </c>
      <c r="G108" s="14" t="inlineStr">
        <is>
          <t>9791259961907</t>
        </is>
      </c>
      <c r="H108" s="14" t="inlineStr"/>
      <c r="I108" s="14" t="inlineStr">
        <is>
          <t>Sì</t>
        </is>
      </c>
      <c r="J108" s="14" t="inlineStr">
        <is>
          <t>L’Acchiappastorie – Albi illustrati</t>
        </is>
      </c>
      <c r="K108" s="14" t="inlineStr"/>
      <c r="L108" s="14" t="inlineStr">
        <is>
          <t>Celeste ha una sola compagna di giochi: Blu, un’amica immaginaria (il suo riflesso all’interno di un secchio pieno d’acqua). A Celeste sta bene così: nel suo cuore c’è spazio solo per il suo papà, per la sua gatta bianca e per Blu. L’arrivo dei nuovi vicini sconvolge questo equilibrio e Blu scompare. Celeste è molto preoccupata, ma le viene in soccorso Rosa, la figlia dei vicini, che la tranquillizza e la incoraggia a superare le paure e ad aprirsi agli altri.</t>
        </is>
      </c>
      <c r="M108" s="14" t="inlineStr"/>
    </row>
    <row r="109">
      <c r="A109" s="14" t="inlineStr">
        <is>
          <t>3-6 anni</t>
        </is>
      </c>
      <c r="B109" s="14" t="inlineStr">
        <is>
          <t>Terre di Mezzo</t>
        </is>
      </c>
      <c r="C109" s="14" t="inlineStr">
        <is>
          <t>Che cos’è la scuola?</t>
        </is>
      </c>
      <c r="D109" s="14" t="inlineStr">
        <is>
          <t>Luca Tortolini, Marco Somà</t>
        </is>
      </c>
      <c r="E109" s="14" t="inlineStr">
        <is>
          <t>albi illustrati (età indicativa)</t>
        </is>
      </c>
      <c r="F109" s="16" t="n">
        <v>16</v>
      </c>
      <c r="G109" s="14" t="inlineStr">
        <is>
          <t>9788861896383</t>
        </is>
      </c>
      <c r="H109" s="14" t="inlineStr"/>
      <c r="I109" s="14" t="inlineStr">
        <is>
          <t>Sì</t>
        </is>
      </c>
      <c r="J109" s="14" t="inlineStr">
        <is>
          <t>L’Acchiappastorie – Albi illustrati</t>
        </is>
      </c>
      <c r="K109" s="14" t="inlineStr"/>
      <c r="L109" s="14" t="inlineStr">
        <is>
          <t>Banchi per appoggiare i gomiti, temperini e pensieri da scambiarsi, maestre e maestri che insegnano la storia ma anche a sbagliare, bambine e bambini di tutti i tipi. Una somma di differenze. Un luogo aperto anche quando è al chiuso, dove nascono le idee e le parole per immaginare un mondo nuovo. Una dichiarazione d’amore appassionata e riconoscente, che risuonerà oggi più che mai nei cuori di chi vive la scuola.</t>
        </is>
      </c>
      <c r="M109" s="14" t="inlineStr"/>
    </row>
    <row r="110">
      <c r="A110" s="14" t="inlineStr">
        <is>
          <t>3-6 anni</t>
        </is>
      </c>
      <c r="B110" s="14" t="inlineStr">
        <is>
          <t>Terre di Mezzo</t>
        </is>
      </c>
      <c r="C110" s="14" t="inlineStr">
        <is>
          <t>Che cos’è l’amicizia?</t>
        </is>
      </c>
      <c r="D110" s="14" t="inlineStr">
        <is>
          <t>Luca Tortolini, Paolo Proietti</t>
        </is>
      </c>
      <c r="E110" s="14" t="inlineStr">
        <is>
          <t>albi illustrati (età indicativa)</t>
        </is>
      </c>
      <c r="F110" s="16" t="n">
        <v>16</v>
      </c>
      <c r="G110" s="14" t="inlineStr">
        <is>
          <t>9791259963987</t>
        </is>
      </c>
      <c r="H110" s="14" t="inlineStr"/>
      <c r="I110" s="14" t="inlineStr">
        <is>
          <t>Sì</t>
        </is>
      </c>
      <c r="J110" s="14" t="inlineStr">
        <is>
          <t>L’Acchiappastorie – Albi illustrati</t>
        </is>
      </c>
      <c r="K110" s="14" t="inlineStr"/>
      <c r="L110" s="14" t="inlineStr">
        <is>
          <t>Un viaggio poetico tra i mille volti dell’amicizia, legame fatto di avventure condivise e scarpe all’ultima moda, segreti e panini al salame, abbracci e momenti di noia. Perché un amico ti aspetta se resti indietro, sa ascoltarti anche quando non parli, ha fiducia in te. Un albo che celebra un tesoro inestimabile, l’unica energia capace di far girare il mondo nel verso giusto.</t>
        </is>
      </c>
      <c r="M110" s="14" t="inlineStr"/>
    </row>
    <row r="111">
      <c r="A111" s="14" t="inlineStr">
        <is>
          <t>3-6 anni</t>
        </is>
      </c>
      <c r="B111" s="14" t="inlineStr">
        <is>
          <t>Terre di Mezzo</t>
        </is>
      </c>
      <c r="C111" s="14" t="inlineStr">
        <is>
          <t>Cosa fanno i sentimenti di notte?</t>
        </is>
      </c>
      <c r="D111" s="14" t="inlineStr">
        <is>
          <t>Tina Oziewicz, Aleksandra Zając</t>
        </is>
      </c>
      <c r="E111" s="14" t="inlineStr">
        <is>
          <t>albi illustrati (età indicativa)</t>
        </is>
      </c>
      <c r="F111" s="16" t="n">
        <v>16</v>
      </c>
      <c r="G111" s="14" t="inlineStr">
        <is>
          <t>9791259962317</t>
        </is>
      </c>
      <c r="H111" s="14" t="inlineStr"/>
      <c r="I111" s="14" t="inlineStr">
        <is>
          <t>Sì</t>
        </is>
      </c>
      <c r="J111" s="14" t="inlineStr">
        <is>
          <t>L’Acchiappastorie – Albi illustrati</t>
        </is>
      </c>
      <c r="K111" s="14" t="inlineStr"/>
      <c r="L111" s="14" t="inlineStr">
        <is>
          <t>La Gioia salta sul letto, la Nostalgia suona il violoncello, la Speranza non dorme mai: sorveglia il falò che ha acceso con l’ultimo fiammifero. Alla Tristezza la notte piace: di notte è come tutti gli altri, nessuno si stupisce se resta sdraiata a occhi chiusi. Un catalogo sulla vita notturna di emozioni, sentimenti, stati d’animo, osservati dalle autrici con sguardo poetico e brillante, capace di raccontare verità universali con pochi tratti, semplici e illuminanti.</t>
        </is>
      </c>
      <c r="M111" s="14" t="inlineStr"/>
    </row>
    <row r="112">
      <c r="A112" s="14" t="inlineStr">
        <is>
          <t>3-6 anni</t>
        </is>
      </c>
      <c r="B112" s="14" t="inlineStr">
        <is>
          <t>Terre di Mezzo</t>
        </is>
      </c>
      <c r="C112" s="14" t="inlineStr">
        <is>
          <t>C’è posta per Volpe</t>
        </is>
      </c>
      <c r="D112" s="14" t="inlineStr">
        <is>
          <t>Alex G. Griffiths</t>
        </is>
      </c>
      <c r="E112" s="14" t="inlineStr">
        <is>
          <t>albi illustrati (età indicativa)</t>
        </is>
      </c>
      <c r="F112" s="16" t="n">
        <v>16</v>
      </c>
      <c r="G112" s="14" t="inlineStr">
        <is>
          <t>9791259964045</t>
        </is>
      </c>
      <c r="H112" s="14" t="inlineStr"/>
      <c r="I112" s="14" t="inlineStr">
        <is>
          <t>Sì</t>
        </is>
      </c>
      <c r="J112" s="14" t="inlineStr">
        <is>
          <t>L’Acchiappastorie – Albi illustrati</t>
        </is>
      </c>
      <c r="K112" s="14" t="inlineStr"/>
      <c r="L112" s="14" t="inlineStr">
        <is>
          <t>Volpe abita per conto suo in una bella casetta nel bosco. È una vita solitaria, ma si trova bene così. Finché un giorno arriva una lettera misteriosa: “So quanto ti piacciono le cacce al tesoro. Sono sicuro che non riuscirai a resistere a questa”. E infatti Volpe si mette in cammino. Un indizio dopo l’altro, cosa (o chi) ritroverà alla fine del viaggio?</t>
        </is>
      </c>
      <c r="M112" s="14" t="inlineStr"/>
    </row>
    <row r="113">
      <c r="A113" s="14" t="inlineStr">
        <is>
          <t>3-6 anni</t>
        </is>
      </c>
      <c r="B113" s="14" t="inlineStr">
        <is>
          <t>Terre di Mezzo</t>
        </is>
      </c>
      <c r="C113" s="14" t="inlineStr">
        <is>
          <t>Dall’altra parte del mare</t>
        </is>
      </c>
      <c r="D113" s="14" t="inlineStr">
        <is>
          <t>Yukiko Noritake</t>
        </is>
      </c>
      <c r="E113" s="14" t="inlineStr">
        <is>
          <t>albi illustrati (età indicativa)</t>
        </is>
      </c>
      <c r="F113" s="16" t="n">
        <v>16</v>
      </c>
      <c r="G113" s="14" t="inlineStr">
        <is>
          <t>9791259961426</t>
        </is>
      </c>
      <c r="H113" s="14" t="inlineStr"/>
      <c r="I113" s="14" t="inlineStr">
        <is>
          <t>Sì</t>
        </is>
      </c>
      <c r="J113" s="14" t="inlineStr">
        <is>
          <t>L’Acchiappastorie – Albi illustrati</t>
        </is>
      </c>
      <c r="K113" s="14" t="inlineStr"/>
      <c r="L113" s="14" t="inlineStr">
        <is>
          <t>Un albo che si legge da entrambi i lati, due storie parallele che si incontrano al centro del volume. Da una parte c’è Leo, che abita vicino a un porto trafficato. Dall’altra Phara, che vive in una piccola isola circondata da un mare dove nuotano pesci di mille colori. Entrambi si interrogano sul mondo al di là delle acque. Sono separati dall’oceano, ma legati a un unico destino, proiettati verso un futuro in cui le decisioni di ognuno hanno un impatto sulle vite di tutti.</t>
        </is>
      </c>
      <c r="M113" s="14" t="inlineStr"/>
    </row>
    <row r="114">
      <c r="A114" s="14" t="inlineStr">
        <is>
          <t>3-6 anni</t>
        </is>
      </c>
      <c r="B114" s="14" t="inlineStr">
        <is>
          <t>Terre di Mezzo</t>
        </is>
      </c>
      <c r="C114" s="14" t="inlineStr">
        <is>
          <t>Di quante persone abbiamo bisogno?</t>
        </is>
      </c>
      <c r="D114" s="14" t="inlineStr">
        <is>
          <t>Anna Font</t>
        </is>
      </c>
      <c r="E114" s="14" t="inlineStr">
        <is>
          <t>albi illustrati (età indicativa)</t>
        </is>
      </c>
      <c r="F114" s="16" t="n">
        <v>16</v>
      </c>
      <c r="G114" s="14" t="inlineStr">
        <is>
          <t>9791259963970</t>
        </is>
      </c>
      <c r="H114" s="14" t="inlineStr"/>
      <c r="I114" s="14" t="inlineStr">
        <is>
          <t>Sì</t>
        </is>
      </c>
      <c r="J114" s="14" t="inlineStr">
        <is>
          <t>L’Acchiappastorie – Albi illustrati</t>
        </is>
      </c>
      <c r="K114" s="14" t="inlineStr"/>
      <c r="L114" s="14" t="inlineStr">
        <is>
          <t>Di quante persone abbiamo bisogno per nascere? E per crescere? E per salire su un elefante? E per cambiare una lampadina? A partire da un’unica domanda, Anna Font dà vita a una serie di indovinelli divertenti e originali (e ad altrettante fantasiose risposte, scritte in piccolo, a rovescio), sul nostro modo di stare con gli altri e sul valore della comunità e delle relazioni.</t>
        </is>
      </c>
      <c r="M114" s="14" t="inlineStr"/>
    </row>
    <row r="115">
      <c r="A115" s="14" t="inlineStr">
        <is>
          <t>3-6 anni</t>
        </is>
      </c>
      <c r="B115" s="14" t="inlineStr">
        <is>
          <t>Terre di Mezzo</t>
        </is>
      </c>
      <c r="C115" s="14" t="inlineStr">
        <is>
          <t>Il libro dal futuro</t>
        </is>
      </c>
      <c r="D115" s="14" t="inlineStr">
        <is>
          <t>Mac Barnett, Shawn Harris</t>
        </is>
      </c>
      <c r="E115" s="14" t="inlineStr">
        <is>
          <t>albi illustrati (età indicativa)</t>
        </is>
      </c>
      <c r="F115" s="16" t="n">
        <v>16</v>
      </c>
      <c r="G115" s="14" t="inlineStr">
        <is>
          <t>9791259964168</t>
        </is>
      </c>
      <c r="H115" s="14" t="inlineStr"/>
      <c r="I115" s="14" t="inlineStr">
        <is>
          <t>Sì</t>
        </is>
      </c>
      <c r="J115" s="14" t="inlineStr">
        <is>
          <t>L’Acchiappastorie – Albi illustrati</t>
        </is>
      </c>
      <c r="K115" s="14" t="inlineStr"/>
      <c r="L115" s="14" t="inlineStr">
        <is>
          <t>Il futuro è tutto nuovo, è cambiata ogni cosa rispetto a oggi. Lo assicura questo albo, che arriva proprio da lì e descrive attentamente le differenze. Volete sapere come si chiama il sole nel futuro? Luna! E la luna? Sole! Invece di ringraziare, quando qualcuno è gentile, gli si appoggia un pesce sulla testa. E per augurare salute a chi starnutisce? Si dice: “Scusami, Susan!”. Un libro strampalato e divertentissimo da una coppia di autori affiatati che sanno far ridere a crepapelle.</t>
        </is>
      </c>
      <c r="M115" s="14" t="inlineStr"/>
    </row>
    <row r="116">
      <c r="A116" s="14" t="inlineStr">
        <is>
          <t>3-6 anni</t>
        </is>
      </c>
      <c r="B116" s="14" t="inlineStr">
        <is>
          <t>Terre di Mezzo</t>
        </is>
      </c>
      <c r="C116" s="14" t="inlineStr">
        <is>
          <t>Il nemico</t>
        </is>
      </c>
      <c r="D116" s="14" t="inlineStr">
        <is>
          <t>Davide Calì, Serge Bloch</t>
        </is>
      </c>
      <c r="E116" s="14" t="inlineStr">
        <is>
          <t>albi illustrati (età indicativa)</t>
        </is>
      </c>
      <c r="F116" s="16" t="n">
        <v>16</v>
      </c>
      <c r="G116" s="14" t="inlineStr">
        <is>
          <t>9791259961297</t>
        </is>
      </c>
      <c r="H116" s="14" t="inlineStr"/>
      <c r="I116" s="14" t="inlineStr">
        <is>
          <t>Sì</t>
        </is>
      </c>
      <c r="J116" s="14" t="inlineStr">
        <is>
          <t>L’Acchiappastorie – Albi illustrati</t>
        </is>
      </c>
      <c r="K116" s="14" t="inlineStr"/>
      <c r="L116" s="14" t="inlineStr">
        <is>
          <t>Una storia contro la guerra C’è la guerra. Isolato nella sua trincea, un soldato combatte ogni giorno contro un nemico che non vede. Ma che di certo è un mostro. O almeno, così si dice. Solo uno scambio casuale di prospettiva svelerà a entrambi che, in realtà, così diversi non sono. Una storia universale, con illustrazioni poetiche e ironiche, capaci di emozionare grandi e bambini.</t>
        </is>
      </c>
      <c r="M116" s="14" t="inlineStr"/>
    </row>
    <row r="117">
      <c r="A117" s="14" t="inlineStr">
        <is>
          <t>3-6 anni</t>
        </is>
      </c>
      <c r="B117" s="14" t="inlineStr">
        <is>
          <t>Terre di Mezzo</t>
        </is>
      </c>
      <c r="C117" s="14" t="inlineStr">
        <is>
          <t>La grande fabbrica delle parole</t>
        </is>
      </c>
      <c r="D117" s="14" t="inlineStr">
        <is>
          <t>Agnès de Lestrade, Valeria Docampo</t>
        </is>
      </c>
      <c r="E117" s="14" t="inlineStr">
        <is>
          <t>albi illustrati (età indicativa)</t>
        </is>
      </c>
      <c r="F117" s="16" t="n">
        <v>18</v>
      </c>
      <c r="G117" s="14" t="inlineStr">
        <is>
          <t>9791259962959</t>
        </is>
      </c>
      <c r="H117" s="14" t="inlineStr"/>
      <c r="I117" s="14" t="inlineStr">
        <is>
          <t>Sì</t>
        </is>
      </c>
      <c r="J117" s="14" t="inlineStr">
        <is>
          <t>L’Acchiappastorie – Albi illustrati</t>
        </is>
      </c>
      <c r="K117" s="14" t="inlineStr"/>
      <c r="L117" s="14" t="inlineStr">
        <is>
          <t>Un’edizione speciale e preziosa, un albo in grande formato, con una nuova copertina, i disegni preparatori e due contributi di Agnès de Lestrade e Valeria Docampo. Nel paese dove le parole sono in vendita, il piccolo Philéas ce la metterà tutta per conquistare il cuore di Cybelle con le uniche tre parole che ha catturato mentre volteggiavano nell’aria: “Ciliegia, polvere, seggiola”. 10,00 EURO ISBN 9788867891555</t>
        </is>
      </c>
      <c r="M117" s="14" t="inlineStr"/>
    </row>
    <row r="118">
      <c r="A118" s="14" t="inlineStr">
        <is>
          <t>3-6 anni</t>
        </is>
      </c>
      <c r="B118" s="14" t="inlineStr">
        <is>
          <t>Terre di Mezzo</t>
        </is>
      </c>
      <c r="C118" s="14" t="inlineStr">
        <is>
          <t>La libertà del polpo</t>
        </is>
      </c>
      <c r="D118" s="14" t="inlineStr">
        <is>
          <t>Maile Meloy, Felicita Sala</t>
        </is>
      </c>
      <c r="E118" s="14" t="inlineStr">
        <is>
          <t>albi illustrati (età indicativa)</t>
        </is>
      </c>
      <c r="F118" s="16" t="n">
        <v>16</v>
      </c>
      <c r="G118" s="14" t="inlineStr">
        <is>
          <t>9788861897540</t>
        </is>
      </c>
      <c r="H118" s="14" t="inlineStr"/>
      <c r="I118" s="14" t="inlineStr">
        <is>
          <t>Sì</t>
        </is>
      </c>
      <c r="J118" s="14" t="inlineStr">
        <is>
          <t>L’Acchiappastorie – Albi illustrati</t>
        </is>
      </c>
      <c r="K118" s="14" t="inlineStr"/>
      <c r="L118" s="14" t="inlineStr">
        <is>
          <t>Un polpo vive felice nella sua caverna sottomarina finché un giorno viene catturato e rinchiuso in un acquario. Una vasca trasparente, però, non è il posto giusto per chi ama nascondersi, lo spazio è troppo poco, la vita è una vera noia! Al polpo manca la sua libertà, prova a protestare ma non serve a nulla: nessuno lo capisce. E così, una notte, decide di trovare da solo la via d’uscita per tornare a casa...</t>
        </is>
      </c>
      <c r="M118" s="14" t="inlineStr"/>
    </row>
    <row r="119">
      <c r="A119" s="14" t="inlineStr">
        <is>
          <t>3-6 anni</t>
        </is>
      </c>
      <c r="B119" s="14" t="inlineStr">
        <is>
          <t>Terre di Mezzo</t>
        </is>
      </c>
      <c r="C119" s="14" t="inlineStr">
        <is>
          <t>La vera storia della Strega Cattiva</t>
        </is>
      </c>
      <c r="D119" s="14" t="inlineStr">
        <is>
          <t>Luca Tortolini, Maja Celija</t>
        </is>
      </c>
      <c r="E119" s="14" t="inlineStr">
        <is>
          <t>albi illustrati (età indicativa)</t>
        </is>
      </c>
      <c r="F119" s="16" t="n">
        <v>15</v>
      </c>
      <c r="G119" s="14" t="inlineStr">
        <is>
          <t>9791259960122</t>
        </is>
      </c>
      <c r="H119" s="14" t="inlineStr"/>
      <c r="I119" s="14" t="inlineStr">
        <is>
          <t>Sì</t>
        </is>
      </c>
      <c r="J119" s="14" t="inlineStr">
        <is>
          <t>L’Acchiappastorie – Albi illustrati</t>
        </is>
      </c>
      <c r="K119" s="14" t="inlineStr"/>
      <c r="L119" s="14" t="inlineStr">
        <is>
          <t>Nessuno vuole bene alla Strega Cattiva: è brutta, fa paura, non può vivere insieme alle persone “normali”. Meglio che si nasconda nel bosco, covando rancore e mangiando i bambini smarriti che incontra. Fino al momento in cui Hansel e Gretel bussano alla sua porta. Ciò che succederà dopo è una storia nota, che questa volta però si chiude interrogandoci: è inevitabile che finisca così? È così facile distinguere i buoni e i cattivi?</t>
        </is>
      </c>
      <c r="M119" s="14" t="inlineStr"/>
    </row>
    <row r="120">
      <c r="A120" s="14" t="inlineStr">
        <is>
          <t>3-6 anni</t>
        </is>
      </c>
      <c r="B120" s="14" t="inlineStr">
        <is>
          <t>Terre di Mezzo</t>
        </is>
      </c>
      <c r="C120" s="14" t="inlineStr">
        <is>
          <t>Le persone sono strane</t>
        </is>
      </c>
      <c r="D120" s="14" t="inlineStr">
        <is>
          <t>Victor D.O. Santos, Catarina Sobral</t>
        </is>
      </c>
      <c r="E120" s="14" t="inlineStr">
        <is>
          <t>albi illustrati (età indicativa)</t>
        </is>
      </c>
      <c r="F120" s="16" t="n">
        <v>16</v>
      </c>
      <c r="G120" s="14" t="inlineStr">
        <is>
          <t>9791259963581</t>
        </is>
      </c>
      <c r="H120" s="14" t="inlineStr"/>
      <c r="I120" s="14" t="inlineStr">
        <is>
          <t>Sì</t>
        </is>
      </c>
      <c r="J120" s="14" t="inlineStr">
        <is>
          <t>L’Acchiappastorie – Albi illustrati</t>
        </is>
      </c>
      <c r="K120" s="14" t="inlineStr"/>
      <c r="L120" s="14" t="inlineStr">
        <is>
          <t>Un bambino si guarda intorno: “Il mondo è pieno di persone strane!” osserva. Il vicino di casa taglia l’erba al millimetro ogni giorno, il ragazzo in palestra passa più tempo allo specchio che a fare ginnastica, quella signora in aereo chiude gli occhi dalla paura (non sarebbe meglio tenerli aperti, per accorgersi se qualcosa va storto?). Per non parlare di Leo, il suo amico con la tartaruga al guinzaglio: sai mai che possa scappare! Ma sono tutti così? Vuoi vedere che è normale essere strani?</t>
        </is>
      </c>
      <c r="M120" s="14" t="inlineStr"/>
    </row>
    <row r="121">
      <c r="A121" s="14" t="inlineStr">
        <is>
          <t>3-6 anni</t>
        </is>
      </c>
      <c r="B121" s="14" t="inlineStr">
        <is>
          <t>Terre di Mezzo</t>
        </is>
      </c>
      <c r="C121" s="14" t="inlineStr">
        <is>
          <t>Non tutte le principesse</t>
        </is>
      </c>
      <c r="D121" s="14" t="inlineStr">
        <is>
          <t>Jeffrey Bone, Lisa Bone, Valeria Docampo</t>
        </is>
      </c>
      <c r="E121" s="14" t="inlineStr">
        <is>
          <t>albi illustrati (età indicativa)</t>
        </is>
      </c>
      <c r="F121" s="16" t="n">
        <v>16</v>
      </c>
      <c r="G121" s="14" t="inlineStr">
        <is>
          <t>9791259960337</t>
        </is>
      </c>
      <c r="H121" s="14" t="inlineStr"/>
      <c r="I121" s="14" t="inlineStr">
        <is>
          <t>Sì</t>
        </is>
      </c>
      <c r="J121" s="14" t="inlineStr">
        <is>
          <t>L’Acchiappastorie – Albi illustrati</t>
        </is>
      </c>
      <c r="K121" s="14" t="inlineStr"/>
      <c r="L121" s="14" t="inlineStr">
        <is>
          <t>Le principesse non vivono per forza nei castelli, alcune preferiscono le casette sull’albero. Non tutti i pirati navigano sui velieri, alcuni preferiscono gli aquiloni. E per essere dei supereroi a volte bastano piccoli grandi atti di coraggio, come salvare un gattino impaurito. Ogni bambina e ogni bambino è speciale a modo suo e ha il diritto di realizzare i propri sogni, senza farsi condizionare dagli altri. Basta aprire la mente e credere sempre in sé stessi.</t>
        </is>
      </c>
      <c r="M121" s="14" t="inlineStr"/>
    </row>
    <row r="122">
      <c r="A122" s="14" t="inlineStr">
        <is>
          <t>3-6 anni</t>
        </is>
      </c>
      <c r="B122" s="14" t="inlineStr">
        <is>
          <t>Terre di Mezzo</t>
        </is>
      </c>
      <c r="C122" s="14" t="inlineStr">
        <is>
          <t>Ogni viso è una poesia</t>
        </is>
      </c>
      <c r="D122" s="14" t="inlineStr">
        <is>
          <t>Julie Morstad</t>
        </is>
      </c>
      <c r="E122" s="14" t="inlineStr">
        <is>
          <t>albi illustrati (età indicativa)</t>
        </is>
      </c>
      <c r="F122" s="16" t="n">
        <v>18</v>
      </c>
      <c r="G122" s="14" t="inlineStr">
        <is>
          <t>9791259962423</t>
        </is>
      </c>
      <c r="H122" s="14" t="inlineStr"/>
      <c r="I122" s="14" t="inlineStr">
        <is>
          <t>Sì</t>
        </is>
      </c>
      <c r="J122" s="14" t="inlineStr">
        <is>
          <t>L’Acchiappastorie – Albi illustrati</t>
        </is>
      </c>
      <c r="K122" s="14" t="inlineStr"/>
      <c r="L122" s="14" t="inlineStr">
        <is>
          <t>I volti sono come fiocchi di neve: non ne esistono due uguali. E quanto possono cambiare da un momento all’altro? I volti sono come finestre: mostrano quello che abbiamo dentro. Puoi trovare volti dappertutto intorno a te: persone, animali… Se guardi bene, anche i fiori, le nuvole e le patate hanno un viso! Un’esplorazione giocosa e poetica di occhi, nasi, bocche, ciglia, lentiggini, rughe, cicatrici e tutti i segni particolari che ci rendono unici. Un’ode alla bellezza e alla diversità di ciascuno di noi.</t>
        </is>
      </c>
      <c r="M122" s="14" t="inlineStr"/>
    </row>
    <row r="123">
      <c r="A123" s="14" t="inlineStr">
        <is>
          <t>3-6 anni</t>
        </is>
      </c>
      <c r="B123" s="14" t="inlineStr">
        <is>
          <t>Terre di Mezzo</t>
        </is>
      </c>
      <c r="C123" s="14" t="inlineStr">
        <is>
          <t>Un barattolo di emozioni</t>
        </is>
      </c>
      <c r="D123" s="14" t="inlineStr">
        <is>
          <t>Deborah Marcero</t>
        </is>
      </c>
      <c r="E123" s="14" t="inlineStr">
        <is>
          <t>albi illustrati (età indicativa)</t>
        </is>
      </c>
      <c r="F123" s="16" t="n">
        <v>15</v>
      </c>
      <c r="G123" s="14" t="inlineStr">
        <is>
          <t>9791259960535</t>
        </is>
      </c>
      <c r="H123" s="14" t="inlineStr"/>
      <c r="I123" s="14" t="inlineStr">
        <is>
          <t>Sì</t>
        </is>
      </c>
      <c r="J123" s="14" t="inlineStr">
        <is>
          <t>L’Acchiappastorie – Albi illustrati</t>
        </is>
      </c>
      <c r="K123" s="14" t="inlineStr"/>
      <c r="L123" s="14" t="inlineStr">
        <is>
          <t>Che fatica emozionarsi! Luis non riesce a gestire la paura del buio, la rabbia per una partita andata male, la gelosia per il suo amico Max, l’entusiasmo per la musica, che lo fa ballare davanti ai compagni di classe, ma poi anche vergognare. Per risolvere il problema, decide di chiudere in un barattolo ogni cosa che sente, e di nascondere i barattoli dentro a un ripostiglio. Finché lo spazio finisce, e il ripostiglio “esplode” in una valanga di colori...</t>
        </is>
      </c>
      <c r="M123" s="14" t="inlineStr"/>
    </row>
    <row r="124">
      <c r="A124" s="14" t="inlineStr">
        <is>
          <t>3-6 anni</t>
        </is>
      </c>
      <c r="B124" s="14" t="inlineStr">
        <is>
          <t>Terre di Mezzo</t>
        </is>
      </c>
      <c r="C124" s="14" t="inlineStr">
        <is>
          <t>Un posto chiamato casa</t>
        </is>
      </c>
      <c r="D124" s="14" t="inlineStr">
        <is>
          <t>Victoria Turnbull</t>
        </is>
      </c>
      <c r="E124" s="14" t="inlineStr">
        <is>
          <t>albi illustrati (età indicativa)</t>
        </is>
      </c>
      <c r="F124" s="16" t="n">
        <v>16</v>
      </c>
      <c r="G124" s="14" t="inlineStr">
        <is>
          <t>9791259963321</t>
        </is>
      </c>
      <c r="H124" s="14" t="inlineStr"/>
      <c r="I124" s="14" t="inlineStr">
        <is>
          <t>Sì</t>
        </is>
      </c>
      <c r="J124" s="14" t="inlineStr">
        <is>
          <t>L’Acchiappastorie – Albi illustrati</t>
        </is>
      </c>
      <c r="K124" s="14" t="inlineStr"/>
      <c r="L124" s="14" t="inlineStr">
        <is>
          <t>Quando un filo si spezza, anche una casa può andare perduta. Flora, una piccola formica tessitrice, si mette in viaggio insieme alla sua famiglia alla ricerca di una nuova dimora. Tra paesaggi mutevoli, incontri inattesi e silenzi difficili da comprendere, scoprirà che ciò che si rompe può essere riparato e che una casa non è fatta solo di muri ma di accoglienza, ascolto e fili intrecciati di speranza. Una storia di resilienza attuale e toccante, che si presta anche per accompagnare i passaggi di crescita.</t>
        </is>
      </c>
      <c r="M124" s="14" t="inlineStr"/>
    </row>
    <row r="125">
      <c r="A125" s="14" t="inlineStr">
        <is>
          <t>3-6 anni</t>
        </is>
      </c>
      <c r="B125" s="14" t="inlineStr">
        <is>
          <t>Terre di Mezzo</t>
        </is>
      </c>
      <c r="C125" s="14" t="inlineStr">
        <is>
          <t>Un posto nel cuore del maestro Orso Bruno</t>
        </is>
      </c>
      <c r="D125" s="14" t="inlineStr">
        <is>
          <t>Wu Ya-Nan, Liu Long-Sha</t>
        </is>
      </c>
      <c r="E125" s="14" t="inlineStr">
        <is>
          <t>albi illustrati (età indicativa)</t>
        </is>
      </c>
      <c r="F125" s="16" t="n">
        <v>16</v>
      </c>
      <c r="G125" s="14" t="inlineStr">
        <is>
          <t>9791259963918</t>
        </is>
      </c>
      <c r="H125" s="14" t="inlineStr"/>
      <c r="I125" s="14" t="inlineStr">
        <is>
          <t>Sì</t>
        </is>
      </c>
      <c r="J125" s="14" t="inlineStr">
        <is>
          <t>L’Acchiappastorie – Albi illustrati</t>
        </is>
      </c>
      <c r="K125" s="14" t="inlineStr"/>
      <c r="L125" s="14" t="inlineStr">
        <is>
          <t>Nella classe del maestro Orso Bruno tutti stanno imparando a scrivere il numero 1, ma ognuno ci prova a modo suo: Granchio lo disegna orizzontale, Formica lo traccia piccolissimo, Cane lo abbozza a forma di osso. Il maestro non corregge, ma accoglie ogni tentativo, incoraggia l’originalità e trasforma le differenze in risorsa condivisa. Un’allegra storia di inclusione che rende omaggio agli educatori e alla loro capacità di sostenere le diverse esigenze di apprendimento.</t>
        </is>
      </c>
      <c r="M125" s="14" t="inlineStr"/>
    </row>
    <row r="126">
      <c r="A126" s="14" t="inlineStr">
        <is>
          <t>Prime letture (6-8)</t>
        </is>
      </c>
      <c r="B126" s="14" t="inlineStr">
        <is>
          <t>Terre di Mezzo</t>
        </is>
      </c>
      <c r="C126" s="14" t="inlineStr">
        <is>
          <t>Anna e la banda del ghiacciolo sciolto</t>
        </is>
      </c>
      <c r="D126" s="14" t="inlineStr">
        <is>
          <t>Rossella Sobrero, Silvio Boselli</t>
        </is>
      </c>
      <c r="E126" s="14" t="inlineStr">
        <is>
          <t>primi lettori</t>
        </is>
      </c>
      <c r="F126" s="16" t="n">
        <v>12.9</v>
      </c>
      <c r="G126" s="14" t="inlineStr">
        <is>
          <t>9791259963253</t>
        </is>
      </c>
      <c r="H126" s="14" t="inlineStr"/>
      <c r="I126" s="14" t="inlineStr">
        <is>
          <t>Sì</t>
        </is>
      </c>
      <c r="J126" s="14" t="inlineStr">
        <is>
          <t>L’Acchiappastorie – Primi lettori</t>
        </is>
      </c>
      <c r="K126" s="14" t="inlineStr"/>
      <c r="L126" s="14" t="inlineStr">
        <is>
          <t>Cambiare il mondo un’idea alla volta “Non avevo mai riflettuto sul fatto che il cambiamento climatico di cui tutti parlano avesse un impatto così grande sulle nostre vite. Se quest’estate farà ancora più caldo, dove andremo a giocare?” L’avventura di un gruppo di ragazze e ragazzi che si organizza e rivoluziona le proprie abitudini, riuscendo a coinvolgere un paese intero. Perché per invertire la rotta, ognuno deve fare la propria parte.</t>
        </is>
      </c>
      <c r="M126" s="14" t="inlineStr"/>
    </row>
    <row r="127">
      <c r="A127" s="14" t="inlineStr">
        <is>
          <t>Prime letture (6-8)</t>
        </is>
      </c>
      <c r="B127" s="14" t="inlineStr">
        <is>
          <t>Terre di Mezzo</t>
        </is>
      </c>
      <c r="C127" s="14" t="inlineStr">
        <is>
          <t>Beatrice Sottosopra</t>
        </is>
      </c>
      <c r="D127" s="14" t="inlineStr">
        <is>
          <t>Shelley Johannes</t>
        </is>
      </c>
      <c r="E127" s="14" t="inlineStr">
        <is>
          <t>primi lettori</t>
        </is>
      </c>
      <c r="F127" s="16" t="n">
        <v>12.9</v>
      </c>
      <c r="G127" s="14" t="inlineStr">
        <is>
          <t>9788861895805</t>
        </is>
      </c>
      <c r="H127" s="14" t="inlineStr"/>
      <c r="I127" s="14" t="inlineStr">
        <is>
          <t>Sì</t>
        </is>
      </c>
      <c r="J127" s="14" t="inlineStr">
        <is>
          <t>L’Acchiappastorie – Primi lettori</t>
        </is>
      </c>
      <c r="K127" s="14" t="inlineStr"/>
      <c r="L127" s="14" t="inlineStr">
        <is>
          <t>Beatrice Zinker ha sempre dato il meglio di sé pensando a testa in giù. Ma gli Zinker sono una famiglia con i piedi per terra ed essere la figlia “al contrario” non è semplice. Per fortuna è in perfetta sintonia con la sua migliore amica Lenny e non vede l’ora di dare il via all’Operazione Sottosopra, un piano segreto per diventare delle vere ninja. Ma al ritorno dalla vacanze estive Lenny è irriconoscibile e non le dà più retta! Come farà Beatrice a salvare l’operazione segreta e, soprattutto, la sua amicizia? Lotterà, per rimanere se stessa e non perdere mai l’ottimismo.</t>
        </is>
      </c>
      <c r="M127" s="14" t="inlineStr"/>
    </row>
    <row r="128">
      <c r="A128" s="14" t="inlineStr">
        <is>
          <t>Prime letture (6-8)</t>
        </is>
      </c>
      <c r="B128" s="14" t="inlineStr">
        <is>
          <t>Terre di Mezzo</t>
        </is>
      </c>
      <c r="C128" s="14" t="inlineStr">
        <is>
          <t>Björn. sei storie da orso</t>
        </is>
      </c>
      <c r="D128" s="14" t="inlineStr">
        <is>
          <t>Delphine Perret</t>
        </is>
      </c>
      <c r="E128" s="14" t="inlineStr">
        <is>
          <t>primi lettori</t>
        </is>
      </c>
      <c r="F128" s="16" t="n">
        <v>12</v>
      </c>
      <c r="G128" s="14" t="inlineStr">
        <is>
          <t>9788861894501</t>
        </is>
      </c>
      <c r="H128" s="14" t="inlineStr"/>
      <c r="I128" s="14" t="inlineStr">
        <is>
          <t>Sì</t>
        </is>
      </c>
      <c r="J128" s="14" t="inlineStr">
        <is>
          <t>L’Acchiappastorie – Primi lettori</t>
        </is>
      </c>
      <c r="K128" s="14" t="inlineStr"/>
      <c r="L128" s="14" t="inlineStr">
        <is>
          <t>Björn è un orso gentile e curioso, e vive nella foresta con i suoi amici: lo scoiattolo, la volpe, il tasso, la cincia. Insieme affrontano piccole grandi avventure quotidiane – vincere un divano alla lotteria, scoprire di dover mettere gli occhiali, preparare dei costumi di carnevale da umani –, raccontate sempre con delicata ironia, e con un po’ di stralunata meraviglia.</t>
        </is>
      </c>
      <c r="M128" s="14" t="inlineStr"/>
    </row>
    <row r="129">
      <c r="A129" s="14" t="inlineStr">
        <is>
          <t>Prime letture (6-8)</t>
        </is>
      </c>
      <c r="B129" s="14" t="inlineStr">
        <is>
          <t>Terre di Mezzo</t>
        </is>
      </c>
      <c r="C129" s="14" t="inlineStr">
        <is>
          <t>Dory fantasmagorica</t>
        </is>
      </c>
      <c r="D129" s="14" t="inlineStr">
        <is>
          <t>Abby Hanlon</t>
        </is>
      </c>
      <c r="E129" s="14" t="inlineStr">
        <is>
          <t>primi lettori</t>
        </is>
      </c>
      <c r="F129" s="16" t="n">
        <v>13.5</v>
      </c>
      <c r="G129" s="14" t="inlineStr">
        <is>
          <t>9788861893863</t>
        </is>
      </c>
      <c r="H129" s="14" t="inlineStr"/>
      <c r="I129" s="14" t="inlineStr">
        <is>
          <t>Sì</t>
        </is>
      </c>
      <c r="J129" s="14" t="inlineStr">
        <is>
          <t>L’Acchiappastorie – Primi lettori</t>
        </is>
      </c>
      <c r="K129" s="14" t="inlineStr"/>
      <c r="L129" s="14" t="inlineStr">
        <is>
          <t>Dory ha sei anni, un’immaginazione incontenibile, un fratello e una sorella che non vogliono mai giocare con lei, e un’amica che nessun altro vede. Passa l’estate in camicia da notte a scovare i mostri per casa e a combattere la signora Arraffagracchi con l’aiuto di una fatina-gnomo. Il divertimento non manca nella vita di Dory e in queste pagine ricche di disegni e fumetti. Un successo internazionale tradotto in 20 Paesi. Vincitore PREMIO ORBIL 2017 categoria narrativa 6/10 anni</t>
        </is>
      </c>
      <c r="M129" s="14" t="inlineStr"/>
    </row>
    <row r="130">
      <c r="A130" s="14" t="inlineStr">
        <is>
          <t>Prime letture (6-8)</t>
        </is>
      </c>
      <c r="B130" s="14" t="inlineStr">
        <is>
          <t>Terre di Mezzo</t>
        </is>
      </c>
      <c r="C130" s="14" t="inlineStr">
        <is>
          <t>L’impavida Aurora e la sfida delle principesse</t>
        </is>
      </c>
      <c r="D130" s="14" t="inlineStr">
        <is>
          <t>Matthieu Sylvander, Perceval Barrier</t>
        </is>
      </c>
      <c r="E130" s="14" t="inlineStr">
        <is>
          <t>primi lettori</t>
        </is>
      </c>
      <c r="F130" s="16" t="n">
        <v>12</v>
      </c>
      <c r="G130" s="14" t="inlineStr">
        <is>
          <t>9788861896055</t>
        </is>
      </c>
      <c r="H130" s="14" t="inlineStr"/>
      <c r="I130" s="14" t="inlineStr">
        <is>
          <t>Sì</t>
        </is>
      </c>
      <c r="J130" s="14" t="inlineStr">
        <is>
          <t>L’Acchiappastorie – Primi lettori</t>
        </is>
      </c>
      <c r="K130" s="14" t="inlineStr"/>
      <c r="L130" s="14" t="inlineStr">
        <is>
          <t>Ecco a voi l’Impavida Aurora, specializzata in “eroismo e raddrizzamento di torti”. In sella alla sua cavalla Veronica, si destreggia tra missioni impossibili: che sia un principe vittima di uno strano sortilegio, un drago da sconfiggere o il Diavolo in persona “rapito” da una banda di piccole pesti, Aurora è sempre pronta a fare giustizia!</t>
        </is>
      </c>
      <c r="M130" s="14" t="inlineStr"/>
    </row>
    <row r="131">
      <c r="A131" s="14" t="inlineStr">
        <is>
          <t>Prime letture (6-8)</t>
        </is>
      </c>
      <c r="B131" s="14" t="inlineStr">
        <is>
          <t>Terre di Mezzo</t>
        </is>
      </c>
      <c r="C131" s="14" t="inlineStr">
        <is>
          <t>Ugo e Poppy. così diversi, così amici!</t>
        </is>
      </c>
      <c r="D131" s="14" t="inlineStr">
        <is>
          <t>Matthew Cordell</t>
        </is>
      </c>
      <c r="E131" s="14" t="inlineStr">
        <is>
          <t>primi lettori</t>
        </is>
      </c>
      <c r="F131" s="16" t="n">
        <v>14</v>
      </c>
      <c r="G131" s="14" t="inlineStr">
        <is>
          <t>9791259961013</t>
        </is>
      </c>
      <c r="H131" s="14" t="inlineStr"/>
      <c r="I131" s="14" t="inlineStr">
        <is>
          <t>Sì</t>
        </is>
      </c>
      <c r="J131" s="14" t="inlineStr">
        <is>
          <t>L’Acchiappastorie – Primi lettori</t>
        </is>
      </c>
      <c r="K131" s="14" t="inlineStr"/>
      <c r="L131" s="14" t="inlineStr">
        <is>
          <t>Ugo è un topolino molto assennato, previdente, un po’ fifone. La sua migliore amica Poppy, invece, è avventurosa, estroversa ma anche un po’ pasticciona. Lei pensa a godersi il momento, non ha tempo per pensare a domani. Peccato che, quando arriva l’inverno Poppy si ritrovi con la dispensa vuota! Ugo decide di aiutarla, e alla fine, la ricerca di cibo li porta sul terribile Monte Urlo… Vincitore PREMIO STREGA RAGAZZE E RAGAZZI 2023 CATEGORIA 6+. WHITE RAVENS 2023</t>
        </is>
      </c>
      <c r="M131" s="14" t="inlineStr"/>
    </row>
    <row r="132">
      <c r="A132" s="14" t="inlineStr">
        <is>
          <t>Scuola media (11-13)</t>
        </is>
      </c>
      <c r="B132" s="14" t="inlineStr">
        <is>
          <t>Terre di Mezzo</t>
        </is>
      </c>
      <c r="C132" s="14" t="inlineStr">
        <is>
          <t>Con una pistola alla tempia</t>
        </is>
      </c>
      <c r="D132" s="14" t="inlineStr">
        <is>
          <t>Francesco “Kento” Carlo</t>
        </is>
      </c>
      <c r="E132" s="14" t="inlineStr">
        <is>
          <t>giovani lettori</t>
        </is>
      </c>
      <c r="F132" s="16" t="n">
        <v>15</v>
      </c>
      <c r="G132" s="14" t="inlineStr">
        <is>
          <t>9791259962881</t>
        </is>
      </c>
      <c r="H132" s="14" t="inlineStr"/>
      <c r="I132" s="14" t="inlineStr">
        <is>
          <t>Sì</t>
        </is>
      </c>
      <c r="J132" s="14" t="inlineStr">
        <is>
          <t>L’Acchiappastorie – Giovani lettori</t>
        </is>
      </c>
      <c r="K132" s="14" t="inlineStr"/>
      <c r="L132" s="14" t="inlineStr">
        <is>
          <t>Storia vera di Aladin Hussain Al Baraduni NOVITÀ Pennellate drammatiche, quadri e muri che gridano i soprusi di una dittatura soffocante. Quella di Aladin Hussain Al Baraduni è un’arte ribelle. Pittore e street artist yemenita, con le sue opere racconta la vita dei senzatetto, i bambini costretti a lavorare anche di notte… Ma al regime la verità fa paura. Aladin viene minacciato, incarcerato più volte, e infine condannato a morte. Fugge in Italia, dove, nonostante le difficoltà, ancora oggi non smette di battersi contro il potere e l’ingiustizia.</t>
        </is>
      </c>
      <c r="M132" s="14" t="inlineStr"/>
    </row>
    <row r="133">
      <c r="A133" s="14" t="inlineStr">
        <is>
          <t>Scuola media (11-13)</t>
        </is>
      </c>
      <c r="B133" s="14" t="inlineStr">
        <is>
          <t>Terre di Mezzo</t>
        </is>
      </c>
      <c r="C133" s="14" t="inlineStr">
        <is>
          <t>Il ministero delle Soluzioni</t>
        </is>
      </c>
      <c r="D133" s="14" t="inlineStr">
        <is>
          <t>Sanne Rooseboom, Mark Janssen</t>
        </is>
      </c>
      <c r="E133" s="14" t="inlineStr">
        <is>
          <t>giovani lettori</t>
        </is>
      </c>
      <c r="F133" s="16" t="n">
        <v>14</v>
      </c>
      <c r="G133" s="14" t="inlineStr">
        <is>
          <t>9791259960733</t>
        </is>
      </c>
      <c r="H133" s="14" t="inlineStr"/>
      <c r="I133" s="14" t="inlineStr">
        <is>
          <t>Sì</t>
        </is>
      </c>
      <c r="J133" s="14" t="inlineStr">
        <is>
          <t>L’Acchiappastorie – Giovani lettori</t>
        </is>
      </c>
      <c r="K133" s="14" t="inlineStr"/>
      <c r="L133" s="14" t="inlineStr">
        <is>
          <t>Il papà di Nina fa il postino e un giorno torna a casa con una strana lettera indirizzata al “ministero delle Soluzioni”. Nina e i suoi amici scoprono che quel ministero, di cui non hanno mai sentito parlare, un tempo esisteva davvero e aveva come obiettivo quello di aiutare le persone in difficoltà, a patto che la sua attività restasse segreta. Così cercano di rimetterlo in piedi, innanzitutto per dare una mano all’autore della lettera: il piccolo Ruben, bullizzato da una compagna di classe...</t>
        </is>
      </c>
      <c r="M133" s="14" t="inlineStr"/>
    </row>
    <row r="134">
      <c r="A134" s="14" t="inlineStr">
        <is>
          <t>Scuola media (11-13)</t>
        </is>
      </c>
      <c r="B134" s="14" t="inlineStr">
        <is>
          <t>Terre di Mezzo</t>
        </is>
      </c>
      <c r="C134" s="14" t="inlineStr">
        <is>
          <t>Il segreto di Ella</t>
        </is>
      </c>
      <c r="D134" s="14" t="inlineStr">
        <is>
          <t>Cath Howe</t>
        </is>
      </c>
      <c r="E134" s="14" t="inlineStr">
        <is>
          <t>tascabili</t>
        </is>
      </c>
      <c r="F134" s="16" t="n">
        <v>11</v>
      </c>
      <c r="G134" s="14" t="inlineStr">
        <is>
          <t>9791259962218</t>
        </is>
      </c>
      <c r="H134" s="14" t="inlineStr"/>
      <c r="I134" s="14" t="inlineStr">
        <is>
          <t>Sì</t>
        </is>
      </c>
      <c r="J134" s="14" t="inlineStr">
        <is>
          <t>L’Acchiappastorie – I Tascabili</t>
        </is>
      </c>
      <c r="K134" s="14" t="inlineStr"/>
      <c r="L134" s="14" t="inlineStr">
        <is>
          <t>Ella è appena arrivata in città con la mamma, non conosce nessuno, non vede l’ora di farsi dei nuovi amici... e ha un grande segreto. Dov’è suo padre? Perché ogni giorno la bimba gli scrive delle lettere? Quando Lydia, la più popolare della scuola, decide di diventarle amica, a Ella non sembra vero. Ma Lydia ha un secondo fine, e quando riuscirà a scoprire il segreto di Ella, lo userà per ricattarla. Mettendola di fronte a una scelta inevitabile.</t>
        </is>
      </c>
      <c r="M134" s="14" t="inlineStr"/>
    </row>
    <row r="135">
      <c r="A135" s="14" t="inlineStr">
        <is>
          <t>Scuola media (11-13)</t>
        </is>
      </c>
      <c r="B135" s="14" t="inlineStr">
        <is>
          <t>Terre di Mezzo</t>
        </is>
      </c>
      <c r="C135" s="14" t="inlineStr">
        <is>
          <t>Jane negli abissi</t>
        </is>
      </c>
      <c r="D135" s="14" t="inlineStr">
        <is>
          <t>Vera Brosgol</t>
        </is>
      </c>
      <c r="E135" s="14" t="inlineStr">
        <is>
          <t>tascabili</t>
        </is>
      </c>
      <c r="F135" s="16" t="n">
        <v>19</v>
      </c>
      <c r="G135" s="14" t="inlineStr">
        <is>
          <t>9791259964236</t>
        </is>
      </c>
      <c r="H135" s="14" t="inlineStr"/>
      <c r="I135" s="14" t="inlineStr">
        <is>
          <t>Sì</t>
        </is>
      </c>
      <c r="J135" s="14" t="inlineStr">
        <is>
          <t>L’Acchiappastorie – I Tascabili</t>
        </is>
      </c>
      <c r="K135" s="14" t="inlineStr"/>
      <c r="L135" s="14" t="inlineStr">
        <is>
          <t>Jane è una ragazza sminuita da tutti, umiliata per il suo aspetto fisico persino dai genitori. Quando questi muoiono scopre che una legge impedisce alle donne di ricevere un’eredità a meno che non siano sposate. Così si dichiara a un giovane del villaggio, di cui è innamorata, ma lui la rifiuta e si fa invece irretire da una bellissima sirena, che lo trascina negli abissi per sacrificarlo e conservare l’eterna giovinezza. Nel tentativo di salvarlo, Jane capirà che nella vita quello che conta davvero è la bellezza che hai nel cuore.</t>
        </is>
      </c>
      <c r="M135" s="14" t="inlineStr"/>
    </row>
    <row r="136">
      <c r="A136" s="14" t="inlineStr">
        <is>
          <t>Scuola media (11-13)</t>
        </is>
      </c>
      <c r="B136" s="14" t="inlineStr">
        <is>
          <t>Terre di Mezzo</t>
        </is>
      </c>
      <c r="C136" s="14" t="inlineStr">
        <is>
          <t>Provaci ancora, Selma!</t>
        </is>
      </c>
      <c r="D136" s="14" t="inlineStr">
        <is>
          <t>Kjersti Synneva Moen</t>
        </is>
      </c>
      <c r="E136" s="14" t="inlineStr">
        <is>
          <t>tascabili</t>
        </is>
      </c>
      <c r="F136" s="16" t="n">
        <v>18</v>
      </c>
      <c r="G136" s="14" t="inlineStr">
        <is>
          <t>9791259964403</t>
        </is>
      </c>
      <c r="H136" s="14" t="inlineStr"/>
      <c r="I136" s="14" t="inlineStr">
        <is>
          <t>Sì</t>
        </is>
      </c>
      <c r="J136" s="14" t="inlineStr">
        <is>
          <t>L’Acchiappastorie – I Tascabili</t>
        </is>
      </c>
      <c r="K136" s="14" t="inlineStr"/>
      <c r="L136" s="14" t="inlineStr">
        <is>
          <t>Selma è timida, ama le attività all’aperto, le challenge sui social e… Oskar, il compagno di classe carino ma un po’ imbranato. Ingeborg, una ragazza molto popolare a scuola, che sa tutto su trucchi, acconciature e, a quanto sostiene, sull’amore, decide di mettersi in mezzo e sfida la compagna alla challenge più difficile: una delle due dovrà conquistare il cuore di Oskar durante una gita scolastica in canoa. Ma Selma ha il terrore dell’acqua, e Ingeborg lo sa...</t>
        </is>
      </c>
      <c r="M136" s="14" t="inlineStr"/>
    </row>
    <row r="137">
      <c r="A137" s="14" t="inlineStr">
        <is>
          <t>Scuola media (11-13)</t>
        </is>
      </c>
      <c r="B137" s="14" t="inlineStr">
        <is>
          <t>Terre di Mezzo</t>
        </is>
      </c>
      <c r="C137" s="14" t="inlineStr">
        <is>
          <t>Sotto la stessa luna</t>
        </is>
      </c>
      <c r="D137" s="14" t="inlineStr">
        <is>
          <t>Lara Schützsack</t>
        </is>
      </c>
      <c r="E137" s="14" t="inlineStr">
        <is>
          <t>giovani lettori</t>
        </is>
      </c>
      <c r="F137" s="16" t="n">
        <v>14</v>
      </c>
      <c r="G137" s="14" t="inlineStr">
        <is>
          <t>9791259961891</t>
        </is>
      </c>
      <c r="H137" s="14" t="inlineStr"/>
      <c r="I137" s="14" t="inlineStr">
        <is>
          <t>Sì</t>
        </is>
      </c>
      <c r="J137" s="14" t="inlineStr">
        <is>
          <t>L’Acchiappastorie – Giovani lettori</t>
        </is>
      </c>
      <c r="K137" s="14" t="inlineStr"/>
      <c r="L137" s="14" t="inlineStr">
        <is>
          <t>C’è un’età in cui sentiamo di non appartenere a nessun luogo. E Magdalena, con i suoi 12 anni, ci è piombata in pieno: i cambiamenti del corpo, le amicizie di sempre con cui non si trova più in sintonia, la difficile separazione dei genitori. Ma un giorno, allo skatepark dove passa l’estate con Sofia e Flip, arriva una misteriosa ragazza: con i suoi capelli blu e i vestiti strani, sembra fregarsene di quello che pensano gli altri. Con lei Magadalena riuscirà a superare le proprie paure e ad affrontare il delicato passaggio all’adolescenza.</t>
        </is>
      </c>
      <c r="M137" s="14" t="inlineStr"/>
    </row>
    <row r="138">
      <c r="A138" s="14" t="inlineStr">
        <is>
          <t>Scuola media (11-13)</t>
        </is>
      </c>
      <c r="B138" s="14" t="inlineStr">
        <is>
          <t>Terre di Mezzo</t>
        </is>
      </c>
      <c r="C138" s="14" t="inlineStr">
        <is>
          <t>Sulla porta del mondo</t>
        </is>
      </c>
      <c r="D138" s="14" t="inlineStr">
        <is>
          <t>Luigi Dal Cin, Cristiano Lissoni</t>
        </is>
      </c>
      <c r="E138" s="14" t="inlineStr">
        <is>
          <t>giovani lettori</t>
        </is>
      </c>
      <c r="F138" s="16" t="n">
        <v>15</v>
      </c>
      <c r="G138" s="14" t="inlineStr">
        <is>
          <t>9791259962256</t>
        </is>
      </c>
      <c r="H138" s="14" t="inlineStr"/>
      <c r="I138" s="14" t="inlineStr">
        <is>
          <t>Sì</t>
        </is>
      </c>
      <c r="J138" s="14" t="inlineStr">
        <is>
          <t>L’Acchiappastorie – Giovani lettori</t>
        </is>
      </c>
      <c r="K138" s="14" t="inlineStr"/>
      <c r="L138" s="14" t="inlineStr">
        <is>
          <t>Storie di migranti italiani Un viaggio alla scoperta di personaggi emblematici e vicende emozionanti: uomini, donne e bambini che da ogni regione d’Italia sono partiti per ogni angolo del mondo, portando con sé il sogno di una vita migliore e la ricchezza culturale dei propri luoghi d’origine. I bimbi spazzacamino che cercavano lavoro al di là delle Alpi, le “vedove bianche” che i mariti abbandonavano per andare oltreoceano. Ma anche gli emigranti costruttori di arpe, oggi suonate nei teatri di ogni continente.</t>
        </is>
      </c>
      <c r="M138" s="14" t="inlineStr"/>
    </row>
    <row r="139">
      <c r="A139" s="14" t="inlineStr">
        <is>
          <t>Adolescenza (14+)</t>
        </is>
      </c>
      <c r="B139" s="14" t="inlineStr">
        <is>
          <t>Terre di Mezzo</t>
        </is>
      </c>
      <c r="C139" s="14" t="inlineStr">
        <is>
          <t>Corpo a corpo</t>
        </is>
      </c>
      <c r="D139" s="14" t="inlineStr">
        <is>
          <t>Giovanni “Gioz” Scarduelli</t>
        </is>
      </c>
      <c r="E139" s="14" t="inlineStr">
        <is>
          <t>Young Adult</t>
        </is>
      </c>
      <c r="F139" s="16" t="n">
        <v>17</v>
      </c>
      <c r="G139" s="14" t="inlineStr">
        <is>
          <t>9791259962935</t>
        </is>
      </c>
      <c r="H139" s="14" t="inlineStr"/>
      <c r="I139" s="14" t="inlineStr">
        <is>
          <t>Sì</t>
        </is>
      </c>
      <c r="J139" s="14" t="inlineStr">
        <is>
          <t>L’Acchiappastorie – Collana Slanci</t>
        </is>
      </c>
      <c r="K139" s="14" t="inlineStr"/>
      <c r="L139" s="14" t="inlineStr">
        <is>
          <t>Martino, detto Marti, ha iniziato il terzoanno del liceo classico. Ossessionato dall’aspetto fisico, tutte le sue attenzioni vengono di colpo catturate da Margherita, una ragazza di quinta per cui perde la testa. Gli amici insistono affinché le parli, ma lui sprofonda nell’insicurezza e crea la proiezione mentale di un guerriero greco forte e possente, che riesce in tutto quello in cui il ragazzo fallisce. E proprio quando Marti trova il coraggio di sfidarlo e di mostrarsi a Margherita con le sue fragilità, scopre che anche lei sta combattendo una dura battaglia con il p</t>
        </is>
      </c>
      <c r="M139" s="14" t="inlineStr"/>
    </row>
    <row r="140">
      <c r="A140" s="14" t="inlineStr">
        <is>
          <t>Adolescenza (14+)</t>
        </is>
      </c>
      <c r="B140" s="14" t="inlineStr">
        <is>
          <t>Terre di Mezzo</t>
        </is>
      </c>
      <c r="C140" s="14" t="inlineStr">
        <is>
          <t>L’eterno ritorno di Clara hart</t>
        </is>
      </c>
      <c r="D140" s="14" t="inlineStr">
        <is>
          <t>Louise Finch</t>
        </is>
      </c>
      <c r="E140" s="14" t="inlineStr">
        <is>
          <t>Young Adult</t>
        </is>
      </c>
      <c r="F140" s="16" t="n">
        <v>15</v>
      </c>
      <c r="G140" s="14" t="inlineStr">
        <is>
          <t>9791259961983</t>
        </is>
      </c>
      <c r="H140" s="14" t="inlineStr"/>
      <c r="I140" s="14" t="inlineStr">
        <is>
          <t>Sì</t>
        </is>
      </c>
      <c r="J140" s="14" t="inlineStr">
        <is>
          <t>L’Acchiappastorie – Collana Slanci</t>
        </is>
      </c>
      <c r="K140" s="14" t="inlineStr"/>
      <c r="L140" s="14" t="inlineStr">
        <is>
          <t>Quando Clara muore la prima volta, per Spence non è un venerdì qualsiasi: da un anno esatto sua madre non c’è più, e lui vorrebbe soltanto passare al giorno dopo. Invece finisce in un loop: quella sera, il suo amico Anthony si porta in camera Clara, che ne esce sconvolta, scappa in strada, viene investita. E muore. Da quel momento, per Spence ogni mattina è di nuovo venerdì, e Clara continua a morire. All’inizio crede di doverla salvare, poi però inizia a farsi domande scomode: e se la verità non fosse quella che si è ostinato a voler vedere?</t>
        </is>
      </c>
      <c r="M140" s="14" t="inlineStr"/>
    </row>
    <row r="141">
      <c r="A141" s="14" t="inlineStr">
        <is>
          <t>Adolescenza (14+)</t>
        </is>
      </c>
      <c r="B141" s="14" t="inlineStr">
        <is>
          <t>Terre di Mezzo</t>
        </is>
      </c>
      <c r="C141" s="14" t="inlineStr">
        <is>
          <t>Out of the blue. dal cielo all’improvviso</t>
        </is>
      </c>
      <c r="D141" s="14" t="inlineStr">
        <is>
          <t>Sophie Cameron</t>
        </is>
      </c>
      <c r="E141" s="14" t="inlineStr">
        <is>
          <t>Young Adult</t>
        </is>
      </c>
      <c r="F141" s="16" t="n">
        <v>16</v>
      </c>
      <c r="G141" s="14" t="inlineStr">
        <is>
          <t>9791259962980</t>
        </is>
      </c>
      <c r="H141" s="14" t="inlineStr"/>
      <c r="I141" s="14" t="inlineStr">
        <is>
          <t>Sì</t>
        </is>
      </c>
      <c r="J141" s="14" t="inlineStr">
        <is>
          <t>L’Acchiappastorie – Collana Slanci</t>
        </is>
      </c>
      <c r="K141" s="14" t="inlineStr"/>
      <c r="L141" s="14" t="inlineStr">
        <is>
          <t>Creature alate simili ad angeli inizianoa cadere dal cielo e si schiantanoal suolo senza vita. È il caos: gliscienziati le sezionano nei laboratori,c’è chi vende a caro prezzo il loro sanguedorato e le loro piume, ovunquenascono sette convinte che il mondostia per finire. Ma il mondo di Jaya, diciassette anni,è imploso dieci giorni prima, quandosua madre è morta in un incidente dicui lei si sente responsabile. E Leah, laragazza che ama, è sparita senza direuna parola.</t>
        </is>
      </c>
      <c r="M141" s="14" t="inlineStr"/>
    </row>
    <row r="142">
      <c r="A142" s="14" t="inlineStr">
        <is>
          <t>Adolescenza (14+)</t>
        </is>
      </c>
      <c r="B142" s="14" t="inlineStr">
        <is>
          <t>Terre di Mezzo</t>
        </is>
      </c>
      <c r="C142" s="14" t="inlineStr">
        <is>
          <t>Poi prenderemo New York</t>
        </is>
      </c>
      <c r="D142" s="14" t="inlineStr">
        <is>
          <t>Ellen Strömberg</t>
        </is>
      </c>
      <c r="E142" s="14" t="inlineStr">
        <is>
          <t>Young Adult</t>
        </is>
      </c>
      <c r="F142" s="16" t="n">
        <v>15</v>
      </c>
      <c r="G142" s="14" t="inlineStr">
        <is>
          <t>9791259961457</t>
        </is>
      </c>
      <c r="H142" s="14" t="inlineStr"/>
      <c r="I142" s="14" t="inlineStr">
        <is>
          <t>Sì</t>
        </is>
      </c>
      <c r="J142" s="14" t="inlineStr">
        <is>
          <t>L’Acchiappastorie – Collana Slanci</t>
        </is>
      </c>
      <c r="K142" s="14" t="inlineStr"/>
      <c r="L142" s="14" t="inlineStr">
        <is>
          <t>In una piccola città finlandese, Manda e Malin, unite come fossero sorelle, sono sempre in cerca di emozioni. E dell’amore. La prima ha messo gli occhi su John, un bellissimo ragazzo colombiano, mentre la seconda è persa dietro a un cantante punk. Ma il loro grande sogno è trasferirsi a New York, dove avranno una vita incredibile e non saranno più delle ragazze incomprese. Travolte da sentimenti contrastanti e incomprensibili, tra feste e baci poco convincenti, Manda e Malin capiscono che quello che cercano è il loro vero io.</t>
        </is>
      </c>
      <c r="M142" s="14" t="inlineStr"/>
    </row>
    <row r="143">
      <c r="A143" s="14" t="inlineStr">
        <is>
          <t>Adolescenza (14+)</t>
        </is>
      </c>
      <c r="B143" s="14" t="inlineStr">
        <is>
          <t>Terre di Mezzo</t>
        </is>
      </c>
      <c r="C143" s="14" t="inlineStr">
        <is>
          <t>Un ragazzo è quasi niente</t>
        </is>
      </c>
      <c r="D143" s="14" t="inlineStr">
        <is>
          <t>Lisa Balavoine</t>
        </is>
      </c>
      <c r="E143" s="14" t="inlineStr">
        <is>
          <t>Young Adult</t>
        </is>
      </c>
      <c r="F143" s="16" t="n">
        <v>15</v>
      </c>
      <c r="G143" s="14" t="inlineStr">
        <is>
          <t>9791259960696</t>
        </is>
      </c>
      <c r="H143" s="14" t="inlineStr"/>
      <c r="I143" s="14" t="inlineStr">
        <is>
          <t>Sì</t>
        </is>
      </c>
      <c r="J143" s="14" t="inlineStr">
        <is>
          <t>L’Acchiappastorie – Collana Slanci</t>
        </is>
      </c>
      <c r="K143" s="14" t="inlineStr"/>
      <c r="L143" s="14" t="inlineStr">
        <is>
          <t>Romeo non è un ragazzo come gli altri: non è virile, non è violento, non è forte. Solo la musica dà senso alla sua vita. Un giorno però Justine, desiderata da tutti, vede in lui qualcosa di diverso. Il loro incontro comporta per entrambi una rivoluzione. Una penna profonda che tocca con intelligenza temi come mascolinità, sessualità, revenge porn, social network e segreti di famiglia. Premio ORBIL 2024 categoria Young Adult Premio LiBeR per il miglior libro del 2023</t>
        </is>
      </c>
      <c r="M143" s="14" t="inlineStr"/>
    </row>
    <row r="144">
      <c r="A144" s="14" t="inlineStr">
        <is>
          <t>3-6 anni</t>
        </is>
      </c>
      <c r="B144" s="14" t="inlineStr">
        <is>
          <t>Terre di Mezzo</t>
        </is>
      </c>
      <c r="C144" s="14" t="inlineStr">
        <is>
          <t>Fratelli</t>
        </is>
      </c>
      <c r="D144" s="14" t="inlineStr">
        <is>
          <t>Marie Le Cuziat, Hua Ling Xu</t>
        </is>
      </c>
      <c r="E144" s="14" t="inlineStr">
        <is>
          <t>per tutte le età</t>
        </is>
      </c>
      <c r="F144" s="16" t="n">
        <v>16</v>
      </c>
      <c r="G144" s="14" t="inlineStr">
        <is>
          <t>9791259962942</t>
        </is>
      </c>
      <c r="H144" s="14" t="inlineStr"/>
      <c r="I144" s="14" t="inlineStr">
        <is>
          <t>Sì</t>
        </is>
      </c>
      <c r="J144" s="14" t="inlineStr">
        <is>
          <t>L’Acchiappastorie – Albi per tutte le età</t>
        </is>
      </c>
      <c r="K144" s="14" t="inlineStr"/>
      <c r="L144" s="14" t="inlineStr">
        <is>
          <t>Arùn è bruno come il caffè, Rey biondo come il grano. Uno è alto, l’altro è più basso. Uno osserva, l’altro si arrampica. Uno cammina, l’altro vola. Non sono semplici amici, né compagni di scuola o cugini. Arùn e Rey, con tutte le loro differenze, sono uniti da un legame invisibile e saldissimo, unico: sono fratelli. Parole scelte con cura che accompagnano grandi tavole vibranti e luminose e compongono un canto inedito dedicato alla tematica universale della fratellanza.</t>
        </is>
      </c>
      <c r="M144" s="14" t="inlineStr">
        <is>
          <t>https://www.ibs.it/x/e/9791259962942</t>
        </is>
      </c>
    </row>
    <row r="145">
      <c r="A145" s="14" t="inlineStr">
        <is>
          <t>3-6 anni</t>
        </is>
      </c>
      <c r="B145" s="14" t="inlineStr">
        <is>
          <t>Terre di Mezzo</t>
        </is>
      </c>
      <c r="C145" s="14" t="inlineStr">
        <is>
          <t>Il mondo è tuo</t>
        </is>
      </c>
      <c r="D145" s="14" t="inlineStr">
        <is>
          <t>Riccardo Bozzi, Olimpia Zagnoli</t>
        </is>
      </c>
      <c r="E145" s="14" t="inlineStr">
        <is>
          <t>per tutte le età</t>
        </is>
      </c>
      <c r="F145" s="16" t="n">
        <v>18</v>
      </c>
      <c r="G145" s="14" t="inlineStr">
        <is>
          <t>9788861893740</t>
        </is>
      </c>
      <c r="H145" s="14" t="inlineStr"/>
      <c r="I145" s="14" t="inlineStr">
        <is>
          <t>Sì</t>
        </is>
      </c>
      <c r="J145" s="14" t="inlineStr">
        <is>
          <t>L’Acchiappastorie – Albi per tutte le età</t>
        </is>
      </c>
      <c r="K145" s="14" t="inlineStr"/>
      <c r="L145" s="14" t="inlineStr">
        <is>
          <t>“Sei libero di giocare. Sei libero di pensare. Sei libero di amare. Sei libero di essere felice. Perché il mondo è tuo.” Un albo amatissimo torna in un formato da regalare, impreziosito da una copertina-poster. Parole e immagini essenziali che parlano al cuore di lettori di tutte le età. Un libro da riprendere in mano ogni volta che attraversiamo (o cerchiamo) un cambiamento. ISBN 9788861893740</t>
        </is>
      </c>
      <c r="M145" s="14" t="inlineStr">
        <is>
          <t>https://www.ibs.it/x/e/9788861893740</t>
        </is>
      </c>
    </row>
    <row r="146">
      <c r="A146" s="14" t="inlineStr">
        <is>
          <t>Prime letture (6-8)</t>
        </is>
      </c>
      <c r="B146" s="14" t="inlineStr">
        <is>
          <t>Terre di Mezzo</t>
        </is>
      </c>
      <c r="C146" s="14" t="inlineStr">
        <is>
          <t>Via della gentilezza</t>
        </is>
      </c>
      <c r="D146" s="14" t="inlineStr">
        <is>
          <t>Marta Bartolj</t>
        </is>
      </c>
      <c r="E146" s="14" t="inlineStr">
        <is>
          <t>per tutte le età</t>
        </is>
      </c>
      <c r="F146" s="16" t="n">
        <v>16.9</v>
      </c>
      <c r="G146" s="14" t="inlineStr">
        <is>
          <t>9788861897595</t>
        </is>
      </c>
      <c r="H146" s="14" t="inlineStr"/>
      <c r="I146" s="14" t="inlineStr">
        <is>
          <t>Sì</t>
        </is>
      </c>
      <c r="J146" s="14" t="inlineStr">
        <is>
          <t>L’Acchiappastorie – Silent book</t>
        </is>
      </c>
      <c r="K146" s="14" t="inlineStr"/>
      <c r="L146" s="14" t="inlineStr">
        <is>
          <t>Mentre affigge volantini per ritrovare il suo cane smarrito, una ragazza regala una mela a un artista di strada. Alla scena assiste un bimbo che, a sua volta, sente nascere la voglia di fare un piccolo gesto simile: ricompra il palloncino a una bimba che l’ha appena perduto. Alla scena assiste un signore... E così via: la gentilezza si propaga nel quartiere, passa da una persona all’altra, fino a restituire il sorriso proprio a colei che le ha dato inizio. Un libro senza parole sull’importanza della gentilezza e sul valore della comunità, per adulti e bambini.</t>
        </is>
      </c>
      <c r="M146" s="14" t="inlineStr">
        <is>
          <t>https://www.ibs.it/x/e/9788861897595</t>
        </is>
      </c>
    </row>
    <row r="147">
      <c r="A147" s="14" t="inlineStr">
        <is>
          <t>0-3 anni</t>
        </is>
      </c>
      <c r="B147" s="14" t="inlineStr">
        <is>
          <t>Camelozampa</t>
        </is>
      </c>
      <c r="C147" s="14" t="inlineStr">
        <is>
          <t>Amici (miniserie A bocca aperta)</t>
        </is>
      </c>
      <c r="D147" s="14" t="inlineStr">
        <is>
          <t>Helen Oxenbury</t>
        </is>
      </c>
      <c r="E147" s="14" t="inlineStr">
        <is>
          <t>0-3 anni</t>
        </is>
      </c>
      <c r="F147" s="16" t="n">
        <v>9.9</v>
      </c>
      <c r="G147" s="14" t="inlineStr">
        <is>
          <t>9791280014214</t>
        </is>
      </c>
      <c r="H147" s="14" t="inlineStr"/>
      <c r="I147" s="14" t="inlineStr">
        <is>
          <t>Sì</t>
        </is>
      </c>
      <c r="J147" s="14" t="inlineStr">
        <is>
          <t>A bocca aperta</t>
        </is>
      </c>
      <c r="K147" s="14" t="inlineStr"/>
      <c r="L147" s="14" t="inlineStr">
        <is>
          <t>Stare con gli animali è sempre un incontro speciale per un bambino. Abbracciare un coniglio, accoccolarsi con un gatto, osservare un uccellino, passeggiare con una gallina, dare da mangiare a un’anatra: Oxenbury li racconta attraverso un magico gioco di sguardi tra bambino, animale e lettore. Helen Oxenbury è stata una pioniera nel mondo degli albi illustrati rivolti alla prima infanzia. È stata la prima a scegliere come personaggi solo bambini, rappresentati nella loro pienezza corporea ed emozionale.</t>
        </is>
      </c>
      <c r="M147" s="14" t="inlineStr">
        <is>
          <t>https://www.ibs.it/x/e/9791280014214</t>
        </is>
      </c>
    </row>
    <row r="148">
      <c r="A148" s="14" t="inlineStr">
        <is>
          <t>0-3 anni</t>
        </is>
      </c>
      <c r="B148" s="14" t="inlineStr">
        <is>
          <t>Camelozampa</t>
        </is>
      </c>
      <c r="C148" s="14" t="inlineStr">
        <is>
          <t>Peggy trova tutto</t>
        </is>
      </c>
      <c r="D148" s="14" t="inlineStr">
        <is>
          <t>Tonka Uzu</t>
        </is>
      </c>
      <c r="E148" s="14" t="inlineStr">
        <is>
          <t>0-3 anni</t>
        </is>
      </c>
      <c r="F148" s="16" t="n">
        <v>15</v>
      </c>
      <c r="G148" s="14" t="inlineStr">
        <is>
          <t>9791254642351</t>
        </is>
      </c>
      <c r="H148" s="14" t="inlineStr"/>
      <c r="I148" s="14" t="inlineStr">
        <is>
          <t>Sì</t>
        </is>
      </c>
      <c r="J148" s="14" t="inlineStr">
        <is>
          <t>Collana 0-3</t>
        </is>
      </c>
      <c r="K148" s="14" t="inlineStr"/>
      <c r="L148" s="14" t="inlineStr">
        <is>
          <t>A casa di Peggy le cose finiscono spesso fuori posto e oggi tutti cercano qualcosa che hanno perso: per fortuna c’è Peggy, che è bravissima a trovare le cose. Albo per i più piccoli della collana A bocca aperta (0-3 anni). 24 pagine.</t>
        </is>
      </c>
      <c r="M148" s="14" t="inlineStr">
        <is>
          <t>https://www.ibs.it/x/e/9791254642351</t>
        </is>
      </c>
    </row>
    <row r="149">
      <c r="A149" s="14" t="inlineStr">
        <is>
          <t>3-6 anni</t>
        </is>
      </c>
      <c r="B149" s="14" t="inlineStr">
        <is>
          <t>Camelozampa</t>
        </is>
      </c>
      <c r="C149" s="14" t="inlineStr">
        <is>
          <t>Avrò cura di te</t>
        </is>
      </c>
      <c r="D149" s="14" t="inlineStr"/>
      <c r="E149" s="14" t="inlineStr">
        <is>
          <t>collana prevalentemente da 4 anni</t>
        </is>
      </c>
      <c r="F149" s="16" t="n">
        <v>17.9</v>
      </c>
      <c r="G149" s="14" t="inlineStr">
        <is>
          <t>9791280014139</t>
        </is>
      </c>
      <c r="H149" s="14" t="inlineStr"/>
      <c r="I149" s="14" t="inlineStr">
        <is>
          <t>Sì</t>
        </is>
      </c>
      <c r="J149" s="14" t="inlineStr">
        <is>
          <t>Le Piume (albi illustrati)</t>
        </is>
      </c>
      <c r="K149" s="14" t="inlineStr">
        <is>
          <t>Cura e solidarietà</t>
        </is>
      </c>
      <c r="L149" s="14" t="inlineStr">
        <is>
          <t>C’era una volta un minuscolo seme. Era così piccolo, nel vasto mondo, che si sentiva sperduto. Il Cielo, l’Acqua e la Terra lo videro, provarono tenerezza per lui e ne ebbero cura. Diventò un albero, grande e forte. Un uccellino sperduto cercava dove fare il nido. L’albero ne ebbe cura. Finché un giorno l’uccellino non raccolse uno dei semi dell’albero, caduto tra i sassi: ne ebbe cura, affidandolo alla Terra...</t>
        </is>
      </c>
      <c r="M149" s="14" t="inlineStr">
        <is>
          <t>https://www.ibs.it/x/e/9791280014139</t>
        </is>
      </c>
    </row>
    <row r="150">
      <c r="A150" s="14" t="inlineStr">
        <is>
          <t>3-6 anni</t>
        </is>
      </c>
      <c r="B150" s="14" t="inlineStr">
        <is>
          <t>Camelozampa</t>
        </is>
      </c>
      <c r="C150" s="14" t="inlineStr">
        <is>
          <t>Cielo di ciliegie</t>
        </is>
      </c>
      <c r="D150" s="14" t="inlineStr"/>
      <c r="E150" s="14" t="inlineStr">
        <is>
          <t>collana prevalentemente da 4 anni</t>
        </is>
      </c>
      <c r="F150" s="16" t="n">
        <v>16.9</v>
      </c>
      <c r="G150" s="14" t="inlineStr">
        <is>
          <t>9791254641590</t>
        </is>
      </c>
      <c r="H150" s="14" t="inlineStr"/>
      <c r="I150" s="14" t="inlineStr">
        <is>
          <t>Sì</t>
        </is>
      </c>
      <c r="J150" s="14" t="inlineStr">
        <is>
          <t>Le Piume (albi illustrati)</t>
        </is>
      </c>
      <c r="K150" s="14" t="inlineStr">
        <is>
          <t>Differenze sociali</t>
        </is>
      </c>
      <c r="L150" s="14" t="inlineStr">
        <is>
          <t>Alcuni amici sono molto più che amici. Crescono come ciliegie gemelle attaccate allo stesso gambo. Adin e Dina sono due amici così. Ma ora Adin dovrà trasferirsi in città, lontano dai loro ciliegi…</t>
        </is>
      </c>
      <c r="M150" s="14" t="inlineStr">
        <is>
          <t>https://www.ibs.it/x/e/9791254641590</t>
        </is>
      </c>
    </row>
    <row r="151">
      <c r="A151" s="14" t="inlineStr">
        <is>
          <t>3-6 anni</t>
        </is>
      </c>
      <c r="B151" s="14" t="inlineStr">
        <is>
          <t>Camelozampa</t>
        </is>
      </c>
      <c r="C151" s="14" t="inlineStr">
        <is>
          <t>Dove nasco ogni giorno</t>
        </is>
      </c>
      <c r="D151" s="14" t="inlineStr"/>
      <c r="E151" s="14" t="inlineStr">
        <is>
          <t>dai 3 anni</t>
        </is>
      </c>
      <c r="F151" s="16" t="n">
        <v>18.9</v>
      </c>
      <c r="G151" s="14" t="inlineStr">
        <is>
          <t>9791254642542</t>
        </is>
      </c>
      <c r="H151" s="14" t="inlineStr"/>
      <c r="I151" s="14" t="inlineStr">
        <is>
          <t>Sì</t>
        </is>
      </c>
      <c r="J151" s="14" t="inlineStr">
        <is>
          <t>Le Piume (albi illustrati)</t>
        </is>
      </c>
      <c r="K151" s="14" t="inlineStr">
        <is>
          <t>Famiglie di molte forme</t>
        </is>
      </c>
      <c r="L151" s="14" t="inlineStr">
        <is>
          <t>Un albo tenero e poetico che celebra gli infiniti modi in cui amore, famiglia e cura plasmano il mondo di un bambino: dall’abbraccio di una nonna alle braccia protettive di un padre, dalla presenza di un fratello al sostegno di una famiglia scelta. Un’ode all’amore senza confini, sulle molte forme che una famiglia può assumere. 40 pagine, dai 3 anni.</t>
        </is>
      </c>
      <c r="M151" s="14" t="inlineStr">
        <is>
          <t>https://www.ibs.it/x/e/9791254642542</t>
        </is>
      </c>
    </row>
    <row r="152">
      <c r="A152" s="14" t="inlineStr">
        <is>
          <t>3-6 anni</t>
        </is>
      </c>
      <c r="B152" s="14" t="inlineStr">
        <is>
          <t>Camelozampa</t>
        </is>
      </c>
      <c r="C152" s="14" t="inlineStr">
        <is>
          <t>Felicità è una parola semplice</t>
        </is>
      </c>
      <c r="D152" s="14" t="inlineStr"/>
      <c r="E152" s="14" t="inlineStr">
        <is>
          <t>collana prevalentemente da 4 anni</t>
        </is>
      </c>
      <c r="F152" s="16" t="n">
        <v>18.9</v>
      </c>
      <c r="G152" s="14" t="inlineStr">
        <is>
          <t>9791280014382</t>
        </is>
      </c>
      <c r="H152" s="14" t="inlineStr"/>
      <c r="I152" s="14" t="inlineStr">
        <is>
          <t>Sì</t>
        </is>
      </c>
      <c r="J152" s="14" t="inlineStr">
        <is>
          <t>Le Piume (albi illustrati)</t>
        </is>
      </c>
      <c r="K152" s="14" t="inlineStr">
        <is>
          <t>Elaborazione del dolore collettivo (pandemia)</t>
        </is>
      </c>
      <c r="L152" s="14" t="inlineStr">
        <is>
          <t>Arianna Papini, Premio Andersen come Miglior Illustratore, traccia una strada per guardare con gioia al futuro. Stampa Un libro per lenire, un invito a ritrovare la felicità dentro di noi, negli abbracci, nella creatività, nella natura, nella capacità di stare ancora vicini.</t>
        </is>
      </c>
      <c r="M152" s="14" t="inlineStr">
        <is>
          <t>https://www.ibs.it/x/e/9791280014382</t>
        </is>
      </c>
    </row>
    <row r="153">
      <c r="A153" s="14" t="inlineStr">
        <is>
          <t>3-6 anni</t>
        </is>
      </c>
      <c r="B153" s="14" t="inlineStr">
        <is>
          <t>Camelozampa</t>
        </is>
      </c>
      <c r="C153" s="14" t="inlineStr">
        <is>
          <t>Il cortile selvaggio</t>
        </is>
      </c>
      <c r="D153" s="14" t="inlineStr"/>
      <c r="E153" s="14" t="inlineStr">
        <is>
          <t>dai 4 anni</t>
        </is>
      </c>
      <c r="F153" s="16" t="n">
        <v>19.9</v>
      </c>
      <c r="G153" s="14" t="inlineStr">
        <is>
          <t>9791254642863</t>
        </is>
      </c>
      <c r="H153" s="14" t="inlineStr"/>
      <c r="I153" s="14" t="inlineStr">
        <is>
          <t>Sì</t>
        </is>
      </c>
      <c r="J153" s="14" t="inlineStr">
        <is>
          <t>Le Piume (albi illustrati)</t>
        </is>
      </c>
      <c r="K153" s="14" t="inlineStr">
        <is>
          <t>Natura e legami</t>
        </is>
      </c>
      <c r="L153" s="14" t="inlineStr">
        <is>
          <t>Tra due palazzi destinati a un progetto edilizio sopravvive un quadrato di natura selvaggia, rifugio prezioso per Dafne e Basilio, due bambini del quartiere: stagioni che cambiano, piante che crescono, animali che trovano casa. Quando arriva la minaccia di demolizione, i bambini e i vicini si mobilitano per difenderlo: il cortile diventa simbolo di comunità e biodiversità. 32 pagine, dai 4 anni.</t>
        </is>
      </c>
      <c r="M153" s="14" t="inlineStr">
        <is>
          <t>https://www.ibs.it/x/e/9791254642863</t>
        </is>
      </c>
    </row>
    <row r="154">
      <c r="A154" s="14" t="inlineStr">
        <is>
          <t>3-6 anni</t>
        </is>
      </c>
      <c r="B154" s="14" t="inlineStr">
        <is>
          <t>Camelozampa</t>
        </is>
      </c>
      <c r="C154" s="14" t="inlineStr">
        <is>
          <t>Il giardino di Rita</t>
        </is>
      </c>
      <c r="D154" s="14" t="inlineStr"/>
      <c r="E154" s="14" t="inlineStr">
        <is>
          <t>collana prevalentemente da 4 anni</t>
        </is>
      </c>
      <c r="F154" s="16" t="n">
        <v>18.9</v>
      </c>
      <c r="G154" s="14" t="inlineStr">
        <is>
          <t>9791254642146</t>
        </is>
      </c>
      <c r="H154" s="14" t="inlineStr"/>
      <c r="I154" s="14" t="inlineStr">
        <is>
          <t>Sì</t>
        </is>
      </c>
      <c r="J154" s="14" t="inlineStr">
        <is>
          <t>Le Piume (albi illustrati)</t>
        </is>
      </c>
      <c r="K154" s="14" t="inlineStr">
        <is>
          <t>Lutto e trasformazione</t>
        </is>
      </c>
      <c r="L154" s="14" t="inlineStr">
        <is>
          <t>Un albo che intreccia semplicità e poesia per parlare di perdita, lutto e trasformazione Non appena Sofia si sveglia, va alla finestra a chiamare la sua gatta, Rita. Ma stamattina Rita non arriva. Sofia si affaccia alla finestra. E la vede. È laggiù, ferma. Sembra dormire un sonno profondo. «Rita non è più qui» le dice lo zio Michele. «Cosa vuol dire zio? Ma io la vedo, è proprio davanti a noi!» Rita è lì, eppure è come se non ci fosse…</t>
        </is>
      </c>
      <c r="M154" s="14" t="inlineStr">
        <is>
          <t>https://www.ibs.it/x/e/9791254642146</t>
        </is>
      </c>
    </row>
    <row r="155">
      <c r="A155" s="14" t="inlineStr">
        <is>
          <t>3-6 anni</t>
        </is>
      </c>
      <c r="B155" s="14" t="inlineStr">
        <is>
          <t>Camelozampa</t>
        </is>
      </c>
      <c r="C155" s="14" t="inlineStr">
        <is>
          <t>La sorpresa della volpe</t>
        </is>
      </c>
      <c r="D155" s="14" t="inlineStr"/>
      <c r="E155" s="14" t="inlineStr">
        <is>
          <t>collana prevalentemente da 4 anni</t>
        </is>
      </c>
      <c r="F155" s="16" t="n">
        <v>15</v>
      </c>
      <c r="G155" s="14" t="inlineStr">
        <is>
          <t>9788899842888</t>
        </is>
      </c>
      <c r="H155" s="14" t="inlineStr"/>
      <c r="I155" s="14" t="inlineStr">
        <is>
          <t>Sì</t>
        </is>
      </c>
      <c r="J155" s="14" t="inlineStr">
        <is>
          <t>Le Piume (albi illustrati)</t>
        </is>
      </c>
      <c r="K155" s="14" t="inlineStr">
        <is>
          <t>Amicizia e pregiudizi</t>
        </is>
      </c>
      <c r="L155" s="14" t="inlineStr">
        <is>
          <t>Un racconto sull’amicizia e contro i pregiudizi, una storia dolce e divertente, con un finale davvero a sorpresa. Tuttolibri. La volpe ha preparato una sorpresa: è un’idea talmente furba, pensa, che nessuno riuscirà a indovinare di cosa si tratta! L’orso ama le torte, quindi pensa che sarà una gara di dolci. La lepre è appassionata di calcio: sarà una partita? Il topo adora i libri ed è sicuro che aprirà una biblioteca. La civetta è patita del rock, quindi si aspetta un concerto, mentre la tartaruga, che ha un debole per il circo, si attende uno show... Tutti seguono la volpe. Quando nella sua tana si fa buio, per un attimo hanno paura...</t>
        </is>
      </c>
      <c r="M155" s="14" t="inlineStr">
        <is>
          <t>https://www.ibs.it/x/e/9788899842888</t>
        </is>
      </c>
    </row>
    <row r="156">
      <c r="A156" s="14" t="inlineStr">
        <is>
          <t>Prime letture (6-8)</t>
        </is>
      </c>
      <c r="B156" s="14" t="inlineStr">
        <is>
          <t>Camelozampa</t>
        </is>
      </c>
      <c r="C156" s="14" t="inlineStr">
        <is>
          <t>70 trucchi per non fare il bagno</t>
        </is>
      </c>
      <c r="D156" s="14" t="inlineStr"/>
      <c r="E156" s="14" t="inlineStr">
        <is>
          <t>da 7 anni</t>
        </is>
      </c>
      <c r="F156" s="16" t="n">
        <v>15.9</v>
      </c>
      <c r="G156" s="14" t="inlineStr">
        <is>
          <t>9791254642917</t>
        </is>
      </c>
      <c r="H156" s="14" t="inlineStr"/>
      <c r="I156" s="14" t="inlineStr">
        <is>
          <t>Sì</t>
        </is>
      </c>
      <c r="J156" s="14" t="inlineStr">
        <is>
          <t>Narrativa / Gruppi di lettura</t>
        </is>
      </c>
      <c r="K156" s="14" t="inlineStr">
        <is>
          <t>Ansia da prestazione</t>
        </is>
      </c>
      <c r="L156" s="14" t="inlineStr">
        <is>
          <t>Il giovedì è il giorno peggiore della settimana per Gied: c’è la lezione di nuoto e il mal di pancia comincia già il mercoledì. Nel quaderno segreto ha annotato più di settanta trucchi per evitare la piscina; per sopravvivere gli basta vedere dall’autobus l’uomo che dà da mangiare ai piccioni, ma quando l’uomo scompare Gied decide di cercarlo. Romanzo ironico sull’ansia di non essere all’altezza. 160 pagine, da 7 anni.</t>
        </is>
      </c>
      <c r="M156" s="14" t="inlineStr">
        <is>
          <t>https://www.ibs.it/x/e/9791254642917</t>
        </is>
      </c>
    </row>
    <row r="157">
      <c r="A157" s="14" t="inlineStr">
        <is>
          <t>Prime letture (6-8)</t>
        </is>
      </c>
      <c r="B157" s="14" t="inlineStr">
        <is>
          <t>Camelozampa</t>
        </is>
      </c>
      <c r="C157" s="14" t="inlineStr">
        <is>
          <t>Dove sono finiti i bambini?</t>
        </is>
      </c>
      <c r="D157" s="14" t="inlineStr"/>
      <c r="E157" s="14" t="inlineStr">
        <is>
          <t>da 6 anni</t>
        </is>
      </c>
      <c r="F157" s="16" t="n">
        <v>17.9</v>
      </c>
      <c r="G157" s="14" t="inlineStr">
        <is>
          <t>9791254642047</t>
        </is>
      </c>
      <c r="H157" s="14" t="inlineStr"/>
      <c r="I157" s="14" t="inlineStr">
        <is>
          <t>Sì</t>
        </is>
      </c>
      <c r="J157" s="14" t="inlineStr">
        <is>
          <t>Narrativa / Gruppi di lettura</t>
        </is>
      </c>
      <c r="K157" s="14" t="inlineStr">
        <is>
          <t>Diritto dei bambini a essere ascoltati</t>
        </is>
      </c>
      <c r="L157" s="14" t="inlineStr">
        <is>
          <t>Stanchi di regole e divieti, tutti i bambini di una città scompaiono nel bosco e il mondo degli adulti si svuota all’improvviso. Tra tentativi goffi e fallimentari di farli tornare, si capisce che non bastano ordini, promesse o stratagemmi: bisogna prima imparare ad ascoltarli davvero. Una storia in versi, corale e ritmata, sul rapporto tra grandi e piccoli. 80 pagine, da 6 anni.</t>
        </is>
      </c>
      <c r="M157" s="14" t="inlineStr">
        <is>
          <t>https://www.ibs.it/x/e/9791254642047</t>
        </is>
      </c>
    </row>
    <row r="158">
      <c r="A158" s="14" t="inlineStr">
        <is>
          <t>Prime letture (6-8)</t>
        </is>
      </c>
      <c r="B158" s="14" t="inlineStr">
        <is>
          <t>Camelozampa</t>
        </is>
      </c>
      <c r="C158" s="14" t="inlineStr">
        <is>
          <t>Isidoro e la luna</t>
        </is>
      </c>
      <c r="D158" s="14" t="inlineStr"/>
      <c r="E158" s="14" t="inlineStr">
        <is>
          <t>da 7 anni</t>
        </is>
      </c>
      <c r="F158" s="16" t="n">
        <v>15.9</v>
      </c>
      <c r="G158" s="14" t="inlineStr">
        <is>
          <t>9791254642023</t>
        </is>
      </c>
      <c r="H158" s="14" t="inlineStr"/>
      <c r="I158" s="14" t="inlineStr">
        <is>
          <t>Sì</t>
        </is>
      </c>
      <c r="J158" s="14" t="inlineStr">
        <is>
          <t>Narrativa / Gruppi di lettura</t>
        </is>
      </c>
      <c r="K158" s="14" t="inlineStr">
        <is>
          <t>Potere della parola</t>
        </is>
      </c>
      <c r="L158" s="14" t="inlineStr">
        <is>
          <t>Il grande mago Livorno ha legato la luna con una fune invisibile per compiacere il califfo, che fa pagare chiunque la guardi. Ad accudirla ci sono Bella e il giovane Isidoro, che una notte, per impazienza, libera la luna: da quel momento il destino del mago, di Bella e della città è nelle sue mani. Atmosfere da Mille e una notte, tra libertà, fantasia e potere della parola. 96 pagine, da 7 anni.</t>
        </is>
      </c>
      <c r="M158" s="14" t="inlineStr">
        <is>
          <t>https://www.ibs.it/x/e/9791254642023</t>
        </is>
      </c>
    </row>
    <row r="159">
      <c r="A159" s="14" t="inlineStr">
        <is>
          <t>Prime letture (6-8)</t>
        </is>
      </c>
      <c r="B159" s="14" t="inlineStr">
        <is>
          <t>Camelozampa</t>
        </is>
      </c>
      <c r="C159" s="14" t="inlineStr">
        <is>
          <t>La figlia della biblioteca</t>
        </is>
      </c>
      <c r="D159" s="14" t="inlineStr"/>
      <c r="E159" s="14" t="inlineStr">
        <is>
          <t>da 7 anni</t>
        </is>
      </c>
      <c r="F159" s="16" t="n">
        <v>16.9</v>
      </c>
      <c r="G159" s="14" t="inlineStr">
        <is>
          <t>9791254642764</t>
        </is>
      </c>
      <c r="H159" s="14" t="inlineStr"/>
      <c r="I159" s="14" t="inlineStr">
        <is>
          <t>Sì</t>
        </is>
      </c>
      <c r="J159" s="14" t="inlineStr">
        <is>
          <t>Narrativa / Gruppi di lettura</t>
        </is>
      </c>
      <c r="K159" s="14" t="inlineStr">
        <is>
          <t>Famiglie che si scelgono</t>
        </is>
      </c>
      <c r="L159" s="14" t="inlineStr">
        <is>
          <t>Essie ha undici anni e non ha mai vissuto fuori da una biblioteca: è stata trovata lì da neonata e cresciuta in segreto da quattro bibliotecarie che sono diventate le sue madri. Quando mette piede per la prima volta nel mondo “reale” incontra G.E., un ragazzo misterioso che sembra avere con lei un legame speciale, e comincia a mettere in discussione ciò in cui ha sempre creduto. Un inno ai libri, alle biblioteche e alle famiglie che si scelgono. 320 pagine, da 7 anni.</t>
        </is>
      </c>
      <c r="M159" s="14" t="inlineStr">
        <is>
          <t>https://www.ibs.it/x/e/9791254642764</t>
        </is>
      </c>
    </row>
    <row r="160">
      <c r="A160" s="14" t="inlineStr">
        <is>
          <t>8+</t>
        </is>
      </c>
      <c r="B160" s="14" t="inlineStr">
        <is>
          <t>Camelozampa</t>
        </is>
      </c>
      <c r="C160" s="14" t="inlineStr">
        <is>
          <t>Furia Mascherata</t>
        </is>
      </c>
      <c r="D160" s="14" t="inlineStr"/>
      <c r="E160" s="14" t="inlineStr">
        <is>
          <t>8-11 anni</t>
        </is>
      </c>
      <c r="F160" s="16" t="n">
        <v>15.9</v>
      </c>
      <c r="G160" s="14" t="inlineStr">
        <is>
          <t>9791254642528</t>
        </is>
      </c>
      <c r="H160" s="14" t="inlineStr"/>
      <c r="I160" s="14" t="inlineStr">
        <is>
          <t>Sì</t>
        </is>
      </c>
      <c r="J160" s="14" t="inlineStr">
        <is>
          <t>Narrativa / Gruppi di lettura</t>
        </is>
      </c>
      <c r="K160" s="14" t="inlineStr">
        <is>
          <t>Amicizia</t>
        </is>
      </c>
      <c r="L160" s="14" t="inlineStr">
        <is>
          <t>Un romanzo per ragazzi avvincente e ricco di azione, che mescola umorismo, amicizia ed emozionanti incontri di lotta mascherata Nella cittadina di Massa Corporea, la lotta mascherata è la passione di tutti. A dominare il ring è Furia Mascherata, un misterioso lottatore che si distingue per le sue mosse spettacolari, la pelliccia verde e viola e il suo cuore generoso. Ma quando sulla scena irrompe un nuovo, malvagio avversario, il Pagliaccio Picchiatutto, e in città nasce il comitato F.A.Ma.L.E. che si oppone alla lotta, Furia decide di abbandonare le scene. Per la disperazione del suo Fan Numero Uno, Eugenio, che con la cugina Ginevra è appassionatissimo di lotta mascherata, anche se i genitori non li lasciano assistere gli incontri. I due bambini decidono di scoprire la vera identità di Furia Mascherata e riportarlo sul ring…</t>
        </is>
      </c>
      <c r="M160" s="14" t="inlineStr">
        <is>
          <t>https://www.ibs.it/x/e/9791254642528</t>
        </is>
      </c>
    </row>
    <row r="161">
      <c r="A161" s="14" t="inlineStr">
        <is>
          <t>9+</t>
        </is>
      </c>
      <c r="B161" s="14" t="inlineStr">
        <is>
          <t>Camelozampa</t>
        </is>
      </c>
      <c r="C161" s="14" t="inlineStr">
        <is>
          <t>Felice abbastanza</t>
        </is>
      </c>
      <c r="D161" s="14" t="inlineStr"/>
      <c r="E161" s="14" t="inlineStr">
        <is>
          <t>9-12 anni</t>
        </is>
      </c>
      <c r="F161" s="16" t="n">
        <v>13.9</v>
      </c>
      <c r="G161" s="14" t="inlineStr"/>
      <c r="H161" s="14" t="inlineStr"/>
      <c r="I161" s="14" t="inlineStr">
        <is>
          <t>Sì</t>
        </is>
      </c>
      <c r="J161" s="14" t="inlineStr">
        <is>
          <t>Narrativa / Gruppi di lettura</t>
        </is>
      </c>
      <c r="K161" s="14" t="inlineStr">
        <is>
          <t>Crescita / preadolescenza</t>
        </is>
      </c>
      <c r="L161" s="14" t="inlineStr">
        <is>
          <t>Pieno di umorismo e disarmante sincerità, un romanzo su quel momento in cui un bambino sta diventando un teenager Juri sta per compiere 12 anni ed è pieno di preoccupazioni: tutto da solo, deve capire l’amore, il calcio e quanto in profondità andare con la lingua quando si bacia qualcuno per evitare che si strozzi. Juri si chiede se è innamorato di Sofi, e intanto deve fare i conti con la separazione dei suoi genitori, la sua migliore amica Evy che inizia a comportarsi in modo un po’ strano, e il loro nuovo compagno, Hugo, che sembra piacere a tutti… Sembra che il mondo stia girando troppo in fretta. Se solo potesse fermarsi un attimo.</t>
        </is>
      </c>
      <c r="M161" s="14" t="inlineStr"/>
    </row>
    <row r="162">
      <c r="A162" s="14" t="inlineStr">
        <is>
          <t>9+</t>
        </is>
      </c>
      <c r="B162" s="14" t="inlineStr">
        <is>
          <t>Camelozampa</t>
        </is>
      </c>
      <c r="C162" s="14" t="inlineStr">
        <is>
          <t>La mia vita imprevista</t>
        </is>
      </c>
      <c r="D162" s="14" t="inlineStr"/>
      <c r="E162" s="14" t="inlineStr">
        <is>
          <t>9-12 anni</t>
        </is>
      </c>
      <c r="F162" s="16" t="n">
        <v>13.9</v>
      </c>
      <c r="G162" s="14" t="inlineStr">
        <is>
          <t>9791254642153</t>
        </is>
      </c>
      <c r="H162" s="14" t="inlineStr"/>
      <c r="I162" s="14" t="inlineStr">
        <is>
          <t>Sì</t>
        </is>
      </c>
      <c r="J162" s="14" t="inlineStr">
        <is>
          <t>Narrativa / Gruppi di lettura</t>
        </is>
      </c>
      <c r="K162" s="14" t="inlineStr">
        <is>
          <t>Famiglia / affido</t>
        </is>
      </c>
      <c r="L162" s="14" t="inlineStr">
        <is>
          <t>Ben presto Frances si ritrova a far parte di un club risolvi-misteri, il cui nome segreto è Caccole di pepe, chiamato a indagare sul rapimento di un rarissimo gallo nero e sulla sparizione del prezioso kimono realizzato da un grande artista giapponese. E un giorno Mirella, la sua Maps1, si presenta all’improvviso alla porta di casa…</t>
        </is>
      </c>
      <c r="M162" s="14" t="inlineStr">
        <is>
          <t>https://www.ibs.it/x/e/9791254642153</t>
        </is>
      </c>
    </row>
    <row r="163">
      <c r="A163" s="14" t="inlineStr">
        <is>
          <t>10+</t>
        </is>
      </c>
      <c r="B163" s="14" t="inlineStr">
        <is>
          <t>Camelozampa</t>
        </is>
      </c>
      <c r="C163" s="14" t="inlineStr">
        <is>
          <t>Oggi non si torna a casa</t>
        </is>
      </c>
      <c r="D163" s="14" t="inlineStr"/>
      <c r="E163" s="14" t="inlineStr">
        <is>
          <t>da 10 anni</t>
        </is>
      </c>
      <c r="F163" s="16" t="n">
        <v>16.9</v>
      </c>
      <c r="G163" s="14" t="inlineStr">
        <is>
          <t>9791254642788</t>
        </is>
      </c>
      <c r="H163" s="14" t="inlineStr"/>
      <c r="I163" s="14" t="inlineStr">
        <is>
          <t>Sì</t>
        </is>
      </c>
      <c r="J163" s="14" t="inlineStr">
        <is>
          <t>Narrativa / Gruppi di lettura</t>
        </is>
      </c>
      <c r="K163" s="14" t="inlineStr">
        <is>
          <t>Identità e appartenenza</t>
        </is>
      </c>
      <c r="L163" s="14" t="inlineStr">
        <is>
          <t>Mirza vede il papà che lo aspetta fuori da scuola e senza spiegazioni, senza nemmeno il tempo di fare i bagagli, si ritrova in un lungo viaggio in auto verso il Paese d’origine del padre. In una realtà che non è la sua, senza conoscere la lingua né avere amici, vuole solo tornare a casa, mentre affiorano i segreti che il padre non gli ha mai svelato. Una storia su fuga, identità e segreti familiari. 288 pagine, da 10 anni.</t>
        </is>
      </c>
      <c r="M163" s="14" t="inlineStr">
        <is>
          <t>https://www.ibs.it/x/e/9791254642788</t>
        </is>
      </c>
    </row>
    <row r="164">
      <c r="A164" s="14" t="inlineStr">
        <is>
          <t>Scuola media (11-13)</t>
        </is>
      </c>
      <c r="B164" s="14" t="inlineStr">
        <is>
          <t>Camelozampa</t>
        </is>
      </c>
      <c r="C164" s="14" t="inlineStr">
        <is>
          <t>Il gruppo</t>
        </is>
      </c>
      <c r="D164" s="14" t="inlineStr"/>
      <c r="E164" s="14" t="inlineStr">
        <is>
          <t>dagli 11 anni</t>
        </is>
      </c>
      <c r="F164" s="16" t="n">
        <v>15.9</v>
      </c>
      <c r="G164" s="14" t="inlineStr">
        <is>
          <t>9791254642689</t>
        </is>
      </c>
      <c r="H164" s="14" t="inlineStr"/>
      <c r="I164" s="14" t="inlineStr">
        <is>
          <t>Sì</t>
        </is>
      </c>
      <c r="J164" s="14" t="inlineStr">
        <is>
          <t>Narrativa / Gruppi di lettura</t>
        </is>
      </c>
      <c r="K164" s="14" t="inlineStr">
        <is>
          <t>Essere sé stessi / pressione del gruppo</t>
        </is>
      </c>
      <c r="L164" s="14" t="inlineStr">
        <is>
          <t>Juri si sente spesso diverso dagli altri: tra compagni, in famiglia, a scuola tutti sembrano sapere come comportarsi, tranne lui. In dieci storie intrecciate osserva il mondo degli adulti e dei coetanei e scopre, tra partite di calcio, silenzi, piccoli gesti e nuove amicizie, che non serve seguire il gruppo per sentirsi parte di qualcosa. Racconto ironico su solitudine, identità e amicizia. 144 pagine, dagli 11 anni.</t>
        </is>
      </c>
      <c r="M164" s="14" t="inlineStr">
        <is>
          <t>https://www.ibs.it/x/e/9791254642689</t>
        </is>
      </c>
    </row>
    <row r="165">
      <c r="A165" s="14" t="inlineStr">
        <is>
          <t>Scuola media (11-13)</t>
        </is>
      </c>
      <c r="B165" s="14" t="inlineStr">
        <is>
          <t>Camelozampa</t>
        </is>
      </c>
      <c r="C165" s="14" t="inlineStr">
        <is>
          <t>Quell’estate con Yente</t>
        </is>
      </c>
      <c r="D165" s="14" t="inlineStr"/>
      <c r="E165" s="14" t="inlineStr">
        <is>
          <t>10-14 anni</t>
        </is>
      </c>
      <c r="F165" s="16" t="n">
        <v>16.9</v>
      </c>
      <c r="G165" s="14" t="inlineStr">
        <is>
          <t>9791254641989</t>
        </is>
      </c>
      <c r="H165" s="14" t="inlineStr"/>
      <c r="I165" s="14" t="inlineStr">
        <is>
          <t>Sì</t>
        </is>
      </c>
      <c r="J165" s="14" t="inlineStr">
        <is>
          <t>Narrativa / Gruppi di lettura</t>
        </is>
      </c>
      <c r="K165" s="14" t="inlineStr">
        <is>
          <t>Relazioni tossiche</t>
        </is>
      </c>
      <c r="L165" s="14" t="inlineStr">
        <is>
          <t>Un romanzo intenso sul confine tra l’amicizia e un rapporto tossico Marie si trasferisce controvoglia in un nuovo quartiere. Deve lasciare Zoe, la sua Best Friend e Quasi Sorella, ma già il primo giorno trova una nuova amica: Yente. Quell’estate, nuotano ogni giorno, dormono all’aperto, spiano i ragazzi, crescono. Con Yente, le giornate sono piene di avventure, ma a volte diventa improvvisamente irascibile, cattiva. Con l’avanzare dell’estate, qualcosa inizia a tormentare Marie. Di un’amica ci si dovrebber sempre poter fidare totalmente, come lei si fidava di Zoe, o l’amicizia può anche essere qualcosa di molto diverso?</t>
        </is>
      </c>
      <c r="M165" s="14" t="inlineStr">
        <is>
          <t>https://www.ibs.it/x/e/9791254641989</t>
        </is>
      </c>
    </row>
    <row r="166">
      <c r="A166" s="14" t="inlineStr">
        <is>
          <t>Adolescenza (14+)</t>
        </is>
      </c>
      <c r="B166" s="14" t="inlineStr">
        <is>
          <t>Camelozampa</t>
        </is>
      </c>
      <c r="C166" s="14" t="inlineStr">
        <is>
          <t>Figlia del destino</t>
        </is>
      </c>
      <c r="D166" s="14" t="inlineStr"/>
      <c r="E166" s="14" t="inlineStr">
        <is>
          <t>14-18 anni</t>
        </is>
      </c>
      <c r="F166" s="16" t="n">
        <v>18.9</v>
      </c>
      <c r="G166" s="14" t="inlineStr">
        <is>
          <t>9791254641934</t>
        </is>
      </c>
      <c r="H166" s="14" t="inlineStr"/>
      <c r="I166" s="14" t="inlineStr">
        <is>
          <t>Sì</t>
        </is>
      </c>
      <c r="J166" s="14" t="inlineStr">
        <is>
          <t>Narrativa / Gruppi di lettura</t>
        </is>
      </c>
      <c r="K166" s="14" t="inlineStr">
        <is>
          <t>Condizione femminile (storico)</t>
        </is>
      </c>
      <c r="L166" s="14" t="inlineStr">
        <is>
          <t>Un nuovo appassionante romanzo Young Adult a sfondo storico, con una protagonista che non si rassegna alle regole imposte a una donna Danimarca, 870 d.C. Yrsa, figlia di Toke il Timoniere e nipote della guerriera Gudrun, è diversa da tutti: perché non è remissiva come si conviene a una ragazza e per il suo strano dono di vedere il futuro. Un giorno, dopo un’incursione, suo padre le affida una prigioniera di alto rango: Job, una giovanissima suora. Le due ragazze non potrebbero essere più differenti, eppure tra loro nasce una profonda amicizia. E quando gli eventi prendono una piega drammatica, Yrsa e Job dovranno sfidare non solo l’ira del clan di Yrsa e degli dèi, ma anche un destino che sembra già segnato.</t>
        </is>
      </c>
      <c r="M166" s="14" t="inlineStr">
        <is>
          <t>https://www.ibs.it/x/e/9791254641934</t>
        </is>
      </c>
    </row>
    <row r="167">
      <c r="A167" s="14" t="inlineStr">
        <is>
          <t>Adolescenza (14+)</t>
        </is>
      </c>
      <c r="B167" s="14" t="inlineStr">
        <is>
          <t>Camelozampa</t>
        </is>
      </c>
      <c r="C167" s="14" t="inlineStr">
        <is>
          <t>Lemming e fiocchi di neve</t>
        </is>
      </c>
      <c r="D167" s="14" t="inlineStr"/>
      <c r="E167" s="14" t="inlineStr">
        <is>
          <t>dai 14 anni</t>
        </is>
      </c>
      <c r="F167" s="16" t="n">
        <v>19.9</v>
      </c>
      <c r="G167" s="14" t="inlineStr">
        <is>
          <t>9791254642030</t>
        </is>
      </c>
      <c r="H167" s="14" t="inlineStr"/>
      <c r="I167" s="14" t="inlineStr">
        <is>
          <t>Sì</t>
        </is>
      </c>
      <c r="J167" s="14" t="inlineStr">
        <is>
          <t>Narrativa / Gruppi di lettura</t>
        </is>
      </c>
      <c r="K167" s="14" t="inlineStr">
        <is>
          <t>Salute mentale</t>
        </is>
      </c>
      <c r="L167" s="14" t="inlineStr">
        <is>
          <t>A Camp Reset, un centro terapeutico che promette “normalità”, Olive, una ragazza sull’orlo del baratro, e i suoi nuovi amici, ognuno con le proprie fragilità, cominciano a chiedersi se non sia il mondo esterno ad avere bisogno di essere aggiustato. Olive elabora un piano: insieme, i fiocchi di neve possono diventare una valanga. Romanzo sulla salute mentale e sull’amicizia, che scardina l’idea di normalità. 448 pagine, dai 14 anni.</t>
        </is>
      </c>
      <c r="M167" s="14" t="inlineStr">
        <is>
          <t>https://www.ibs.it/x/e/9791254642030</t>
        </is>
      </c>
    </row>
    <row r="168">
      <c r="A168" s="14" t="inlineStr">
        <is>
          <t>Adolescenza (14+)</t>
        </is>
      </c>
      <c r="B168" s="14" t="inlineStr">
        <is>
          <t>Camelozampa</t>
        </is>
      </c>
      <c r="C168" s="14" t="inlineStr">
        <is>
          <t>Senza titolo</t>
        </is>
      </c>
      <c r="D168" s="14" t="inlineStr"/>
      <c r="E168" s="14" t="inlineStr">
        <is>
          <t>14-18 anni</t>
        </is>
      </c>
      <c r="F168" s="16" t="n">
        <v>18.9</v>
      </c>
      <c r="G168" s="14" t="inlineStr">
        <is>
          <t>9791254641873</t>
        </is>
      </c>
      <c r="H168" s="14" t="inlineStr"/>
      <c r="I168" s="14" t="inlineStr">
        <is>
          <t>Sì</t>
        </is>
      </c>
      <c r="J168" s="14" t="inlineStr">
        <is>
          <t>Narrativa / Gruppi di lettura</t>
        </is>
      </c>
      <c r="K168" s="14" t="inlineStr">
        <is>
          <t>Adolescenza</t>
        </is>
      </c>
      <c r="L168" s="14" t="inlineStr">
        <is>
          <t>C’è chi ci mette una vita a trovare la propria anima gemella. Joshua e Zivan, invece, si sono trovati subito. Ma il mondo degli adulti segue regole diverse da quelle del cuore e Zivan deve tornare in Iraq, per essere data in sposa a un cugino. Joshua soffre e tutto quello che può fare è disegnare, riempire interi sketchbook di immagini di lei. Mentre attraversa il suo dolore, i suoi disegni attirano l’attenzione di Sergio e Dylan, due compagni pericolosi, di certo non del tipo che Joshua potrebbe immaginare come amici.</t>
        </is>
      </c>
      <c r="M168" s="14" t="inlineStr">
        <is>
          <t>https://www.ibs.it/x/e/9791254641873</t>
        </is>
      </c>
    </row>
    <row r="169">
      <c r="A169" s="14" t="inlineStr">
        <is>
          <t>Adolescenza (14+)</t>
        </is>
      </c>
      <c r="B169" s="14" t="inlineStr">
        <is>
          <t>Camelozampa</t>
        </is>
      </c>
      <c r="C169" s="14" t="inlineStr">
        <is>
          <t>Vulcano</t>
        </is>
      </c>
      <c r="D169" s="14" t="inlineStr"/>
      <c r="E169" s="14" t="inlineStr">
        <is>
          <t>14-18 anni</t>
        </is>
      </c>
      <c r="F169" s="16" t="n">
        <v>18.9</v>
      </c>
      <c r="G169" s="14" t="inlineStr">
        <is>
          <t>9791254642016</t>
        </is>
      </c>
      <c r="H169" s="14" t="inlineStr"/>
      <c r="I169" s="14" t="inlineStr">
        <is>
          <t>Sì</t>
        </is>
      </c>
      <c r="J169" s="14" t="inlineStr">
        <is>
          <t>Narrativa / Gruppi di lettura</t>
        </is>
      </c>
      <c r="K169" s="14" t="inlineStr">
        <is>
          <t>Ricerca di sé</t>
        </is>
      </c>
      <c r="L169" s="14" t="inlineStr">
        <is>
          <t>Un folgorante romanzo d’esordio, la voce limpida di una ragazza che cerca il proprio posto nel mondo Anna è alla ricerca dell’amore, ma ha già imparato quanto l’amore possa assumere forme diverse. Quello tra i suoi genitori è diventato qualcosa di spaventoso, da cui fuggire. Per Chili, la sua nuova amica, l’amore per il fidanzato Oscar è totalizzante. Per Anna, l’incontro con Idris è qualcosa di speciale, ma è difficile orientarsi nel percorso verso l’amore quando si rimane impigliati nei sentimenti e nelle relazioni degli altri. Come si fa a scrivere il secondo capitolo della propria vita, se il primo sembra non finire mai?</t>
        </is>
      </c>
      <c r="M169" s="14" t="inlineStr">
        <is>
          <t>https://www.ibs.it/x/e/9791254642016</t>
        </is>
      </c>
    </row>
    <row r="170">
      <c r="A170" s="14" t="inlineStr">
        <is>
          <t>Adolescenza (14+)</t>
        </is>
      </c>
      <c r="B170" s="14" t="inlineStr">
        <is>
          <t>La Meridiana</t>
        </is>
      </c>
      <c r="C170" s="14" t="inlineStr">
        <is>
          <t>Dracula</t>
        </is>
      </c>
      <c r="D170" s="14" t="inlineStr">
        <is>
          <t>Bram Stoker</t>
        </is>
      </c>
      <c r="E170" s="14" t="inlineStr">
        <is>
          <t>n.d. (collana Parimenti per giovani-adulti)</t>
        </is>
      </c>
      <c r="F170" s="16" t="n">
        <v>12.34</v>
      </c>
      <c r="G170" s="14" t="inlineStr">
        <is>
          <t>9788861536579</t>
        </is>
      </c>
      <c r="H170" s="14" t="inlineStr">
        <is>
          <t>Sì</t>
        </is>
      </c>
      <c r="I170" s="14" t="inlineStr">
        <is>
          <t>Sì</t>
        </is>
      </c>
      <c r="J170" s="14" t="inlineStr">
        <is>
          <t>Libri accessibili in CAA e in simboli (anche Parimenti. Proprio perché cresco)</t>
        </is>
      </c>
      <c r="K170" s="14" t="inlineStr"/>
      <c r="L170" s="14" t="inlineStr">
        <is>
          <t>Il conte Dracula arriva dalla Transilvania a Londra e un gruppo di amici cerca di fermarlo, in versione accessibile con simboli.</t>
        </is>
      </c>
      <c r="M170" s="14" t="inlineStr">
        <is>
          <t>https://www.ibs.it/x/e/9788861536579</t>
        </is>
      </c>
    </row>
    <row r="171">
      <c r="A171" s="14" t="inlineStr">
        <is>
          <t>Adolescenza (14+)</t>
        </is>
      </c>
      <c r="B171" s="14" t="inlineStr">
        <is>
          <t>La Meridiana</t>
        </is>
      </c>
      <c r="C171" s="14" t="inlineStr">
        <is>
          <t>Il diario di Anna Frank</t>
        </is>
      </c>
      <c r="D171" s="14" t="inlineStr">
        <is>
          <t>Anna Frank</t>
        </is>
      </c>
      <c r="E171" s="14" t="inlineStr">
        <is>
          <t>n.d. (collana Parimenti per giovani-adulti)</t>
        </is>
      </c>
      <c r="F171" s="16" t="n">
        <v>12.34</v>
      </c>
      <c r="G171" s="14" t="inlineStr">
        <is>
          <t>9788861536326</t>
        </is>
      </c>
      <c r="H171" s="14" t="inlineStr">
        <is>
          <t>Sì</t>
        </is>
      </c>
      <c r="I171" s="14" t="inlineStr">
        <is>
          <t>Sì</t>
        </is>
      </c>
      <c r="J171" s="14" t="inlineStr">
        <is>
          <t>Libri accessibili in CAA e in simboli (anche Parimenti. Proprio perché cresco)</t>
        </is>
      </c>
      <c r="K171" s="14" t="inlineStr">
        <is>
          <t>Memoria della Shoah</t>
        </is>
      </c>
      <c r="L171" s="14" t="inlineStr">
        <is>
          <t>Il diario scritto da Anna negli anni in cui la sua famiglia si nasconde ad Amsterdam.</t>
        </is>
      </c>
      <c r="M171" s="14" t="inlineStr">
        <is>
          <t>https://www.ibs.it/x/e/9788861536326</t>
        </is>
      </c>
    </row>
    <row r="172">
      <c r="A172" s="14" t="inlineStr">
        <is>
          <t>Adolescenza (14+)</t>
        </is>
      </c>
      <c r="B172" s="14" t="inlineStr">
        <is>
          <t>La Meridiana</t>
        </is>
      </c>
      <c r="C172" s="14" t="inlineStr">
        <is>
          <t>Piccole donne</t>
        </is>
      </c>
      <c r="D172" s="14" t="inlineStr">
        <is>
          <t>Louisa May Alcott</t>
        </is>
      </c>
      <c r="E172" s="14" t="inlineStr">
        <is>
          <t>n.d. (collana Parimenti per giovani-adulti)</t>
        </is>
      </c>
      <c r="F172" s="16" t="n">
        <v>16</v>
      </c>
      <c r="G172" s="14" t="inlineStr">
        <is>
          <t>9791256260539</t>
        </is>
      </c>
      <c r="H172" s="14" t="inlineStr">
        <is>
          <t>Sì</t>
        </is>
      </c>
      <c r="I172" s="14" t="inlineStr">
        <is>
          <t>Sì</t>
        </is>
      </c>
      <c r="J172" s="14" t="inlineStr">
        <is>
          <t>Libri accessibili in CAA e in simboli (anche Parimenti. Proprio perché cresco)</t>
        </is>
      </c>
      <c r="K172" s="14" t="inlineStr"/>
      <c r="L172" s="14" t="inlineStr">
        <is>
          <t>La vita delle sorelle March tra sogni, famiglia e crescita, in versione accessibile con simboli.</t>
        </is>
      </c>
      <c r="M172" s="14" t="inlineStr">
        <is>
          <t>https://www.ibs.it/x/e/9791256260539</t>
        </is>
      </c>
    </row>
    <row r="173">
      <c r="A173" s="14" t="inlineStr">
        <is>
          <t>10+</t>
        </is>
      </c>
      <c r="B173" s="14" t="inlineStr">
        <is>
          <t>La Meridiana</t>
        </is>
      </c>
      <c r="C173" s="14" t="inlineStr">
        <is>
          <t>A Said piaceva il mare</t>
        </is>
      </c>
      <c r="D173" s="14" t="inlineStr"/>
      <c r="E173" s="14" t="inlineStr">
        <is>
          <t>n.d. (collana Parimenti per giovani-adulti)</t>
        </is>
      </c>
      <c r="F173" s="16" t="n">
        <v>12.34</v>
      </c>
      <c r="G173" s="14" t="inlineStr">
        <is>
          <t>9788861537101</t>
        </is>
      </c>
      <c r="H173" s="14" t="inlineStr">
        <is>
          <t>Sì</t>
        </is>
      </c>
      <c r="I173" s="14" t="inlineStr">
        <is>
          <t>Sì</t>
        </is>
      </c>
      <c r="J173" s="14" t="inlineStr">
        <is>
          <t>Libri accessibili in CAA e in simboli (anche Parimenti. Proprio perché cresco)</t>
        </is>
      </c>
      <c r="K173" s="14" t="inlineStr">
        <is>
          <t>Migrazione / accoglienza</t>
        </is>
      </c>
      <c r="L173" s="14" t="inlineStr">
        <is>
          <t>Said, Rico, Andrea e altri: cinque storie di adolescenti in simboli INbook, per ragazzi e giovani adulti con disabilità linguistiche o cognitive.</t>
        </is>
      </c>
      <c r="M173" s="14" t="inlineStr">
        <is>
          <t>https://www.ibs.it/x/e/9788861537101</t>
        </is>
      </c>
    </row>
    <row r="174">
      <c r="A174" s="14" t="inlineStr">
        <is>
          <t>8+</t>
        </is>
      </c>
      <c r="B174" s="14" t="inlineStr">
        <is>
          <t>La Meridiana</t>
        </is>
      </c>
      <c r="C174" s="14" t="inlineStr">
        <is>
          <t>Canto di Natale</t>
        </is>
      </c>
      <c r="D174" s="14" t="inlineStr">
        <is>
          <t>Charles Dickens</t>
        </is>
      </c>
      <c r="E174" s="14" t="inlineStr">
        <is>
          <t>n.d. (collana Parimenti per giovani-adulti)</t>
        </is>
      </c>
      <c r="F174" s="16" t="n">
        <v>12.34</v>
      </c>
      <c r="G174" s="14" t="inlineStr">
        <is>
          <t>9788861537200</t>
        </is>
      </c>
      <c r="H174" s="14" t="inlineStr">
        <is>
          <t>Sì</t>
        </is>
      </c>
      <c r="I174" s="14" t="inlineStr">
        <is>
          <t>Sì</t>
        </is>
      </c>
      <c r="J174" s="14" t="inlineStr">
        <is>
          <t>Libri accessibili in CAA e in simboli (anche Parimenti. Proprio perché cresco)</t>
        </is>
      </c>
      <c r="K174" s="14" t="inlineStr"/>
      <c r="L174" s="14" t="inlineStr">
        <is>
          <t>L’avaro Scrooge, visitato da tre spiriti la notte di Natale, cambia il suo cuore.</t>
        </is>
      </c>
      <c r="M174" s="14" t="inlineStr">
        <is>
          <t>https://www.ibs.it/x/e/9788861537200</t>
        </is>
      </c>
    </row>
    <row r="175">
      <c r="A175" s="14" t="inlineStr">
        <is>
          <t>8+</t>
        </is>
      </c>
      <c r="B175" s="14" t="inlineStr">
        <is>
          <t>La Meridiana</t>
        </is>
      </c>
      <c r="C175" s="14" t="inlineStr">
        <is>
          <t>Frida Kahlo pittrice coraggiosa</t>
        </is>
      </c>
      <c r="D175" s="14" t="inlineStr">
        <is>
          <t>Teresa Righetti</t>
        </is>
      </c>
      <c r="E175" s="14" t="inlineStr">
        <is>
          <t>n.d. (collana Parimenti per giovani-adulti)</t>
        </is>
      </c>
      <c r="F175" s="16" t="n">
        <v>14.73</v>
      </c>
      <c r="G175" s="14" t="inlineStr">
        <is>
          <t>9788861539952</t>
        </is>
      </c>
      <c r="H175" s="14" t="inlineStr">
        <is>
          <t>Sì</t>
        </is>
      </c>
      <c r="I175" s="14" t="inlineStr">
        <is>
          <t>Sì</t>
        </is>
      </c>
      <c r="J175" s="14" t="inlineStr">
        <is>
          <t>Libri accessibili in CAA e in simboli (anche Parimenti. Proprio perché cresco)</t>
        </is>
      </c>
      <c r="K175" s="14" t="inlineStr">
        <is>
          <t>Disabilità e coraggio</t>
        </is>
      </c>
      <c r="L175" s="14" t="inlineStr">
        <is>
          <t>Oltre a raccontarne la biografia, Frida Kahlo pittrice coraggiosa spiega e raccoglie le sue opere più note e le tecniche artistiche utilizzate dalla pittrice, offrendo anche attività laboratoriali che possono essere portate in classe o in altri contesti educativi per avvicinare all’arte persone con disabilità cognitive. Il libro è parte del progetto ArtistiCAATM, ideato da Teresa Righetti, con l’intento di rendere la cultura e i luoghi ad essa deputati accessibili a tutti e inclusivi. I libri di ArtistiCAATM in simboli trovano spazio nella collana “Parimenti. Proprio perché cresco” e sono dedicati a grandi artisti e alle loro opere.</t>
        </is>
      </c>
      <c r="M175" s="14" t="inlineStr">
        <is>
          <t>https://www.ibs.it/x/e/9788861539952</t>
        </is>
      </c>
    </row>
    <row r="176">
      <c r="A176" s="14" t="inlineStr">
        <is>
          <t>Prime letture (6-8)</t>
        </is>
      </c>
      <c r="B176" s="14" t="inlineStr">
        <is>
          <t>La Meridiana</t>
        </is>
      </c>
      <c r="C176" s="14" t="inlineStr">
        <is>
          <t>Giacomo di cristallo e altre storie</t>
        </is>
      </c>
      <c r="D176" s="14" t="inlineStr">
        <is>
          <t>Gianni Rodari</t>
        </is>
      </c>
      <c r="E176" s="14" t="inlineStr">
        <is>
          <t>n.d. (collana Parimenti per giovani-adulti)</t>
        </is>
      </c>
      <c r="F176" s="16" t="n">
        <v>12.34</v>
      </c>
      <c r="G176" s="14" t="inlineStr">
        <is>
          <t>9788861537958</t>
        </is>
      </c>
      <c r="H176" s="14" t="inlineStr">
        <is>
          <t>Sì</t>
        </is>
      </c>
      <c r="I176" s="14" t="inlineStr">
        <is>
          <t>Sì</t>
        </is>
      </c>
      <c r="J176" s="14" t="inlineStr">
        <is>
          <t>Libri accessibili in CAA e in simboli (anche Parimenti. Proprio perché cresco)</t>
        </is>
      </c>
      <c r="K176" s="14" t="inlineStr"/>
      <c r="L176" s="14" t="inlineStr">
        <is>
          <t>Giacomo di cristallo, Terésin che non cresceva, La casa di Tre Bottoni, Re Mida e il brigante Filone, La principessa Allegra in questo libro celebrano in simboli il loro autore preferito: Gianni Rodari. Queste pagine raccolgono 5 celebri storie di Gianni Rodari, per la prima volta disponibili in simboli all’interno della collana Parimenti. Proprio perché cresco, dedicata a lettori con disabilità linguistiche e cognitive. Grazie a questa traduzione, potranno assaporare il genio di Rodari senza più barriere.</t>
        </is>
      </c>
      <c r="M176" s="14" t="inlineStr">
        <is>
          <t>https://www.ibs.it/x/e/9788861537958</t>
        </is>
      </c>
    </row>
    <row r="177">
      <c r="A177" s="14" t="inlineStr">
        <is>
          <t>Scuola media (11-13)</t>
        </is>
      </c>
      <c r="B177" s="14" t="inlineStr">
        <is>
          <t>La Meridiana</t>
        </is>
      </c>
      <c r="C177" s="14" t="inlineStr">
        <is>
          <t>Il mio Afghanistan (CAA)</t>
        </is>
      </c>
      <c r="D177" s="14" t="inlineStr"/>
      <c r="E177" s="14" t="inlineStr">
        <is>
          <t>da 12 anni</t>
        </is>
      </c>
      <c r="F177" s="16" t="n">
        <v>12.34</v>
      </c>
      <c r="G177" s="14" t="inlineStr">
        <is>
          <t>9788861538955</t>
        </is>
      </c>
      <c r="H177" s="14" t="inlineStr">
        <is>
          <t>Sì</t>
        </is>
      </c>
      <c r="I177" s="14" t="inlineStr">
        <is>
          <t>Sì</t>
        </is>
      </c>
      <c r="J177" s="14" t="inlineStr">
        <is>
          <t>Libri accessibili in CAA e in simboli (anche Parimenti. Proprio perché cresco)</t>
        </is>
      </c>
      <c r="K177" s="14" t="inlineStr">
        <is>
          <t>Migrazione / culture</t>
        </is>
      </c>
      <c r="L177" s="14" t="inlineStr">
        <is>
          <t>«Prima di scendere a terra ho indossato i vestiti puliti che avevo preparato in un sacchetto di nailon. Mi sono rassettato e ho messo piede in Italia.» Ne Il mio Afghanistan Gholam Najafi racconta la sua storia di rifugiato, giunto in Italia come minore straniero non accompagnato. Con questo libro, tradotto in simboli di Comunicazione Aumentativa e Alternativa dal gruppo di lavoro Librarsi, la sua storia diventa accessibile anche ai giovani lettori con disabilità linguistiche e cognitive, o a tanti altri che si approcciano con difficoltà ai testi tradizionali. Il libro è parte della collana accessibile Parimenti.</t>
        </is>
      </c>
      <c r="M177" s="14" t="inlineStr">
        <is>
          <t>https://www.ibs.it/x/e/9788861538955 · età indicata da Bottegart</t>
        </is>
      </c>
    </row>
    <row r="178">
      <c r="A178" s="14" t="inlineStr">
        <is>
          <t>10+</t>
        </is>
      </c>
      <c r="B178" s="14" t="inlineStr">
        <is>
          <t>La Meridiana</t>
        </is>
      </c>
      <c r="C178" s="14" t="inlineStr">
        <is>
          <t>L’albero del riccio</t>
        </is>
      </c>
      <c r="D178" s="14" t="inlineStr"/>
      <c r="E178" s="14" t="inlineStr">
        <is>
          <t>n.d. (collana Parimenti per giovani-adulti)</t>
        </is>
      </c>
      <c r="F178" s="16" t="n">
        <v>15.2</v>
      </c>
      <c r="G178" s="14" t="inlineStr">
        <is>
          <t>9788861539808</t>
        </is>
      </c>
      <c r="H178" s="14" t="inlineStr">
        <is>
          <t>Sì</t>
        </is>
      </c>
      <c r="I178" s="14" t="inlineStr">
        <is>
          <t>Sì</t>
        </is>
      </c>
      <c r="J178" s="14" t="inlineStr">
        <is>
          <t>Libri accessibili in CAA e in simboli (anche Parimenti. Proprio perché cresco)</t>
        </is>
      </c>
      <c r="K178" s="14" t="inlineStr"/>
      <c r="L178" s="14" t="inlineStr">
        <is>
          <t>Storie delicate e avventurose che parlano di animali e di vita quotidiana, scritte dall’autore per i propri figli mentre si trovava in carcere, dove era stato rinchiuso dal regime fascista. Le storie sono state tradotte in simboli della Comunicazione Aumentativa e Alternativa dal gruppo di lavoro Librarsi della Cooperativa Accaparlante di Bologna. Il testo è parte della collana Parimenti. Proprio perché cresco, che raccoglie inbook e libri in simboli dedicati a lettori e lettrici con disabilità linguistiche o cognitive.</t>
        </is>
      </c>
      <c r="M178" s="14" t="inlineStr">
        <is>
          <t>https://www.ibs.it/x/e/9788861539808</t>
        </is>
      </c>
    </row>
    <row r="179">
      <c r="A179" s="14" t="inlineStr">
        <is>
          <t>Prime letture (6-8)</t>
        </is>
      </c>
      <c r="B179" s="14" t="inlineStr">
        <is>
          <t>La Meridiana</t>
        </is>
      </c>
      <c r="C179" s="14" t="inlineStr">
        <is>
          <t>La Puglia è una favola</t>
        </is>
      </c>
      <c r="D179" s="14" t="inlineStr"/>
      <c r="E179" s="14" t="inlineStr">
        <is>
          <t>n.d. (collana Parimenti per giovani-adulti)</t>
        </is>
      </c>
      <c r="F179" s="16" t="n">
        <v>17.1</v>
      </c>
      <c r="G179" s="14" t="inlineStr">
        <is>
          <t>9791256260089</t>
        </is>
      </c>
      <c r="H179" s="14" t="inlineStr">
        <is>
          <t>Sì</t>
        </is>
      </c>
      <c r="I179" s="14" t="inlineStr">
        <is>
          <t>Sì</t>
        </is>
      </c>
      <c r="J179" s="14" t="inlineStr">
        <is>
          <t>Libri accessibili in CAA e in simboli (anche Parimenti. Proprio perché cresco)</t>
        </is>
      </c>
      <c r="K179" s="14" t="inlineStr"/>
      <c r="L179" s="14" t="inlineStr">
        <is>
          <t>«Tutto ebbe inizio da una gomma bucata e dal Gallo venuto fuori dal piatto... Ciò che successe è una cosa difficile da spiegare perché le favole si vivono... e la Puglia è una favola.» Una guida alle bellezze della Regione Puglia, illustrata e raccontata come una favola accessibile perché incanti bambini e bambine. Un libro doppio, a cui al testo ad alta leggibilità si affianca la traduzione in simboli della CAA (Comunicazione Aumentativa Alternativa), con un rimando anche alla versione audio. Diverse modalità di lettura per raccontare a tutti e tutte una regione in cui c’è tanto da scoprire.</t>
        </is>
      </c>
      <c r="M179" s="14" t="inlineStr">
        <is>
          <t>https://www.ibs.it/x/e/9791256260089</t>
        </is>
      </c>
    </row>
    <row r="180">
      <c r="A180" s="14" t="inlineStr">
        <is>
          <t>Scuola media (11-13)</t>
        </is>
      </c>
      <c r="B180" s="14" t="inlineStr">
        <is>
          <t>La Meridiana</t>
        </is>
      </c>
      <c r="C180" s="14" t="inlineStr">
        <is>
          <t>Milagro in CAA</t>
        </is>
      </c>
      <c r="D180" s="14" t="inlineStr"/>
      <c r="E180" s="14" t="inlineStr">
        <is>
          <t>dai 12-14 anni in su</t>
        </is>
      </c>
      <c r="F180" s="16" t="n">
        <v>15.2</v>
      </c>
      <c r="G180" s="14" t="inlineStr">
        <is>
          <t>9788861539983</t>
        </is>
      </c>
      <c r="H180" s="14" t="inlineStr">
        <is>
          <t>Sì</t>
        </is>
      </c>
      <c r="I180" s="14" t="inlineStr">
        <is>
          <t>Sì</t>
        </is>
      </c>
      <c r="J180" s="14" t="inlineStr">
        <is>
          <t>Libri accessibili in CAA e in simboli (anche Parimenti. Proprio perché cresco)</t>
        </is>
      </c>
      <c r="K180" s="14" t="inlineStr"/>
      <c r="L180" s="14" t="inlineStr">
        <is>
          <t>Il celebre scritto di don Tonino Bello, nato dopo il suo viaggio in Argentina nel 1992, in cui racconta del fortuito incontro con Milagro, un miracolo di tenerezza in grado di portare luce anche in un luogo fortemente segnato da povertà e fatica. Tradotto in simboli della Comunicazione Aumentativa e Alternativa dal gruppo di lavoro Librarsi della Cooperativa Accaparlante di Bologna. Con illustrazioni di Vittoria Facchini. In simboli CAA</t>
        </is>
      </c>
      <c r="M180" s="14" t="inlineStr">
        <is>
          <t>https://www.ibs.it/x/e/9788861539983 · età indicata da Bottegart</t>
        </is>
      </c>
    </row>
    <row r="181">
      <c r="A181" s="14" t="inlineStr">
        <is>
          <t>8+</t>
        </is>
      </c>
      <c r="B181" s="14" t="inlineStr">
        <is>
          <t>La Meridiana</t>
        </is>
      </c>
      <c r="C181" s="14" t="inlineStr">
        <is>
          <t>Paul Klee pittore musicista</t>
        </is>
      </c>
      <c r="D181" s="14" t="inlineStr">
        <is>
          <t>Teresa Righetti</t>
        </is>
      </c>
      <c r="E181" s="14" t="inlineStr">
        <is>
          <t>n.d. (collana Parimenti per giovani-adulti)</t>
        </is>
      </c>
      <c r="F181" s="16" t="n">
        <v>14.73</v>
      </c>
      <c r="G181" s="14" t="inlineStr">
        <is>
          <t>9791256260560</t>
        </is>
      </c>
      <c r="H181" s="14" t="inlineStr">
        <is>
          <t>Sì</t>
        </is>
      </c>
      <c r="I181" s="14" t="inlineStr">
        <is>
          <t>Sì</t>
        </is>
      </c>
      <c r="J181" s="14" t="inlineStr">
        <is>
          <t>Libri accessibili in CAA e in simboli (anche Parimenti. Proprio perché cresco)</t>
        </is>
      </c>
      <c r="K181" s="14" t="inlineStr"/>
      <c r="L181" s="14" t="inlineStr">
        <is>
          <t>Entriamo nel mondo di Paul Klee per scoprire la sua vita e le sue opere attraverso la Comunicazione Aumentativa e Alternativa (CAA). Oltre a raccontarne la biografia, “Paul Klee pittore musicista” spiega e raccoglie le sue opere più note e le tecniche artistiche utilizzate dal pittore, offrendo anche attività laboratoriali che possono essere portate in classe o in altri contesti educativi per avvicinare all’arte persone con disabilità cognitive e non solo. Il libro è parte del progetto ArtistiCAA®, ideato da Teresa Righetti con l’intento di rendere la cultura e i luoghi ad essa deputati accessibili a tutti e inclusivi.</t>
        </is>
      </c>
      <c r="M181" s="14" t="inlineStr">
        <is>
          <t>https://www.ibs.it/x/e/9791256260560</t>
        </is>
      </c>
    </row>
    <row r="182">
      <c r="A182" s="14" t="inlineStr">
        <is>
          <t>Scuola media (11-13)</t>
        </is>
      </c>
      <c r="B182" s="14" t="inlineStr">
        <is>
          <t>Gallucci</t>
        </is>
      </c>
      <c r="C182" s="14" t="inlineStr">
        <is>
          <t>La casa nella prateria (vol. 1)</t>
        </is>
      </c>
      <c r="D182" s="14" t="inlineStr">
        <is>
          <t>Laura Ingalls Wilder</t>
        </is>
      </c>
      <c r="E182" s="14" t="inlineStr">
        <is>
          <t>da 11 anni</t>
        </is>
      </c>
      <c r="F182" s="16" t="n">
        <v>13.5</v>
      </c>
      <c r="G182" s="14" t="inlineStr">
        <is>
          <t>9788836240494</t>
        </is>
      </c>
      <c r="H182" s="14" t="inlineStr"/>
      <c r="I182" s="14" t="inlineStr">
        <is>
          <t>Sì</t>
        </is>
      </c>
      <c r="J182" s="14" t="inlineStr">
        <is>
          <t>La casa nella prateria</t>
        </is>
      </c>
      <c r="K182" s="14" t="inlineStr"/>
      <c r="L182" s="14" t="inlineStr">
        <is>
          <t>In viaggio verso il Kansas con la famiglia Ingalls. La vita nella prateria è difficile e talvolta persino pericolosa, ma papà, mamma, Mary, Laura e la piccola Carrie sono felici di realizzare il sogno di una nuova vita. Il fruscio del vento nell’erba sembrava una musica. E il canto stridulo delle cavallette faceva vibrare l’immensa prateria. Un flebile ronzio proveniva dagli alberi in riva al ruscello. Tutti quei suoni formavano un fantastico, caldo, gioioso silenzio. Laura non aveva mai visto un posto che le piacesse così tanto…</t>
        </is>
      </c>
      <c r="M182" s="14" t="inlineStr"/>
    </row>
    <row r="183">
      <c r="A183" s="14" t="inlineStr">
        <is>
          <t>10+</t>
        </is>
      </c>
      <c r="B183" s="14" t="inlineStr">
        <is>
          <t>Gallucci</t>
        </is>
      </c>
      <c r="C183" s="14" t="inlineStr">
        <is>
          <t>Il mondo di Lucrezia 2</t>
        </is>
      </c>
      <c r="D183" s="14" t="inlineStr"/>
      <c r="E183" s="14" t="inlineStr">
        <is>
          <t>10+</t>
        </is>
      </c>
      <c r="F183" s="16" t="n">
        <v>12.9</v>
      </c>
      <c r="G183" s="14" t="inlineStr">
        <is>
          <t>9788836240067</t>
        </is>
      </c>
      <c r="H183" s="14" t="inlineStr"/>
      <c r="I183" s="14" t="inlineStr">
        <is>
          <t>Sì</t>
        </is>
      </c>
      <c r="J183" s="14" t="inlineStr">
        <is>
          <t>UAO</t>
        </is>
      </c>
      <c r="K183" s="14" t="inlineStr"/>
      <c r="L183" s="14" t="inlineStr">
        <is>
          <t>Tra una ricerca di scienze e un cinema con le amiche, Lucrezia trova anche il tempo di partecipare a un concerto e di seguire lezioni di ballo. Casomai corresse il rischio di annoiarsi, c’è sempre la sua famiglia a movimentarle la vita con l’invito a un curioso matrimonio e il fidanzamento della nonna Scarlett!</t>
        </is>
      </c>
      <c r="M183" s="14" t="inlineStr">
        <is>
          <t>https://www.ibs.it/x/e/9788836240067 · https://www.ibs.it/x/e/9791222114200</t>
        </is>
      </c>
    </row>
    <row r="184">
      <c r="A184" s="14" t="inlineStr">
        <is>
          <t>3-6 anni</t>
        </is>
      </c>
      <c r="B184" s="14" t="inlineStr">
        <is>
          <t>Gallucci</t>
        </is>
      </c>
      <c r="C184" s="14" t="inlineStr">
        <is>
          <t>Tu sei importante</t>
        </is>
      </c>
      <c r="D184" s="14" t="inlineStr"/>
      <c r="E184" s="14" t="inlineStr">
        <is>
          <t>da 4 anni</t>
        </is>
      </c>
      <c r="F184" s="16" t="n">
        <v>13</v>
      </c>
      <c r="G184" s="14" t="inlineStr">
        <is>
          <t>9788836242580</t>
        </is>
      </c>
      <c r="H184" s="14" t="inlineStr"/>
      <c r="I184" s="14" t="inlineStr">
        <is>
          <t>Sì</t>
        </is>
      </c>
      <c r="J184" s="14" t="inlineStr">
        <is>
          <t>Illustrati</t>
        </is>
      </c>
      <c r="K184" s="14" t="inlineStr">
        <is>
          <t>Inclusione e rappresentazione</t>
        </is>
      </c>
      <c r="L184" s="14" t="inlineStr">
        <is>
          <t>Può capitare che ti senta grande o minuscolo, che pensi di essere solo, ignorato e quasi invisibile. Non preoccuparti: succede a tutti, prima o poi. Eppure a volte basta guardare il mondo diversamente per scoprire che chiunque può fare la differenza. Sì, anche tu!</t>
        </is>
      </c>
      <c r="M184" s="14" t="inlineStr">
        <is>
          <t>https://www.ibs.it/x/e/9788836242580</t>
        </is>
      </c>
    </row>
    <row r="185">
      <c r="A185" s="14" t="inlineStr">
        <is>
          <t>Prime letture (6-8)</t>
        </is>
      </c>
      <c r="B185" s="14" t="inlineStr">
        <is>
          <t>Pelledoca</t>
        </is>
      </c>
      <c r="C185" s="14" t="inlineStr">
        <is>
          <t>Les 3 Moustaches. il Mistero del Tappeto Peloso</t>
        </is>
      </c>
      <c r="D185" s="14" t="inlineStr">
        <is>
          <t>Maddalena Schiavo; ill. Francesca Carabelli</t>
        </is>
      </c>
      <c r="E185" s="14" t="inlineStr">
        <is>
          <t>Dai 6 anni</t>
        </is>
      </c>
      <c r="F185" s="16" t="n">
        <v>12</v>
      </c>
      <c r="G185" s="14" t="inlineStr">
        <is>
          <t>9788832791358</t>
        </is>
      </c>
      <c r="H185" s="14" t="inlineStr"/>
      <c r="I185" s="14" t="inlineStr">
        <is>
          <t>Sì</t>
        </is>
      </c>
      <c r="J185" s="14" t="inlineStr">
        <is>
          <t>Piccole Piume (font ad alta leggibilità)</t>
        </is>
      </c>
      <c r="K185" s="14" t="inlineStr"/>
      <c r="L185" s="14" t="inlineStr">
        <is>
          <t>Léon, Cloé e Pascal questa volta devono aiutare... un felino! Incredibile, ma vero! Dove sarà finito il tappeto del gatto Dumas?</t>
        </is>
      </c>
      <c r="M185" s="14" t="inlineStr">
        <is>
          <t>https://www.ibs.it/x/e/9788832791358</t>
        </is>
      </c>
    </row>
    <row r="186">
      <c r="A186" s="14" t="inlineStr">
        <is>
          <t>Prime letture (6-8)</t>
        </is>
      </c>
      <c r="B186" s="14" t="inlineStr">
        <is>
          <t>Pelledoca</t>
        </is>
      </c>
      <c r="C186" s="14" t="inlineStr">
        <is>
          <t>Les 3 Moustaches. il Mistero della Ricetta del Montblanc</t>
        </is>
      </c>
      <c r="D186" s="14" t="inlineStr">
        <is>
          <t>Maddalena Schiavo; ill. Francesca Carabelli</t>
        </is>
      </c>
      <c r="E186" s="14" t="inlineStr">
        <is>
          <t>Dai 6 anni</t>
        </is>
      </c>
      <c r="F186" s="16" t="n">
        <v>12</v>
      </c>
      <c r="G186" s="14" t="inlineStr">
        <is>
          <t>9788832791365</t>
        </is>
      </c>
      <c r="H186" s="14" t="inlineStr"/>
      <c r="I186" s="14" t="inlineStr">
        <is>
          <t>Sì</t>
        </is>
      </c>
      <c r="J186" s="14" t="inlineStr">
        <is>
          <t>Piccole Piume (font ad alta leggibilità)</t>
        </is>
      </c>
      <c r="K186" s="14" t="inlineStr"/>
      <c r="L186" s="14" t="inlineStr">
        <is>
          <t>Un nuovo, golosissimo, caso per Léon, Cloé e Pascal: insieme alla scoiattolina Bianca indagano per ritrovare la ricetta originale del Montblanc!</t>
        </is>
      </c>
      <c r="M186" s="14" t="inlineStr"/>
    </row>
    <row r="187">
      <c r="A187" s="14" t="inlineStr">
        <is>
          <t>Prime letture (6-8)</t>
        </is>
      </c>
      <c r="B187" s="14" t="inlineStr">
        <is>
          <t>Pelledoca</t>
        </is>
      </c>
      <c r="C187" s="14" t="inlineStr">
        <is>
          <t>Lupi, Licantropi e Luna Piena</t>
        </is>
      </c>
      <c r="D187" s="14" t="inlineStr">
        <is>
          <t>Marco Greganti; ill. Cecilia Fallongo</t>
        </is>
      </c>
      <c r="E187" s="14" t="inlineStr">
        <is>
          <t>Dai 7 anni</t>
        </is>
      </c>
      <c r="F187" s="16" t="n">
        <v>12</v>
      </c>
      <c r="G187" s="14" t="inlineStr">
        <is>
          <t>9788832791273</t>
        </is>
      </c>
      <c r="H187" s="14" t="inlineStr"/>
      <c r="I187" s="14" t="inlineStr">
        <is>
          <t>Sì</t>
        </is>
      </c>
      <c r="J187" s="14" t="inlineStr">
        <is>
          <t>Piccole Piume (font ad alta leggibilità)</t>
        </is>
      </c>
      <c r="K187" s="14" t="inlineStr"/>
      <c r="L187" s="14" t="inlineStr">
        <is>
          <t>Fuori dal giardino, di notte, si aggira un animale dall’aspetto mostruoso. Il cagnolino Mimì deve proteggere Anita, ma avrà abbastanza coraggio?</t>
        </is>
      </c>
      <c r="M187" s="14" t="inlineStr">
        <is>
          <t>https://www.ibs.it/x/e/9788832791273</t>
        </is>
      </c>
    </row>
    <row r="188">
      <c r="A188" s="14" t="inlineStr">
        <is>
          <t>Prime letture (6-8)</t>
        </is>
      </c>
      <c r="B188" s="14" t="inlineStr">
        <is>
          <t>Pelledoca</t>
        </is>
      </c>
      <c r="C188" s="14" t="inlineStr">
        <is>
          <t>Susan Duckling e il Caso del Regalo di Compleanno</t>
        </is>
      </c>
      <c r="D188" s="14" t="inlineStr">
        <is>
          <t>Maddalena Schiavo; ill. Laura Zani</t>
        </is>
      </c>
      <c r="E188" s="14" t="inlineStr">
        <is>
          <t>Dai 6 anni</t>
        </is>
      </c>
      <c r="F188" s="16" t="n">
        <v>11</v>
      </c>
      <c r="G188" s="14" t="inlineStr">
        <is>
          <t>9788832790405</t>
        </is>
      </c>
      <c r="H188" s="14" t="inlineStr"/>
      <c r="I188" s="14" t="inlineStr">
        <is>
          <t>Sì</t>
        </is>
      </c>
      <c r="J188" s="14" t="inlineStr">
        <is>
          <t>Piccole Piume (font ad alta leggibilità)</t>
        </is>
      </c>
      <c r="K188" s="14" t="inlineStr"/>
      <c r="L188" s="14" t="inlineStr">
        <is>
          <t>Per il compleanno Susan, la figlia del più famoso Commissario d’Inghilterra, chiede un regalo insolito, ovvero poter risolvere un caso del padre! Ci riuscirà?</t>
        </is>
      </c>
      <c r="M188" s="14" t="inlineStr"/>
    </row>
    <row r="189">
      <c r="A189" s="14" t="inlineStr">
        <is>
          <t>10+</t>
        </is>
      </c>
      <c r="B189" s="14" t="inlineStr">
        <is>
          <t>Pelledoca</t>
        </is>
      </c>
      <c r="C189" s="14" t="inlineStr">
        <is>
          <t>Il Mistero del Cadavere Senza Testa</t>
        </is>
      </c>
      <c r="D189" s="14" t="inlineStr">
        <is>
          <t>Luca Occhi</t>
        </is>
      </c>
      <c r="E189" s="14" t="inlineStr">
        <is>
          <t>Dai 10 anni</t>
        </is>
      </c>
      <c r="F189" s="16" t="n">
        <v>16</v>
      </c>
      <c r="G189" s="14" t="inlineStr">
        <is>
          <t>9788832790733</t>
        </is>
      </c>
      <c r="H189" s="14" t="inlineStr"/>
      <c r="I189" s="14" t="inlineStr">
        <is>
          <t>Sì</t>
        </is>
      </c>
      <c r="J189" s="14" t="inlineStr">
        <is>
          <t>NeroInchiostro</t>
        </is>
      </c>
      <c r="K189" s="14" t="inlineStr"/>
      <c r="L189" s="14" t="inlineStr">
        <is>
          <t>Mentre si trova in Italia, l’ispettore Lestrade rimane coinvolto in un caso complesso. Ad aiutarlo il giovane Emilio mentre, su tutto, aleggia il fantasma del grande Sherlock Holmes.</t>
        </is>
      </c>
      <c r="M189" s="14" t="inlineStr"/>
    </row>
    <row r="190">
      <c r="A190" s="14" t="inlineStr">
        <is>
          <t>10+</t>
        </is>
      </c>
      <c r="B190" s="14" t="inlineStr">
        <is>
          <t>Pelledoca</t>
        </is>
      </c>
      <c r="C190" s="14" t="inlineStr">
        <is>
          <t>Uno Scrigno a Doppio Segreto</t>
        </is>
      </c>
      <c r="D190" s="14" t="inlineStr">
        <is>
          <t>Guido Quarzo e Anna Vivarelli</t>
        </is>
      </c>
      <c r="E190" s="14" t="inlineStr">
        <is>
          <t>Dai 10 anni</t>
        </is>
      </c>
      <c r="F190" s="16" t="n">
        <v>16</v>
      </c>
      <c r="G190" s="14" t="inlineStr">
        <is>
          <t>9788832791099</t>
        </is>
      </c>
      <c r="H190" s="14" t="inlineStr"/>
      <c r="I190" s="14" t="inlineStr">
        <is>
          <t>Sì</t>
        </is>
      </c>
      <c r="J190" s="14" t="inlineStr">
        <is>
          <t>NeroInchiostro</t>
        </is>
      </c>
      <c r="K190" s="14" t="inlineStr"/>
      <c r="L190" s="14" t="inlineStr">
        <is>
          <t>Un antico potere è sepolto tra il deserto e le piramidi egiziane: riuscirà Vittorio a evitare che finisca nelle mani sbagliate?</t>
        </is>
      </c>
      <c r="M190" s="14" t="inlineStr"/>
    </row>
    <row r="191">
      <c r="A191" s="14" t="inlineStr">
        <is>
          <t>10+</t>
        </is>
      </c>
      <c r="B191" s="14" t="inlineStr">
        <is>
          <t>Pelledoca</t>
        </is>
      </c>
      <c r="C191" s="14" t="inlineStr">
        <is>
          <t>Uscita di Sicurezza</t>
        </is>
      </c>
      <c r="D191" s="14" t="inlineStr">
        <is>
          <t>Carla Anzile</t>
        </is>
      </c>
      <c r="E191" s="14" t="inlineStr">
        <is>
          <t>Dai 10 anni</t>
        </is>
      </c>
      <c r="F191" s="16" t="n">
        <v>16</v>
      </c>
      <c r="G191" s="14" t="inlineStr">
        <is>
          <t>9788832790238</t>
        </is>
      </c>
      <c r="H191" s="14" t="inlineStr"/>
      <c r="I191" s="14" t="inlineStr">
        <is>
          <t>Sì</t>
        </is>
      </c>
      <c r="J191" s="14" t="inlineStr">
        <is>
          <t>NeroInchiostro</t>
        </is>
      </c>
      <c r="K191" s="14" t="inlineStr">
        <is>
          <t>Autismo</t>
        </is>
      </c>
      <c r="L191" s="14" t="inlineStr">
        <is>
          <t>Sasha, un ragazzo autistico, sparisce durante una gita di famiglia e solo i suoi amici Luca e Charlie sono convinti che sia stato rapito da qualcuno. Cominciano così a indagare, certi di essere gli unici a saperlo in pericolo.</t>
        </is>
      </c>
      <c r="M191" s="14" t="inlineStr"/>
    </row>
    <row r="192">
      <c r="A192" s="14" t="inlineStr">
        <is>
          <t>10+</t>
        </is>
      </c>
      <c r="B192" s="14" t="inlineStr">
        <is>
          <t>Pelledoca</t>
        </is>
      </c>
      <c r="C192" s="14" t="inlineStr">
        <is>
          <t>Villa Mannara</t>
        </is>
      </c>
      <c r="D192" s="14" t="inlineStr">
        <is>
          <t>Laura Orsolini</t>
        </is>
      </c>
      <c r="E192" s="14" t="inlineStr">
        <is>
          <t>Dai 10 anni</t>
        </is>
      </c>
      <c r="F192" s="16" t="n">
        <v>16</v>
      </c>
      <c r="G192" s="14" t="inlineStr">
        <is>
          <t>9788832790252</t>
        </is>
      </c>
      <c r="H192" s="14" t="inlineStr"/>
      <c r="I192" s="14" t="inlineStr">
        <is>
          <t>Sì</t>
        </is>
      </c>
      <c r="J192" s="14" t="inlineStr">
        <is>
          <t>NeroInchiostro</t>
        </is>
      </c>
      <c r="K192" s="14" t="inlineStr"/>
      <c r="L192" s="14" t="inlineStr">
        <is>
          <t>In sella alle loro biciclette, ribattezzate Viper e Drago, Federico e Driss decidono di risolvere il caso di cronaca del momento per riuscire a diventare famosi. Ma nulla è come sembra…</t>
        </is>
      </c>
      <c r="M192" s="14" t="inlineStr"/>
    </row>
    <row r="193">
      <c r="A193" s="14" t="inlineStr">
        <is>
          <t>Scuola media (11-13)</t>
        </is>
      </c>
      <c r="B193" s="14" t="inlineStr">
        <is>
          <t>Pelledoca</t>
        </is>
      </c>
      <c r="C193" s="14" t="inlineStr">
        <is>
          <t>Alive</t>
        </is>
      </c>
      <c r="D193" s="14" t="inlineStr">
        <is>
          <t>Alessandro Pasquinucci</t>
        </is>
      </c>
      <c r="E193" s="14" t="inlineStr">
        <is>
          <t>Dai 12 anni</t>
        </is>
      </c>
      <c r="F193" s="16" t="n">
        <v>16</v>
      </c>
      <c r="G193" s="14" t="inlineStr">
        <is>
          <t>9788832790467</t>
        </is>
      </c>
      <c r="H193" s="14" t="inlineStr"/>
      <c r="I193" s="14" t="inlineStr">
        <is>
          <t>Sì</t>
        </is>
      </c>
      <c r="J193" s="14" t="inlineStr">
        <is>
          <t>NeroInchiostro</t>
        </is>
      </c>
      <c r="K193" s="14" t="inlineStr"/>
      <c r="L193" s="14" t="inlineStr">
        <is>
          <t>Dopo sei mesi dal loro ultimo appuntamento, Giulio riceve un messaggio da Alice che gli scrive di essere in pericolo. Lui torna sull’Isola d’Elba per scoprire la verità: cosa è successo davvero la notte del loro ultimo incontro?</t>
        </is>
      </c>
      <c r="M193" s="14" t="inlineStr"/>
    </row>
    <row r="194">
      <c r="A194" s="14" t="inlineStr">
        <is>
          <t>Scuola media (11-13)</t>
        </is>
      </c>
      <c r="B194" s="14" t="inlineStr">
        <is>
          <t>Pelledoca</t>
        </is>
      </c>
      <c r="C194" s="14" t="inlineStr">
        <is>
          <t>Bambina d’Ombra</t>
        </is>
      </c>
      <c r="D194" s="14" t="inlineStr">
        <is>
          <t>Brian Freschi; ill. Giulia Pianiggiani</t>
        </is>
      </c>
      <c r="E194" s="14" t="inlineStr">
        <is>
          <t>Dai 13 anni</t>
        </is>
      </c>
      <c r="F194" s="16" t="n">
        <v>18</v>
      </c>
      <c r="G194" s="14" t="inlineStr">
        <is>
          <t>9788832791181</t>
        </is>
      </c>
      <c r="H194" s="14" t="inlineStr"/>
      <c r="I194" s="14" t="inlineStr">
        <is>
          <t>Sì</t>
        </is>
      </c>
      <c r="J194" s="14" t="inlineStr">
        <is>
          <t>OcchiAperti</t>
        </is>
      </c>
      <c r="K194" s="14" t="inlineStr"/>
      <c r="L194" s="14" t="inlineStr">
        <is>
          <t>Eliza è una bambina curiosa che, un giorno, viene risucchiata nell’ombra. E lì rimane nascosta finché, anni dopo, nella sua vecchia casa non arrivano Matilde e Renzo...</t>
        </is>
      </c>
      <c r="M194" s="14" t="inlineStr"/>
    </row>
    <row r="195">
      <c r="A195" s="14" t="inlineStr">
        <is>
          <t>Scuola media (11-13)</t>
        </is>
      </c>
      <c r="B195" s="14" t="inlineStr">
        <is>
          <t>Pelledoca</t>
        </is>
      </c>
      <c r="C195" s="14" t="inlineStr">
        <is>
          <t>Dark Web</t>
        </is>
      </c>
      <c r="D195" s="14" t="inlineStr">
        <is>
          <t>Sara Magnoli</t>
        </is>
      </c>
      <c r="E195" s="14" t="inlineStr">
        <is>
          <t>Dai 12 anni</t>
        </is>
      </c>
      <c r="F195" s="16" t="n">
        <v>16</v>
      </c>
      <c r="G195" s="14" t="inlineStr">
        <is>
          <t>9788832790207</t>
        </is>
      </c>
      <c r="H195" s="14" t="inlineStr"/>
      <c r="I195" s="14" t="inlineStr">
        <is>
          <t>Sì</t>
        </is>
      </c>
      <c r="J195" s="14" t="inlineStr">
        <is>
          <t>NeroInchiostro</t>
        </is>
      </c>
      <c r="K195" s="14" t="inlineStr">
        <is>
          <t>Social network e influencer</t>
        </is>
      </c>
      <c r="L195" s="14" t="inlineStr">
        <is>
          <t>Eva vuole diventare un’influencer da milioni di like ed è disposta a qualunque cosa pur di riuscirci. Ma non è tutto oro quello che luccica e lo scoprirà sulla propria pelle.</t>
        </is>
      </c>
      <c r="M195" s="14" t="inlineStr"/>
    </row>
    <row r="196">
      <c r="A196" s="14" t="inlineStr">
        <is>
          <t>Scuola media (11-13)</t>
        </is>
      </c>
      <c r="B196" s="14" t="inlineStr">
        <is>
          <t>Pelledoca</t>
        </is>
      </c>
      <c r="C196" s="14" t="inlineStr">
        <is>
          <t>Fuori Dal Branco</t>
        </is>
      </c>
      <c r="D196" s="14" t="inlineStr">
        <is>
          <t>Sara Magnoli</t>
        </is>
      </c>
      <c r="E196" s="14" t="inlineStr">
        <is>
          <t>Dai 12 anni</t>
        </is>
      </c>
      <c r="F196" s="16" t="n">
        <v>16</v>
      </c>
      <c r="G196" s="14" t="inlineStr">
        <is>
          <t>9788832790450</t>
        </is>
      </c>
      <c r="H196" s="14" t="inlineStr"/>
      <c r="I196" s="14" t="inlineStr">
        <is>
          <t>Sì</t>
        </is>
      </c>
      <c r="J196" s="14" t="inlineStr">
        <is>
          <t>NeroInchiostro</t>
        </is>
      </c>
      <c r="K196" s="14" t="inlineStr">
        <is>
          <t>Baby gang e pressione del gruppo</t>
        </is>
      </c>
      <c r="L196" s="14" t="inlineStr">
        <is>
          <t>Fanno gruppo, si sentono invincibili, adocchiano il più debole e, infine, colpiscono: sono le baby gang. Per essere accettato e farne parte, Elia deve affrontare un rito di iniziazione e non può tirarsi indietro...</t>
        </is>
      </c>
      <c r="M196" s="14" t="inlineStr"/>
    </row>
    <row r="197">
      <c r="A197" s="14" t="inlineStr">
        <is>
          <t>Scuola media (11-13)</t>
        </is>
      </c>
      <c r="B197" s="14" t="inlineStr">
        <is>
          <t>Pelledoca</t>
        </is>
      </c>
      <c r="C197" s="14" t="inlineStr">
        <is>
          <t>Il Caso Elisa P.</t>
        </is>
      </c>
      <c r="D197" s="14" t="inlineStr">
        <is>
          <t>Chiara Cacco</t>
        </is>
      </c>
      <c r="E197" s="14" t="inlineStr">
        <is>
          <t>Dai 12 anni</t>
        </is>
      </c>
      <c r="F197" s="16" t="n">
        <v>16</v>
      </c>
      <c r="G197" s="14" t="inlineStr">
        <is>
          <t>9788832790863</t>
        </is>
      </c>
      <c r="H197" s="14" t="inlineStr"/>
      <c r="I197" s="14" t="inlineStr">
        <is>
          <t>Sì</t>
        </is>
      </c>
      <c r="J197" s="14" t="inlineStr">
        <is>
          <t>NeroInchiostro</t>
        </is>
      </c>
      <c r="K197" s="14" t="inlineStr">
        <is>
          <t>Bullismo ed emarginazione</t>
        </is>
      </c>
      <c r="L197" s="14" t="inlineStr">
        <is>
          <t>Elisa è una outsider. I compagni la bullizzano, la emarginano... finché una notte la ragazza scompare. E tutti, polizia compresa, cercano di capire cosa le sia successo.</t>
        </is>
      </c>
      <c r="M197" s="14" t="inlineStr"/>
    </row>
    <row r="198">
      <c r="A198" s="14" t="inlineStr">
        <is>
          <t>Scuola media (11-13)</t>
        </is>
      </c>
      <c r="B198" s="14" t="inlineStr">
        <is>
          <t>Pelledoca</t>
        </is>
      </c>
      <c r="C198" s="14" t="inlineStr">
        <is>
          <t>La Barabuia</t>
        </is>
      </c>
      <c r="D198" s="14" t="inlineStr">
        <is>
          <t>Gabriele Nanni</t>
        </is>
      </c>
      <c r="E198" s="14" t="inlineStr">
        <is>
          <t>Dai 12 anni</t>
        </is>
      </c>
      <c r="F198" s="16" t="n">
        <v>16</v>
      </c>
      <c r="G198" s="14" t="inlineStr">
        <is>
          <t>9788832791013</t>
        </is>
      </c>
      <c r="H198" s="14" t="inlineStr"/>
      <c r="I198" s="14" t="inlineStr">
        <is>
          <t>Sì</t>
        </is>
      </c>
      <c r="J198" s="14" t="inlineStr">
        <is>
          <t>NeroInchiostro</t>
        </is>
      </c>
      <c r="K198" s="14" t="inlineStr"/>
      <c r="L198" s="14" t="inlineStr">
        <is>
          <t>Il luna park, come la nebbia, è arrivato alla Sita, l’autorimessa abbandonata dei vecchi autobus. Quando Ias, Campus e Tamara portano lì Camilla, non sanno ancora che sta per accadere qualcosa di terribile</t>
        </is>
      </c>
      <c r="M198" s="14" t="inlineStr"/>
    </row>
    <row r="199">
      <c r="A199" s="14" t="inlineStr">
        <is>
          <t>Scuola media (11-13)</t>
        </is>
      </c>
      <c r="B199" s="14" t="inlineStr">
        <is>
          <t>Pelledoca</t>
        </is>
      </c>
      <c r="C199" s="14" t="inlineStr">
        <is>
          <t>La Fuga di Pat</t>
        </is>
      </c>
      <c r="D199" s="14" t="inlineStr">
        <is>
          <t>Roberto Piumini</t>
        </is>
      </c>
      <c r="E199" s="14" t="inlineStr">
        <is>
          <t>Dagli 11 anni</t>
        </is>
      </c>
      <c r="F199" s="16" t="n">
        <v>16</v>
      </c>
      <c r="G199" s="14" t="inlineStr">
        <is>
          <t>9788832790696</t>
        </is>
      </c>
      <c r="H199" s="14" t="inlineStr"/>
      <c r="I199" s="14" t="inlineStr">
        <is>
          <t>Sì</t>
        </is>
      </c>
      <c r="J199" s="14" t="inlineStr">
        <is>
          <t>NeroInchiostro</t>
        </is>
      </c>
      <c r="K199" s="14" t="inlineStr"/>
      <c r="L199" s="14" t="inlineStr">
        <is>
          <t>Un giorno Patrick, detto Pat, giovane promessa del calcio giovanile, fugge dal centro sportivo più ambito. Ma perché sta scappando? Chi lo sta inseguendo? Una caccia senza tregua e confini tra agguati e pericoli.</t>
        </is>
      </c>
      <c r="M199" s="14" t="inlineStr"/>
    </row>
    <row r="200">
      <c r="A200" s="14" t="inlineStr">
        <is>
          <t>Scuola media (11-13)</t>
        </is>
      </c>
      <c r="B200" s="14" t="inlineStr">
        <is>
          <t>Pelledoca</t>
        </is>
      </c>
      <c r="C200" s="14" t="inlineStr">
        <is>
          <t>Lunamadre</t>
        </is>
      </c>
      <c r="D200" s="14" t="inlineStr">
        <is>
          <t>Teo Benedetti</t>
        </is>
      </c>
      <c r="E200" s="14" t="inlineStr">
        <is>
          <t>Dagli 11 anni</t>
        </is>
      </c>
      <c r="F200" s="16" t="n">
        <v>16</v>
      </c>
      <c r="G200" s="14" t="inlineStr">
        <is>
          <t>9788832790221</t>
        </is>
      </c>
      <c r="H200" s="14" t="inlineStr"/>
      <c r="I200" s="14" t="inlineStr">
        <is>
          <t>Sì</t>
        </is>
      </c>
      <c r="J200" s="14" t="inlineStr">
        <is>
          <t>NeroInchiostro</t>
        </is>
      </c>
      <c r="K200" s="14" t="inlineStr"/>
      <c r="L200" s="14" t="inlineStr">
        <is>
          <t>Dopo parecchi anni, a Lunamadre qualcosa di terribile torna a manifestarsi. Streghe, antiche maledizioni, un oscuro passato: Lorenzo e i suoi amici riusciranno a scoprire la verità?</t>
        </is>
      </c>
      <c r="M200" s="14" t="inlineStr"/>
    </row>
    <row r="201">
      <c r="A201" s="14" t="inlineStr">
        <is>
          <t>Scuola media (11-13)</t>
        </is>
      </c>
      <c r="B201" s="14" t="inlineStr">
        <is>
          <t>Pelledoca</t>
        </is>
      </c>
      <c r="C201" s="14" t="inlineStr">
        <is>
          <t>Una Lunghissima Notte</t>
        </is>
      </c>
      <c r="D201" s="14" t="inlineStr">
        <is>
          <t>Annalisa Strada</t>
        </is>
      </c>
      <c r="E201" s="14" t="inlineStr">
        <is>
          <t>Dagli 11 anni</t>
        </is>
      </c>
      <c r="F201" s="16" t="n">
        <v>16</v>
      </c>
      <c r="G201" s="14" t="inlineStr">
        <is>
          <t>9788832790146</t>
        </is>
      </c>
      <c r="H201" s="14" t="inlineStr"/>
      <c r="I201" s="14" t="inlineStr">
        <is>
          <t>Sì</t>
        </is>
      </c>
      <c r="J201" s="14" t="inlineStr">
        <is>
          <t>NeroInchiostro</t>
        </is>
      </c>
      <c r="K201" s="14" t="inlineStr"/>
      <c r="L201" s="14" t="inlineStr">
        <is>
          <t>Nina è sola, in una casa buia e vuota. Sua madre non risponde al cellulare, la linea telefonica è fuori uso e, vicino al capanno degli attrezzi, c’è il cadavere di una donna. È l’inizio di una lunga, lunghissima, notte.</t>
        </is>
      </c>
      <c r="M201" s="14" t="inlineStr"/>
    </row>
    <row r="202">
      <c r="A202" s="14" t="inlineStr">
        <is>
          <t>3-6 anni</t>
        </is>
      </c>
      <c r="B202" s="14" t="inlineStr">
        <is>
          <t>Momo Edizioni</t>
        </is>
      </c>
      <c r="C202" s="14" t="inlineStr">
        <is>
          <t>Animalia. Il mio primo bestiario</t>
        </is>
      </c>
      <c r="D202" s="14" t="inlineStr">
        <is>
          <t>Marco Iuffrida</t>
        </is>
      </c>
      <c r="E202" s="14" t="inlineStr">
        <is>
          <t>da 4 anni</t>
        </is>
      </c>
      <c r="F202" s="16" t="n">
        <v>15</v>
      </c>
      <c r="G202" s="14" t="inlineStr">
        <is>
          <t>9791280298218</t>
        </is>
      </c>
      <c r="H202" s="14" t="inlineStr"/>
      <c r="I202" s="14" t="inlineStr">
        <is>
          <t>Sì</t>
        </is>
      </c>
      <c r="J202" s="14" t="inlineStr">
        <is>
          <t>Libri Monelli</t>
        </is>
      </c>
      <c r="K202" s="14" t="inlineStr">
        <is>
          <t>Rispetto per gli animali e conoscenza di sé</t>
        </is>
      </c>
      <c r="L202" s="14" t="inlineStr">
        <is>
          <t>Un bestiario illustrato per i più piccoli, con le prime parole e i primi animali: gli esseri umani sono animali perché “animati dall’anima”, come dice l’antica parola animalia, e accanto agli animali umani esistono quelli non umani, le “bestie”. Come i bestiari nati nel Medioevo, il libro usa gli animali per aiutare a conoscere e migliorare sé stessi. Di Marco Iuffrida, illustrazioni a colori ispirate alla pittura fiamminga e naïf. Libri Monelli, 36 pagine; da 4 anni.</t>
        </is>
      </c>
      <c r="M202" s="14" t="inlineStr">
        <is>
          <t>https://www.ibs.it/x/e/9791280298218</t>
        </is>
      </c>
    </row>
    <row r="203">
      <c r="A203" s="14" t="inlineStr">
        <is>
          <t>Prime letture (6-8)</t>
        </is>
      </c>
      <c r="B203" s="14" t="inlineStr">
        <is>
          <t>Momo Edizioni</t>
        </is>
      </c>
      <c r="C203" s="14" t="inlineStr">
        <is>
          <t>Che cos’è il sesso?</t>
        </is>
      </c>
      <c r="D203" s="14" t="inlineStr">
        <is>
          <t>Silvio Montanaro e Francesca D’Onofrio; ill. Luisa Montalto</t>
        </is>
      </c>
      <c r="E203" s="14" t="inlineStr">
        <is>
          <t>6-99 anni</t>
        </is>
      </c>
      <c r="F203" s="16" t="n">
        <v>15</v>
      </c>
      <c r="G203" s="14" t="inlineStr">
        <is>
          <t>9791280298379</t>
        </is>
      </c>
      <c r="H203" s="14" t="inlineStr"/>
      <c r="I203" s="14" t="inlineStr">
        <is>
          <t>Sì</t>
        </is>
      </c>
      <c r="J203" s="14" t="inlineStr">
        <is>
          <t>Libri Monelli</t>
        </is>
      </c>
      <c r="K203" s="14" t="inlineStr">
        <is>
          <t>Educazione affettiva e sessuale</t>
        </is>
      </c>
      <c r="L203" s="14" t="inlineStr">
        <is>
          <t>Un albo illustrato a colori per rispondere con semplicità e senza imbarazzo alle domande di bambine e bambini sul sesso. Pensato per essere letto e riletto dai più piccoli e, se si vuole, insieme ai genitori: un’occasione per capire meglio un aspetto importante della vita e superare qualche inutile imbarazzo. Di Silvio Montanaro e Francesca D’Onofrio (psicologa e sessuologa), illustrazioni di Luisa Montalto. Collana Libri Monelli, 44 pagine, 21×21 cm; età consigliata da 6 anni.</t>
        </is>
      </c>
      <c r="M203" s="14" t="inlineStr">
        <is>
          <t>https://www.ibs.it/x/e/9791280298379</t>
        </is>
      </c>
    </row>
    <row r="204">
      <c r="A204" s="14" t="inlineStr">
        <is>
          <t>Prime letture (6-8)</t>
        </is>
      </c>
      <c r="B204" s="14" t="inlineStr">
        <is>
          <t>Momo Edizioni</t>
        </is>
      </c>
      <c r="C204" s="14" t="inlineStr">
        <is>
          <t>Genitori che puzzano</t>
        </is>
      </c>
      <c r="D204" s="14" t="inlineStr">
        <is>
          <t>Gina; ill. Alessio Spataro</t>
        </is>
      </c>
      <c r="E204" s="14" t="inlineStr">
        <is>
          <t>7-99 anni</t>
        </is>
      </c>
      <c r="F204" s="16" t="n">
        <v>11</v>
      </c>
      <c r="G204" s="14" t="inlineStr">
        <is>
          <t>9791280298270</t>
        </is>
      </c>
      <c r="H204" s="14" t="inlineStr"/>
      <c r="I204" s="14" t="inlineStr">
        <is>
          <t>Sì</t>
        </is>
      </c>
      <c r="J204" s="14" t="inlineStr">
        <is>
          <t>Libri Monelli</t>
        </is>
      </c>
      <c r="K204" s="14" t="inlineStr">
        <is>
          <t>Famiglia e rapporto tra generazioni</t>
        </is>
      </c>
      <c r="L204" s="14" t="inlineStr">
        <is>
          <t>Bianca ha dieci anni, trecce nere e tanta energia: una mattina si sveglia e scopre che sua madre puzza da fare schifo, e con lei tutti i genitori della Grande Metropoli. Cosa è accaduto? Da dove viene la puzza e perché colpisce solo i genitori? Comincia così l’avventura di Bianca e dei suoi tre amici del Club Minestrone che, con la maestra Leda, la bidella Aurora e la scienziata Tamara, dovranno risolvere l’enigma più puzzolente di ogni tempo. “Tutte le famiglie puzzano, ma ogni famiglia puzza a modo suo.” Di Gina, illustrazioni di Alessio Spataro. Libri Monelli, 96 pagine; da 7 anni.</t>
        </is>
      </c>
      <c r="M204" s="14" t="inlineStr">
        <is>
          <t>https://www.ibs.it/x/e/9791280298270</t>
        </is>
      </c>
    </row>
    <row r="205">
      <c r="A205" s="14" t="inlineStr">
        <is>
          <t>Prime letture (6-8)</t>
        </is>
      </c>
      <c r="B205" s="14" t="inlineStr">
        <is>
          <t>Momo Edizioni</t>
        </is>
      </c>
      <c r="C205" s="14" t="inlineStr">
        <is>
          <t>Gli adulti fanno schifo</t>
        </is>
      </c>
      <c r="D205" s="14" t="inlineStr">
        <is>
          <t>Gina; ill. Alessio Spataro</t>
        </is>
      </c>
      <c r="E205" s="14" t="inlineStr">
        <is>
          <t>7-99 anni</t>
        </is>
      </c>
      <c r="F205" s="16" t="n">
        <v>10</v>
      </c>
      <c r="G205" s="14" t="inlineStr">
        <is>
          <t>9791280298201</t>
        </is>
      </c>
      <c r="H205" s="14" t="inlineStr"/>
      <c r="I205" s="14" t="inlineStr">
        <is>
          <t>Sì</t>
        </is>
      </c>
      <c r="J205" s="14" t="inlineStr">
        <is>
          <t>Libri Monelli</t>
        </is>
      </c>
      <c r="K205" s="14" t="inlineStr">
        <is>
          <t>Ambiente, pace e protagonismo dei ragazzi</t>
        </is>
      </c>
      <c r="L205" s="14" t="inlineStr">
        <is>
          <t>Libro di fantascienza che diverte con una “storia del possibile”: la storia dell’umanità è stata una lotta tra adulti schifosi e non schifosi, ma ormai esistono solo i primi, che giudicano, umiliano, fanno le guerre e devastano il pianeta. Cosa possono fare allora bambine, bambini, ragazze e ragazzi per cambiare il mondo che gli adulti stanno distruggendo? Cosa accadrebbe se il mondo, sull’orlo della catastrofe, rimanesse in mano ai bambini? Di Gina, illustrazioni di Alessio Spataro. Libri Monelli, 96 pagine; da 7 anni.</t>
        </is>
      </c>
      <c r="M205" s="14" t="inlineStr">
        <is>
          <t>https://www.ibs.it/x/e/9791280298201</t>
        </is>
      </c>
    </row>
    <row r="206">
      <c r="A206" s="14" t="inlineStr">
        <is>
          <t>Prime letture (6-8)</t>
        </is>
      </c>
      <c r="B206" s="14" t="inlineStr">
        <is>
          <t>Momo Edizioni</t>
        </is>
      </c>
      <c r="C206" s="14" t="inlineStr">
        <is>
          <t>Il lago che combatte</t>
        </is>
      </c>
      <c r="D206" s="14" t="inlineStr">
        <is>
          <t>Militant A (Assalti Frontali); ill. Chiara Fazi</t>
        </is>
      </c>
      <c r="E206" s="14" t="inlineStr">
        <is>
          <t>6-99 anni</t>
        </is>
      </c>
      <c r="F206" s="16" t="n">
        <v>18</v>
      </c>
      <c r="G206" s="14" t="inlineStr">
        <is>
          <t>9788894462418</t>
        </is>
      </c>
      <c r="H206" s="14" t="inlineStr"/>
      <c r="I206" s="14" t="inlineStr">
        <is>
          <t>Sì</t>
        </is>
      </c>
      <c r="J206" s="14" t="inlineStr">
        <is>
          <t>Libri Monelli</t>
        </is>
      </c>
      <c r="K206" s="14" t="inlineStr">
        <is>
          <t>Ambiente, natura e partecipazione dei cittadini</t>
        </is>
      </c>
      <c r="L206" s="14" t="inlineStr">
        <is>
          <t>La storia, ormai quasi leggenda, del lago naturale nato a Roma nel cuore di una metropoli europea, raccontata attraverso la canzone che Assalti Frontali (con il Muro del Canto) gli ha dedicato: il simbolo della riscossa della natura sulle assurde speculazioni dell’uomo “economico”. Un testo poetico, semplice e diretto, già usato nei laboratori rap di Militant A in mille scuole, che con le tavole di Chiara Fazi diventa un’esperienza di lettura per i più piccoli e per i loro genitori. Libri Monelli, 36 pagine; età consigliata da 6 anni.</t>
        </is>
      </c>
      <c r="M206" s="14" t="inlineStr">
        <is>
          <t>https://www.ibs.it/x/e/9788894462418</t>
        </is>
      </c>
    </row>
    <row r="207">
      <c r="A207" s="14" t="inlineStr">
        <is>
          <t>Prime letture (6-8)</t>
        </is>
      </c>
      <c r="B207" s="14" t="inlineStr">
        <is>
          <t>Momo Edizioni</t>
        </is>
      </c>
      <c r="C207" s="14" t="inlineStr">
        <is>
          <t>Mia patria sono gli oppressi. Don Milani, la scuola, la guerra</t>
        </is>
      </c>
      <c r="D207" s="14" t="inlineStr">
        <is>
          <t>Vanessa Roghi; ill. Marco Petrella</t>
        </is>
      </c>
      <c r="E207" s="14" t="inlineStr">
        <is>
          <t>6-99 anni</t>
        </is>
      </c>
      <c r="F207" s="16" t="n">
        <v>14</v>
      </c>
      <c r="G207" s="14" t="inlineStr">
        <is>
          <t>9791280298300</t>
        </is>
      </c>
      <c r="H207" s="14" t="inlineStr"/>
      <c r="I207" s="14" t="inlineStr">
        <is>
          <t>Sì</t>
        </is>
      </c>
      <c r="J207" s="14" t="inlineStr">
        <is>
          <t>Libri Monelli</t>
        </is>
      </c>
      <c r="K207" s="14" t="inlineStr">
        <is>
          <t>Giustizia sociale, scuola e pace (don Milani)</t>
        </is>
      </c>
      <c r="L207" s="14" t="inlineStr">
        <is>
          <t>La storia di don Lorenzo Milani, la scuola e la guerra, raccontata a ragazze e ragazzi: un omaggio al suo rischiare in prima persona e al suo non tirarsi mai indietro quando in gioco ci sono ingiustizia, oppressione e violenza. Di Vanessa Roghi, storica e autrice di documentari, con illustrazioni a colori di Marco Petrella. Libri Monelli, 96 pagine; età consigliata da 6 anni.</t>
        </is>
      </c>
      <c r="M207" s="14" t="inlineStr">
        <is>
          <t>https://www.ibs.it/x/e/9791280298300</t>
        </is>
      </c>
    </row>
    <row r="208">
      <c r="A208" s="14" t="inlineStr">
        <is>
          <t>Prime letture (6-8)</t>
        </is>
      </c>
      <c r="B208" s="14" t="inlineStr">
        <is>
          <t>Momo Edizioni</t>
        </is>
      </c>
      <c r="C208" s="14" t="inlineStr">
        <is>
          <t>Portami al mare. Un viaggio nel Mediterraneo per piccoli scienziati</t>
        </is>
      </c>
      <c r="D208" s="14" t="inlineStr">
        <is>
          <t>Ernesto Azzurro ed Emanuela Fanelli; ill. Martina Troise</t>
        </is>
      </c>
      <c r="E208" s="14" t="inlineStr">
        <is>
          <t>6-99 anni</t>
        </is>
      </c>
      <c r="F208" s="16" t="n">
        <v>15</v>
      </c>
      <c r="G208" s="14" t="inlineStr">
        <is>
          <t>9788894513332</t>
        </is>
      </c>
      <c r="H208" s="14" t="inlineStr"/>
      <c r="I208" s="14" t="inlineStr">
        <is>
          <t>Sì</t>
        </is>
      </c>
      <c r="J208" s="14" t="inlineStr">
        <is>
          <t>Libri Monelli</t>
        </is>
      </c>
      <c r="K208" s="14" t="inlineStr">
        <is>
          <t>Ambiente, mare e biodiversità</t>
        </is>
      </c>
      <c r="L208" s="14" t="inlineStr">
        <is>
          <t>Il nostro mare è in pericolo: l’inquinamento è alle stelle e il sistema economico sembra non preoccuparsene. Ci penseranno i bambini a salvarlo! Una guida curata da due biologi marini che insegna che l’ecologia non è un gioco e che, per salvare il pianeta, bisogna prima conoscerlo. Contiene i disegni scientifici da ritagliare di tutti gli abitanti del Mediterraneo, inseriti in tavole colorate di Martina Troise. Di Ernesto Azzurro ed Emanuela Fanelli. Libri Monelli, 36 pagine; da 6 anni.</t>
        </is>
      </c>
      <c r="M208" s="14" t="inlineStr">
        <is>
          <t>https://www.ibs.it/x/e/9788894513332</t>
        </is>
      </c>
    </row>
    <row r="209">
      <c r="A209" s="14" t="inlineStr">
        <is>
          <t>Prime letture (6-8)</t>
        </is>
      </c>
      <c r="B209" s="14" t="inlineStr">
        <is>
          <t>Momo Edizioni</t>
        </is>
      </c>
      <c r="C209" s="14" t="inlineStr">
        <is>
          <t>SOS Oceano. Impariamo a difendere il mare</t>
        </is>
      </c>
      <c r="D209" s="14" t="inlineStr">
        <is>
          <t>Ernesto Azzurro ed Emanuela Fanelli; ill. Bruna e Martina Troise</t>
        </is>
      </c>
      <c r="E209" s="14" t="inlineStr">
        <is>
          <t>da 6 anni</t>
        </is>
      </c>
      <c r="F209" s="16" t="n">
        <v>15</v>
      </c>
      <c r="G209" s="14" t="inlineStr">
        <is>
          <t>9791280298188</t>
        </is>
      </c>
      <c r="H209" s="14" t="inlineStr"/>
      <c r="I209" s="14" t="inlineStr">
        <is>
          <t>Sì</t>
        </is>
      </c>
      <c r="J209" s="14" t="inlineStr">
        <is>
          <t>Libri Monelli</t>
        </is>
      </c>
      <c r="K209" s="14" t="inlineStr">
        <is>
          <t>Ambiente, inquinamento e tutela del mare</t>
        </is>
      </c>
      <c r="L209" s="14" t="inlineStr">
        <is>
          <t>Un libro-denuncia, anzi un libro-urlo: undici storie per andare oltre le apparenze, smascherare i luoghi comuni e aprire gli occhi sui problemi degli ecosistemi marini, a partire dal mare sotto casa plasmato dalle attività umane. Un viaggio con due scienziati tra storie che arrivano dal profondo e di cui nessuno forse ha mai parlato: dietro ogni problema c’è una soluzione possibile e non si è mai troppo piccoli per fare la differenza. Di Ernesto Azzurro ed Emanuela Fanelli, illustrazioni di Bruna e Martina Troise. Libri Monelli, 36 pagine; da 6 anni.</t>
        </is>
      </c>
      <c r="M209" s="14" t="inlineStr">
        <is>
          <t>https://www.ibs.it/x/e/9791280298188</t>
        </is>
      </c>
    </row>
    <row r="210">
      <c r="A210" s="14" t="inlineStr">
        <is>
          <t>10+</t>
        </is>
      </c>
      <c r="B210" s="14" t="inlineStr">
        <is>
          <t>Momo Edizioni</t>
        </is>
      </c>
      <c r="C210" s="14" t="inlineStr">
        <is>
          <t>Libera dal ciclo</t>
        </is>
      </c>
      <c r="D210" s="14" t="inlineStr">
        <is>
          <t>Flavia Fazi</t>
        </is>
      </c>
      <c r="E210" s="14" t="inlineStr">
        <is>
          <t>da 10 anni</t>
        </is>
      </c>
      <c r="F210" s="16" t="n">
        <v>10</v>
      </c>
      <c r="G210" s="14" t="inlineStr">
        <is>
          <t>9791280298164</t>
        </is>
      </c>
      <c r="H210" s="14" t="inlineStr"/>
      <c r="I210" s="14" t="inlineStr">
        <is>
          <t>Sì</t>
        </is>
      </c>
      <c r="J210" s="14" t="inlineStr">
        <is>
          <t>Libri Monelli</t>
        </is>
      </c>
      <c r="K210" s="14" t="inlineStr">
        <is>
          <t>Società e attualità</t>
        </is>
      </c>
      <c r="L210" s="14" t="inlineStr">
        <is>
          <t>Racconta la storia di Libera e del suo percorso per liberarsi non solo dal ciclo mestruale in senso pratico o emotivo, ma soprattutto dai tabù, dai pregiudizi e dai luoghi comuni legati alla pubertà e al corpo femminile.</t>
        </is>
      </c>
      <c r="M210" s="14" t="inlineStr">
        <is>
          <t>testo fornito da Bottegart</t>
        </is>
      </c>
    </row>
    <row r="211">
      <c r="A211" s="14" t="inlineStr">
        <is>
          <t>Scuola media (11-13)</t>
        </is>
      </c>
      <c r="B211" s="14" t="inlineStr">
        <is>
          <t>Momo Edizioni</t>
        </is>
      </c>
      <c r="C211" s="14" t="inlineStr">
        <is>
          <t>Ad occhi aperti</t>
        </is>
      </c>
      <c r="D211" s="14" t="inlineStr">
        <is>
          <t>Vanessa Roghi; ill. Irma Alonzo</t>
        </is>
      </c>
      <c r="E211" s="14" t="inlineStr">
        <is>
          <t>11-99 anni</t>
        </is>
      </c>
      <c r="F211" s="16" t="n">
        <v>15</v>
      </c>
      <c r="G211" s="14" t="inlineStr">
        <is>
          <t>9791280298621</t>
        </is>
      </c>
      <c r="H211" s="14" t="inlineStr"/>
      <c r="I211" s="14" t="inlineStr">
        <is>
          <t>Sì</t>
        </is>
      </c>
      <c r="J211" s="14" t="inlineStr">
        <is>
          <t>Libri Monelli</t>
        </is>
      </c>
      <c r="K211" s="14" t="inlineStr">
        <is>
          <t>Dipendenze e riduzione del danno</t>
        </is>
      </c>
      <c r="L211" s="14" t="inlineStr">
        <is>
          <t>Le droghe, la dipendenza e la riduzione del danno spiegati a ragazze e ragazzi. Non il solito manuale sulle droghe, ma un libro agile e divulgativo scritto da una storica, pieno di suggerimenti per cambiare punto di vista su sostanze e dipendenza: le convenzioni tradizionali vengono approfondite e capovolte per aprire un dialogo su uno dei temi più difficili dei nostri tempi, senza impartire lezioni. “Occorre avere un pensiero critico su alcool, droghe e sostanze illegali e, per avercelo, occorre conoscerle.” Di Vanessa Roghi, illustrazioni di Irma Alonzo. 96 pagine; da 11 anni.</t>
        </is>
      </c>
      <c r="M211" s="14" t="inlineStr">
        <is>
          <t>https://www.ibs.it/x/e/9791280298621</t>
        </is>
      </c>
    </row>
    <row r="212">
      <c r="A212" s="14" t="inlineStr">
        <is>
          <t>Scuola media (11-13)</t>
        </is>
      </c>
      <c r="B212" s="14" t="inlineStr">
        <is>
          <t>Momo Edizioni</t>
        </is>
      </c>
      <c r="C212" s="14" t="inlineStr">
        <is>
          <t>Il carcere è un mondo di carta</t>
        </is>
      </c>
      <c r="D212" s="14" t="inlineStr">
        <is>
          <t>Valentina Calderone e Marica Fantauzzi; ill. Ginevra Vacalebre</t>
        </is>
      </c>
      <c r="E212" s="14" t="inlineStr">
        <is>
          <t>11-99 anni</t>
        </is>
      </c>
      <c r="F212" s="16" t="n">
        <v>15</v>
      </c>
      <c r="G212" s="14" t="inlineStr">
        <is>
          <t>9791280298447</t>
        </is>
      </c>
      <c r="H212" s="14" t="inlineStr"/>
      <c r="I212" s="14" t="inlineStr">
        <is>
          <t>Sì</t>
        </is>
      </c>
      <c r="J212" s="14" t="inlineStr">
        <is>
          <t>Libri Monelli</t>
        </is>
      </c>
      <c r="K212" s="14" t="inlineStr">
        <is>
          <t>Carcere, diritti e dignità della persona</t>
        </is>
      </c>
      <c r="L212" s="14" t="inlineStr">
        <is>
          <t>Che cos’è il carcere? Da ragazzi ci insegnano che è il posto dove finiscono i “cattivi”; crescendo diventa una minaccia permanente e sfocata per tutti, ma nessuno sa davvero cos’è finché non entra nella sua vita. Un abbecedario per parlare liberamente e seriamente con i ragazzi di un’istituzione che tutti diamo per scontata ma che nessuno conosce, con la postfazione di Luigi Manconi. Di Valentina Calderone e Marica Fantauzzi, illustrazioni di Ginevra Vacalebre. Libri Monelli, 160 pagine; da 11 anni.</t>
        </is>
      </c>
      <c r="M212" s="14" t="inlineStr">
        <is>
          <t>https://www.ibs.it/x/e/9791280298447</t>
        </is>
      </c>
    </row>
    <row r="213">
      <c r="A213" s="14" t="inlineStr">
        <is>
          <t>9+</t>
        </is>
      </c>
      <c r="B213" s="14" t="inlineStr">
        <is>
          <t>Momo Edizioni</t>
        </is>
      </c>
      <c r="C213" s="14" t="inlineStr">
        <is>
          <t>A cosa servono le cose?</t>
        </is>
      </c>
      <c r="D213" s="14" t="inlineStr">
        <is>
          <t>Tina Napoli; ill. Marco Petrella</t>
        </is>
      </c>
      <c r="E213" s="14" t="inlineStr">
        <is>
          <t>da 9 anni</t>
        </is>
      </c>
      <c r="F213" s="16" t="n">
        <v>15</v>
      </c>
      <c r="G213" s="14" t="inlineStr">
        <is>
          <t>9791280298935</t>
        </is>
      </c>
      <c r="H213" s="14" t="inlineStr"/>
      <c r="I213" s="14" t="inlineStr">
        <is>
          <t>Sì</t>
        </is>
      </c>
      <c r="J213" s="14" t="inlineStr">
        <is>
          <t>Libri Monelli</t>
        </is>
      </c>
      <c r="K213" s="14" t="inlineStr">
        <is>
          <t>Consumo consapevole, diritti e sfruttamento minorile</t>
        </is>
      </c>
      <c r="L213" s="14" t="inlineStr">
        <is>
          <t>Nike ha undici anni e vive a Roma 2, un quartiere “contraffatto” dove gli autobus sembrano veri e le piazze esistono solo nelle foto. Una sera vede per caso un documentario su bambini della sua età che cuciono i vestiti che il mondo indossa, e da quel momento tutto cambia: convince quattro compagni a fondare la Banda dei Prometei. In nove mesi e nove racconti imparano a smontare le pubblicità ingannevoli, leggere le etichette, reclamare i propri diritti, riparare invece di buttare e scegliere come spendere i soldi, scoprendo che gli adulti possono essere alleati. Ogni domanda è un atto di ribellione. Di Tina Napoli, illustrazioni a colori di Marco Petrella. Libri Monelli, 112 pagine, 2026.</t>
        </is>
      </c>
      <c r="M213" s="14" t="inlineStr">
        <is>
          <t>https://www.ibs.it/x/e/9791280298935</t>
        </is>
      </c>
    </row>
    <row r="214">
      <c r="A214" s="14" t="inlineStr">
        <is>
          <t>3-6 anni</t>
        </is>
      </c>
      <c r="B214" s="14" t="inlineStr">
        <is>
          <t>Momo Edizioni</t>
        </is>
      </c>
      <c r="C214" s="14" t="inlineStr">
        <is>
          <t>Bollicina</t>
        </is>
      </c>
      <c r="D214" s="14" t="inlineStr">
        <is>
          <t>Ciampacavallo; copertina di Zerocalcare</t>
        </is>
      </c>
      <c r="E214" s="14" t="inlineStr">
        <is>
          <t>24 pp.; età n.d.</t>
        </is>
      </c>
      <c r="F214" s="16" t="n">
        <v>15</v>
      </c>
      <c r="G214" s="14" t="inlineStr">
        <is>
          <t>9791280298782</t>
        </is>
      </c>
      <c r="H214" s="14" t="inlineStr">
        <is>
          <t>Sì</t>
        </is>
      </c>
      <c r="I214" s="14" t="inlineStr">
        <is>
          <t>Sì</t>
        </is>
      </c>
      <c r="J214" s="14" t="inlineStr">
        <is>
          <t>Libri Monelli – CiampaLibri</t>
        </is>
      </c>
      <c r="K214" s="14" t="inlineStr">
        <is>
          <t>Disabilità e inclusione (storia scritta da persone con disabilità)</t>
        </is>
      </c>
      <c r="L214" s="14" t="inlineStr">
        <is>
          <t>Una principessa bollicina in fuga dai cattivi, un gruppo di Buffi che arriva in suo soccorso, un’avventura che toglie il fiato e un lieto fine strambo e surreale. Creata da un collettivo di autori “estremamente normali” (o “normalmente estremi”) di Ciampacavallo, associazione che da trent’anni si occupa di persone con disabilità, e da undici illustratori, con copertina di Zerocalcare e audiolibro con la voce di Caterina Guzzanti. Il libro può essere letto con le parole, con i simboli PECS della CAA, ascoltato con il QR code e seguito con le illustrazioni: una storia d’amore e solidarietà che oltrepassa il confine tra ciò che è normale e ciò che non lo è. Primo titolo della collana CiampaLibri. 24 pagine.</t>
        </is>
      </c>
      <c r="M214" s="14" t="inlineStr">
        <is>
          <t>https://www.ibs.it/x/e/9791280298782</t>
        </is>
      </c>
    </row>
    <row r="215">
      <c r="A215" s="14" t="inlineStr">
        <is>
          <t>8+</t>
        </is>
      </c>
      <c r="B215" s="14" t="inlineStr">
        <is>
          <t>Momo Edizioni</t>
        </is>
      </c>
      <c r="C215" s="14" t="inlineStr">
        <is>
          <t>Cambiare il mondo con i libri. L’incredibile storia di Giangiacomo Feltrinelli</t>
        </is>
      </c>
      <c r="D215" s="14" t="inlineStr">
        <is>
          <t>Mattia Tombolini; ill. Marta Baroni</t>
        </is>
      </c>
      <c r="E215" s="14" t="inlineStr">
        <is>
          <t>da 8 anni</t>
        </is>
      </c>
      <c r="F215" s="16" t="n">
        <v>13</v>
      </c>
      <c r="G215" s="14" t="inlineStr">
        <is>
          <t>9791280298225</t>
        </is>
      </c>
      <c r="H215" s="14" t="inlineStr"/>
      <c r="I215" s="14" t="inlineStr">
        <is>
          <t>Sì</t>
        </is>
      </c>
      <c r="J215" s="14" t="inlineStr">
        <is>
          <t>Libri Monelli</t>
        </is>
      </c>
      <c r="K215" s="14" t="inlineStr">
        <is>
          <t>Libri, lettura e impegno civile</t>
        </is>
      </c>
      <c r="L215" s="14" t="inlineStr">
        <is>
          <t>Ma davvero i libri possono cambiare il mondo? Sì, possono eccome. Un libro sul mestiere di “fare i libri” che racconta l’incredibile storia di Giangiacomo Feltrinelli e, con le illustrazioni-gioco di Marta Baroni, diventa anche un laboratorio per lettrici e lettori. Arricchito da una nota di Carlo Feltrinelli. Di Mattia Tombolini, illustrazioni a colori di Marta Baroni. Libri Monelli, 96 pagine.</t>
        </is>
      </c>
      <c r="M215" s="14" t="inlineStr">
        <is>
          <t>https://www.ibs.it/x/e/9791280298225</t>
        </is>
      </c>
    </row>
    <row r="216">
      <c r="A216" s="14" t="inlineStr">
        <is>
          <t>10+</t>
        </is>
      </c>
      <c r="B216" s="14" t="inlineStr">
        <is>
          <t>Momo Edizioni</t>
        </is>
      </c>
      <c r="C216" s="14" t="inlineStr">
        <is>
          <t>Essere tempesta. Vita e morte di Giacomo Matteotti</t>
        </is>
      </c>
      <c r="D216" s="14" t="inlineStr">
        <is>
          <t>Valerio Renzi; ill. Toni Bruno</t>
        </is>
      </c>
      <c r="E216" s="14" t="inlineStr">
        <is>
          <t>da 10 anni</t>
        </is>
      </c>
      <c r="F216" s="16" t="n">
        <v>15</v>
      </c>
      <c r="G216" s="14" t="inlineStr">
        <is>
          <t>9791280298522</t>
        </is>
      </c>
      <c r="H216" s="14" t="inlineStr"/>
      <c r="I216" s="14" t="inlineStr">
        <is>
          <t>Sì</t>
        </is>
      </c>
      <c r="J216" s="14" t="inlineStr">
        <is>
          <t>Libri Monelli</t>
        </is>
      </c>
      <c r="K216" s="14" t="inlineStr">
        <is>
          <t>Antifascismo, memoria e giustizia sociale</t>
        </is>
      </c>
      <c r="L216" s="14" t="inlineStr">
        <is>
          <t>Il 10 giugno 1924 Giacomo Matteotti viene rapito e assassinato: finisce il “biennio legalitario” del fascismo e comincia la dittatura. A cento anni di distanza, un libro per raccontare a ragazze e ragazzi la storia del leader socialista e antifascista con due fili temporali che si alternano: l’omicidio organizzato e coperto dalle più alte sfere del fascismo, e la vita di Matteotti, dagli studi all’impegno per braccianti e contadini, la lotta pacifista e la denuncia delle violenze squadriste. Di Valerio Renzi, illustrazioni di Toni Bruno. Libri Monelli, 112 pagine.</t>
        </is>
      </c>
      <c r="M216" s="14" t="inlineStr">
        <is>
          <t>https://www.ibs.it/x/e/9791280298522</t>
        </is>
      </c>
    </row>
    <row r="217">
      <c r="A217" s="14" t="inlineStr">
        <is>
          <t>Prime letture (6-8)</t>
        </is>
      </c>
      <c r="B217" s="14" t="inlineStr">
        <is>
          <t>Momo Edizioni</t>
        </is>
      </c>
      <c r="C217" s="14" t="inlineStr">
        <is>
          <t>Karukinka. La nostra terra</t>
        </is>
      </c>
      <c r="D217" s="14" t="inlineStr">
        <is>
          <t>Erica Silvestri</t>
        </is>
      </c>
      <c r="E217" s="14" t="inlineStr">
        <is>
          <t>da 6 anni</t>
        </is>
      </c>
      <c r="F217" s="16" t="n">
        <v>15</v>
      </c>
      <c r="G217" s="14" t="inlineStr">
        <is>
          <t>9791280298423</t>
        </is>
      </c>
      <c r="H217" s="14" t="inlineStr"/>
      <c r="I217" s="14" t="inlineStr">
        <is>
          <t>Sì</t>
        </is>
      </c>
      <c r="J217" s="14" t="inlineStr">
        <is>
          <t>Libri Monelli</t>
        </is>
      </c>
      <c r="K217" s="14" t="inlineStr">
        <is>
          <t>Cambiamento climatico e popoli originari</t>
        </is>
      </c>
      <c r="L217" s="14" t="inlineStr">
        <is>
          <t>“Non c’è più tempo, cosa aspettiamo?” Un libro illustrato a colori che invita a raccogliere la voce dei popoli originari e a organizzarsi per salvare Karukinka, la nostra terra, e con lei l’esistenza di tutte le specie che la abitano. Per molti anni l’essere umano ha creduto di essere superiore alle altre creature e che le risorse del pianeta fossero inesauribili; oggi la Terra soffre il surriscaldamento globale causato dall’attività umana e, anche se le grandi responsabilità sono dei governi dei paesi ricchi e delle multinazionali dell’energia, ognuno di noi può fare qualcosa. Di Erica Silvestri. Libri Monelli, 21×21.</t>
        </is>
      </c>
      <c r="M217" s="14" t="inlineStr">
        <is>
          <t>età indicata da Bottegart</t>
        </is>
      </c>
    </row>
    <row r="218">
      <c r="A218" s="14" t="inlineStr">
        <is>
          <t>Prime letture (6-8)</t>
        </is>
      </c>
      <c r="B218" s="14" t="inlineStr">
        <is>
          <t>Tunuè</t>
        </is>
      </c>
      <c r="C218" s="14" t="inlineStr">
        <is>
          <t>Brina (serie)</t>
        </is>
      </c>
      <c r="D218" s="14" t="inlineStr">
        <is>
          <t>Giorgio Salati e Christian Cornia</t>
        </is>
      </c>
      <c r="E218" s="14" t="inlineStr">
        <is>
          <t>6+</t>
        </is>
      </c>
      <c r="F218" s="16" t="n">
        <v>15.5</v>
      </c>
      <c r="G218" s="14" t="inlineStr">
        <is>
          <t>9788867905034</t>
        </is>
      </c>
      <c r="H218" s="14" t="inlineStr"/>
      <c r="I218" s="14" t="inlineStr">
        <is>
          <t>Sì</t>
        </is>
      </c>
      <c r="J218" s="14" t="inlineStr">
        <is>
          <t>Kids (fumetti)</t>
        </is>
      </c>
      <c r="K218" s="14" t="inlineStr"/>
      <c r="L218" s="14" t="inlineStr">
        <is>
          <t>La vita della gattina Brina scorre placida e idilliaca nella sicurezza e nell’amore della sua famiglia, ma questo quadro è destinato a essere scombussolato dall’arrivo del gattino Zola, che ruba le attenzioni degli umani Marg e Sam. Brina vede il nuovo arrivato come un intruso e, allontanatasi da casa, finisce per vivere una nuova avventura: entrerà a far parte di una nuova famiglia e Zola si rivelerà un pasticcione ma anche un amico sincero. Serie a fumetti in tre volumi (qui il vol. 3; cartonato, 152 pagine, 16,8x24 cm).</t>
        </is>
      </c>
      <c r="M218" s="14" t="inlineStr">
        <is>
          <t>https://www.ibs.it/x/e/9788867905034</t>
        </is>
      </c>
    </row>
    <row r="219">
      <c r="A219" s="14" t="inlineStr">
        <is>
          <t>Prime letture (6-8)</t>
        </is>
      </c>
      <c r="B219" s="14" t="inlineStr">
        <is>
          <t>Tunuè</t>
        </is>
      </c>
      <c r="C219" s="14" t="inlineStr">
        <is>
          <t>Monster Allergy (serie)</t>
        </is>
      </c>
      <c r="D219" s="14" t="inlineStr">
        <is>
          <t>Katja Centomo, Francesco Artibani, Alessandro Barbucci e Barbara Canepa</t>
        </is>
      </c>
      <c r="E219" s="14" t="inlineStr">
        <is>
          <t>6+</t>
        </is>
      </c>
      <c r="F219" s="16" t="n">
        <v>14.5</v>
      </c>
      <c r="G219" s="14" t="inlineStr">
        <is>
          <t>9788867903696</t>
        </is>
      </c>
      <c r="H219" s="14" t="inlineStr"/>
      <c r="I219" s="14" t="inlineStr">
        <is>
          <t>Sì</t>
        </is>
      </c>
      <c r="J219" s="14" t="inlineStr">
        <is>
          <t>Kids (fumetti)</t>
        </is>
      </c>
      <c r="K219" s="14" t="inlineStr"/>
      <c r="L219" s="14" t="inlineStr">
        <is>
          <t>Una cittadina di provincia, un giovane solitario, una nuova arrivata che fraternizza con lui, cani che scompaiono, indagini e una misteriosa allergia: sono gli ingredienti dei primi tre episodi di Monster Allergy, il fumetto che mescola commedia, horror e avventura. Zick, un ragazzino solitario che può vedere i mostri, e la vicina Elena Patata, che non si spaventa di nulla, vivono le loro avventure a Oldmill Village, popolata da creature mistiche e mostruose. Serie classica in 10 volumi (qui il vol. 1 Collection, con nuova copertina di Alessandro Barbucci). Creata da Katja Centomo, Francesco Artibani, Alessandro Barbucci e Barbara Canepa.</t>
        </is>
      </c>
      <c r="M219" s="14" t="inlineStr">
        <is>
          <t>https://www.ibs.it/x/e/9788867903696</t>
        </is>
      </c>
    </row>
    <row r="220">
      <c r="A220" s="14" t="inlineStr">
        <is>
          <t>Prime letture (6-8)</t>
        </is>
      </c>
      <c r="B220" s="14" t="inlineStr">
        <is>
          <t>Tunuè</t>
        </is>
      </c>
      <c r="C220" s="14" t="inlineStr">
        <is>
          <t>Terry Time e il coraggio della Resistenza</t>
        </is>
      </c>
      <c r="D220" s="14" t="inlineStr">
        <is>
          <t>Gud</t>
        </is>
      </c>
      <c r="E220" s="14" t="inlineStr">
        <is>
          <t>7+</t>
        </is>
      </c>
      <c r="F220" s="16" t="n">
        <v>14.5</v>
      </c>
      <c r="G220" s="14" t="inlineStr">
        <is>
          <t>9788867907267</t>
        </is>
      </c>
      <c r="H220" s="14" t="inlineStr"/>
      <c r="I220" s="14" t="inlineStr">
        <is>
          <t>Sì</t>
        </is>
      </c>
      <c r="J220" s="14" t="inlineStr">
        <is>
          <t>Kids (fumetti)</t>
        </is>
      </c>
      <c r="K220" s="14" t="inlineStr"/>
      <c r="L220" s="14" t="inlineStr">
        <is>
          <t>Dopo una pessima giornata a scuola, in cui non è riuscito a rispondere a tono a un compagno che lo prendeva in giro davanti a tutti, Terry torna a viaggiare nel tempo grazie al vecchio telefono giallo nello studio di suo padre: stavolta finisce nel 1945, alla fine della Seconda guerra mondiale, dove conosce Bella, una staffetta partigiana che lo salva dai nazifascisti e lo porta in missione per avvisare la banda del fratello. Scopre la guerriglia partigiana, la vita difficile tra i boschi e la speranza di un futuro più equo per tutti, e dalla sua avventura riporta un fazzoletto rosso, simbolo della Resistenza, e la forza di trovare il suo riscatto a scuola. Consigliato da Amnesty International. Di Gud (autore anche di Timothy Top), 96 pagine, 14x20,5. Temi: antifascismo, bullismo, coraggio.</t>
        </is>
      </c>
      <c r="M220" s="14" t="inlineStr">
        <is>
          <t>https://www.ibs.it/x/e/9788867907267</t>
        </is>
      </c>
    </row>
    <row r="221">
      <c r="A221" s="14" t="inlineStr">
        <is>
          <t>8+</t>
        </is>
      </c>
      <c r="B221" s="14" t="inlineStr">
        <is>
          <t>Tunuè</t>
        </is>
      </c>
      <c r="C221" s="14" t="inlineStr">
        <is>
          <t>Investigators (serie)</t>
        </is>
      </c>
      <c r="D221" s="14" t="inlineStr">
        <is>
          <t>John Patrick Green</t>
        </is>
      </c>
      <c r="E221" s="14" t="inlineStr">
        <is>
          <t>8+</t>
        </is>
      </c>
      <c r="F221" s="16" t="n">
        <v>15.5</v>
      </c>
      <c r="G221" s="14" t="inlineStr">
        <is>
          <t>9788867907731</t>
        </is>
      </c>
      <c r="H221" s="14" t="inlineStr"/>
      <c r="I221" s="14" t="inlineStr">
        <is>
          <t>Sì</t>
        </is>
      </c>
      <c r="J221" s="14" t="inlineStr">
        <is>
          <t>Kids (fumetti)</t>
        </is>
      </c>
      <c r="K221" s="14" t="inlineStr"/>
      <c r="L221" s="14" t="inlineStr">
        <is>
          <t>Gli InvestiGators tornano in missione… a scuola! Tra indagini sotto copertura, risate e colpi di scena, gli agenti Mango e Sciallo affrontano il caso più difficile di sempre: riuscire a farsi passare per due normali studenti delle scuole medie. Suspense, azione e umorismo sono gli ingredienti della serie crime più amata da bambine e bambini (qui il vol. 8; 208 pagine, 14x20,5 cm).</t>
        </is>
      </c>
      <c r="M221" s="14" t="inlineStr">
        <is>
          <t>https://www.ibs.it/x/e/9788867907731</t>
        </is>
      </c>
    </row>
    <row r="222">
      <c r="A222" s="14" t="inlineStr">
        <is>
          <t>8+</t>
        </is>
      </c>
      <c r="B222" s="14" t="inlineStr">
        <is>
          <t>Tunuè</t>
        </is>
      </c>
      <c r="C222" s="14" t="inlineStr">
        <is>
          <t>Strega a modo mio (serie)</t>
        </is>
      </c>
      <c r="D222" s="14" t="inlineStr">
        <is>
          <t>Emma Steinkellner</t>
        </is>
      </c>
      <c r="E222" s="14" t="inlineStr">
        <is>
          <t>8+</t>
        </is>
      </c>
      <c r="F222" s="16" t="n">
        <v>16.5</v>
      </c>
      <c r="G222" s="14" t="inlineStr">
        <is>
          <t>9788867904877</t>
        </is>
      </c>
      <c r="H222" s="14" t="inlineStr"/>
      <c r="I222" s="14" t="inlineStr">
        <is>
          <t>Sì</t>
        </is>
      </c>
      <c r="J222" s="14" t="inlineStr">
        <is>
          <t>Kids (fumetti)</t>
        </is>
      </c>
      <c r="K222" s="14" t="inlineStr"/>
      <c r="L222" s="14" t="inlineStr">
        <is>
          <t>Halena Hush ha tredici anni e una grande passione: la magia. Vive a Founder’s Bluff, tranquilla cittadina del Massachusetts, tra la scuola e le sue amate streghe. Quando i bulletti della scuola media cercano di rovinarle Halloween, scopre di essere una vera strega, e di non essere l’unica. Mentre cerca la verità incontra un gatto parlante, si perde in un diario incantato e accede a un mondo magico nascosto, svelando segreti di generazioni legati alla sua città, alla sua famiglia e a sé stessa. Di Emma Steinkellner (cartonato, 14x20,5). Temi: amicizia, bullismo, consapevolezza di sé.</t>
        </is>
      </c>
      <c r="M222" s="14" t="inlineStr">
        <is>
          <t>https://www.ibs.it/x/e/9788867904877</t>
        </is>
      </c>
    </row>
    <row r="223">
      <c r="A223" s="14" t="inlineStr">
        <is>
          <t>9+</t>
        </is>
      </c>
      <c r="B223" s="14" t="inlineStr">
        <is>
          <t>Tunuè</t>
        </is>
      </c>
      <c r="C223" s="14" t="inlineStr">
        <is>
          <t>Le sorelle Grémillet (serie)</t>
        </is>
      </c>
      <c r="D223" s="14" t="inlineStr">
        <is>
          <t>Alessandro Barbucci e Giovanni Di Gregorio</t>
        </is>
      </c>
      <c r="E223" s="14" t="inlineStr">
        <is>
          <t>9+</t>
        </is>
      </c>
      <c r="F223" s="16" t="n">
        <v>16.9</v>
      </c>
      <c r="G223" s="14" t="inlineStr">
        <is>
          <t>9788867908097</t>
        </is>
      </c>
      <c r="H223" s="14" t="inlineStr"/>
      <c r="I223" s="14" t="inlineStr">
        <is>
          <t>Sì</t>
        </is>
      </c>
      <c r="J223" s="14" t="inlineStr">
        <is>
          <t>Kids / Young Adult</t>
        </is>
      </c>
      <c r="K223" s="14" t="inlineStr">
        <is>
          <t>Famiglia / crescita</t>
        </is>
      </c>
      <c r="L223" s="14" t="inlineStr">
        <is>
          <t>Un moderno racconto familiare che celebra la complicità tra tre sorelle molto diverse tra loro: Sara, Cassiopea e Lucille. Nel vol. 6, sole, mare e un matrimonio da favola attendono le sorelle Grémillet invitate su un’isola alle nozze di un’amica di vecchia data della madre. L’incontro con la ribelle Aurélie, figlia della sposa, incrina la loro unione; divise, le ragazze dovranno esplorare l’isola per risolvere un puzzle sul vero senso della libertà, in un’avventura che metterà alla prova il loro legame. Di Alessandro Barbucci e Giovanni Di Gregorio (qui il vol. 6; 72 pagine, cartonato 19,5x27).</t>
        </is>
      </c>
      <c r="M223" s="14" t="inlineStr">
        <is>
          <t>https://www.ibs.it/x/e/9788867908097</t>
        </is>
      </c>
    </row>
    <row r="224">
      <c r="A224" s="14" t="inlineStr">
        <is>
          <t>Scuola media (11-13)</t>
        </is>
      </c>
      <c r="B224" s="14" t="inlineStr">
        <is>
          <t>Tunuè</t>
        </is>
      </c>
      <c r="C224" s="14" t="inlineStr">
        <is>
          <t>American Born Chinese</t>
        </is>
      </c>
      <c r="D224" s="14" t="inlineStr">
        <is>
          <t>Gene Luen Yang</t>
        </is>
      </c>
      <c r="E224" s="14" t="inlineStr">
        <is>
          <t>12+</t>
        </is>
      </c>
      <c r="F224" s="16" t="n">
        <v>19</v>
      </c>
      <c r="G224" s="14" t="inlineStr">
        <is>
          <t>9788867904662</t>
        </is>
      </c>
      <c r="H224" s="14" t="inlineStr"/>
      <c r="I224" s="14" t="inlineStr">
        <is>
          <t>Sì</t>
        </is>
      </c>
      <c r="J224" s="14" t="inlineStr">
        <is>
          <t>Tipitondi / Young Adult</t>
        </is>
      </c>
      <c r="K224" s="14" t="inlineStr">
        <is>
          <t>Bullismo, identità e razzismo</t>
        </is>
      </c>
      <c r="L224" s="14" t="inlineStr">
        <is>
          <t>Tutto quello che Jin Wang vorrebbe è integrarsi, ma quando la sua famiglia si trasferisce in una nuova zona scopre di essere l’unico ragazzo cino-americano della sua scuola: i bulli lo prendono di mira e a stento riesce a farsi un amico; in più si innamora di una ragazza americana. Tre storie parallele destinate a congiungersi: quella di Jin, quella del Re Scimmia, antica leggenda cinese, e quella di Danny, costretto a cambiare scuola ogni anno dopo la visita del cugino Chin-Kee, stereotipo negativo del cinese. Di Gene Luen Yang, primo graphic novel nominato al National Book Award e vincitore del Printz Award, da cui è tratta una serie Disney+. Temi: bullismo, identità e integrazione.</t>
        </is>
      </c>
      <c r="M224" s="14" t="inlineStr"/>
    </row>
    <row r="225">
      <c r="A225" s="14" t="inlineStr">
        <is>
          <t>Adolescenza (14+)</t>
        </is>
      </c>
      <c r="B225" s="14" t="inlineStr">
        <is>
          <t>Tunuè</t>
        </is>
      </c>
      <c r="C225" s="14" t="inlineStr">
        <is>
          <t>Angelica e il principe orso (in arrivo)</t>
        </is>
      </c>
      <c r="D225" s="14" t="inlineStr"/>
      <c r="E225" s="14" t="inlineStr">
        <is>
          <t>12-21</t>
        </is>
      </c>
      <c r="F225" s="16" t="n">
        <v>17.5</v>
      </c>
      <c r="G225" s="14" t="inlineStr">
        <is>
          <t>9788867908424</t>
        </is>
      </c>
      <c r="H225" s="14" t="inlineStr"/>
      <c r="I225" s="14" t="inlineStr">
        <is>
          <t>Sì</t>
        </is>
      </c>
      <c r="J225" s="14" t="inlineStr">
        <is>
          <t>Young Adult</t>
        </is>
      </c>
      <c r="K225" s="14" t="inlineStr"/>
      <c r="L225" s="14" t="inlineStr">
        <is>
          <t>Dall’autore vincitore del Premio Mare di Libri, un emozionante romanzo sul burnout, l’amore e la ricerca di sé. Dopo aver inseguito per anni la perfezione, Angelica si ritrova smarrita in una vita che non riconosce più. Quando Peri, la mascotte del teatro locale, riaccende in lei la voglia di sognare, decide di accettare un tirocinio estivo dietro le quinte. Tra misteri, nuove emozioni e le luci del palcoscenico, Angelica intraprenderà un percorso che le insegnerà ad accettare le proprie fragilità e a guardare al futuro con occhi diversi. Una storia d’amore slow-burn dolce e coinvolgente.</t>
        </is>
      </c>
      <c r="M225" s="14" t="inlineStr">
        <is>
          <t>https://www.ibs.it/x/e/9788867908424</t>
        </is>
      </c>
    </row>
    <row r="226">
      <c r="A226" s="14" t="inlineStr">
        <is>
          <t>Adolescenza (14+)</t>
        </is>
      </c>
      <c r="B226" s="14" t="inlineStr">
        <is>
          <t>Tunuè</t>
        </is>
      </c>
      <c r="C226" s="14" t="inlineStr">
        <is>
          <t>L’Attraversaspecchi, vol. 1 – Fidanzati dell’inverno</t>
        </is>
      </c>
      <c r="D226" s="14" t="inlineStr"/>
      <c r="E226" s="14" t="inlineStr">
        <is>
          <t>12-21</t>
        </is>
      </c>
      <c r="F226" s="16" t="n">
        <v>27</v>
      </c>
      <c r="G226" s="14" t="inlineStr">
        <is>
          <t>9788867908721</t>
        </is>
      </c>
      <c r="H226" s="14" t="inlineStr"/>
      <c r="I226" s="14" t="inlineStr">
        <is>
          <t>Sì</t>
        </is>
      </c>
      <c r="J226" s="14" t="inlineStr">
        <is>
          <t>Young Adult</t>
        </is>
      </c>
      <c r="K226" s="14" t="inlineStr"/>
      <c r="L226" s="14" t="inlineStr">
        <is>
          <t>Ofelia è una ragazza timida e trasandata, ma possiede due doni eccezionali: può leggere il passato degli oggetti e attraversare gli specchi. La sua vita tranquilla su Anima viene sconvolta quando viene data in sposa a Thorn, un uomo enigmatico e glaciale appartenente alla lontana arca del Polo. Inizia così un viaggio pericoloso tra intrighi di corte e poteri ancestrali.</t>
        </is>
      </c>
      <c r="M226" s="14" t="inlineStr">
        <is>
          <t>https://www.ibs.it/x/e/9788867908721</t>
        </is>
      </c>
    </row>
    <row r="227">
      <c r="A227" s="14" t="inlineStr">
        <is>
          <t>Adolescenza (14+)</t>
        </is>
      </c>
      <c r="B227" s="14" t="inlineStr">
        <is>
          <t>Tunuè</t>
        </is>
      </c>
      <c r="C227" s="14" t="inlineStr">
        <is>
          <t>Noi due</t>
        </is>
      </c>
      <c r="D227" s="14" t="inlineStr"/>
      <c r="E227" s="14" t="inlineStr">
        <is>
          <t>12-21</t>
        </is>
      </c>
      <c r="F227" s="16" t="n">
        <v>17.5</v>
      </c>
      <c r="G227" s="14" t="inlineStr">
        <is>
          <t>9788867906895</t>
        </is>
      </c>
      <c r="H227" s="14" t="inlineStr"/>
      <c r="I227" s="14" t="inlineStr">
        <is>
          <t>Sì</t>
        </is>
      </c>
      <c r="J227" s="14" t="inlineStr">
        <is>
          <t>Young Adult</t>
        </is>
      </c>
      <c r="K227" s="14" t="inlineStr">
        <is>
          <t>Relazioni</t>
        </is>
      </c>
      <c r="L227" s="14" t="inlineStr">
        <is>
          <t>Sara e Diana vivono una storia d’amore autentica e quotidiana. Quando Diana intraprende il suo percorso ditransizione di genere, il loro legame non si spezza: evolve, trovando nuovi equilibri traidentità, cambiamento e crescita personale. Tratto da una storia vera, questo racconto unisce amore LGBTQ+, relazioni di coppia, empatia e accettazione, tra momenti di ironia, dubbi e tenerezza. Una storia intensa e attuale sulla bellezza direstare insieme e scegliere ogni giorno chi si è davvero.</t>
        </is>
      </c>
      <c r="M227" s="14" t="inlineStr">
        <is>
          <t>https://www.ibs.it/x/e/9788867906895</t>
        </is>
      </c>
    </row>
    <row r="228">
      <c r="A228" s="14" t="inlineStr">
        <is>
          <t>Prime letture (6-8)</t>
        </is>
      </c>
      <c r="B228" s="14" t="inlineStr">
        <is>
          <t>Cronache Ribelli</t>
        </is>
      </c>
      <c r="C228" s="14" t="inlineStr">
        <is>
          <t>C’era una (ri)volta – Quaranta storie da leggere e colorare (vol. I)</t>
        </is>
      </c>
      <c r="D228" s="14" t="inlineStr"/>
      <c r="E228" s="14" t="inlineStr">
        <is>
          <t>6-10 anni</t>
        </is>
      </c>
      <c r="F228" s="16" t="n">
        <v>9</v>
      </c>
      <c r="G228" s="14" t="inlineStr">
        <is>
          <t>9791280257048</t>
        </is>
      </c>
      <c r="H228" s="14" t="inlineStr"/>
      <c r="I228" s="14" t="inlineStr">
        <is>
          <t>Sì</t>
        </is>
      </c>
      <c r="J228" s="14" t="inlineStr">
        <is>
          <t>Libri per bambin* e ragazz*</t>
        </is>
      </c>
      <c r="K228" s="14" t="inlineStr">
        <is>
          <t>Diritti, antirazzismo, omofobia, violenza di genere, povertà</t>
        </is>
      </c>
      <c r="L228" s="14" t="inlineStr">
        <is>
          <t>Quaranta storie vere di ribellione e di lotte per i diritti, raccontate con un linguaggio semplice e pensato per bambine e bambini, ognuna con un’illustrazione da colorare. Il libro invita i piccoli lettori a interagire e a personalizzarlo, così che ogni copia diventi unica.</t>
        </is>
      </c>
      <c r="M228" s="14" t="inlineStr">
        <is>
          <t>https://cronacheribelli.it/products/cera-una-rivolta-quaranta-storie-da-leggere-e-colorare</t>
        </is>
      </c>
    </row>
    <row r="229">
      <c r="A229" s="14" t="inlineStr">
        <is>
          <t>Prime letture (6-8)</t>
        </is>
      </c>
      <c r="B229" s="14" t="inlineStr">
        <is>
          <t>Cronache Ribelli</t>
        </is>
      </c>
      <c r="C229" s="14" t="inlineStr">
        <is>
          <t>C’era una (ri)volta – Quaranta storie da leggere e colorare (vol. II)</t>
        </is>
      </c>
      <c r="D229" s="14" t="inlineStr"/>
      <c r="E229" s="14" t="inlineStr">
        <is>
          <t>6-10 anni</t>
        </is>
      </c>
      <c r="F229" s="16" t="n">
        <v>18</v>
      </c>
      <c r="G229" s="14" t="inlineStr">
        <is>
          <t>9791280257093</t>
        </is>
      </c>
      <c r="H229" s="14" t="inlineStr"/>
      <c r="I229" s="14" t="inlineStr">
        <is>
          <t>Sì</t>
        </is>
      </c>
      <c r="J229" s="14" t="inlineStr">
        <is>
          <t>Libri per bambin* e ragazz*</t>
        </is>
      </c>
      <c r="K229" s="14" t="inlineStr">
        <is>
          <t>Diritti, antirazzismo, lotte sociali</t>
        </is>
      </c>
      <c r="L229" s="14" t="inlineStr">
        <is>
          <t>Il secondo volume, con quaranta nuove storie di ribellione e altrettanti disegni da colorare. Il libro invita i piccoli lettori a interagire e a personalizzarlo, così che ogni copia diventi unica.</t>
        </is>
      </c>
      <c r="M229" s="14" t="inlineStr">
        <is>
          <t>https://cronacheribelli.it/products/cera-una-rivolta-volume-ii-quaranta-storie-da-leggere-e-colorare</t>
        </is>
      </c>
    </row>
    <row r="230">
      <c r="A230" s="14" t="inlineStr">
        <is>
          <t>3-6 anni</t>
        </is>
      </c>
      <c r="B230" s="14" t="inlineStr">
        <is>
          <t>Cronache Ribelli</t>
        </is>
      </c>
      <c r="C230" s="14" t="inlineStr">
        <is>
          <t>Laika e i cani venuti dallo spazio</t>
        </is>
      </c>
      <c r="D230" s="14" t="inlineStr">
        <is>
          <t>Francesco Velardi; ill. Francesca Mantuano</t>
        </is>
      </c>
      <c r="E230" s="14" t="inlineStr">
        <is>
          <t>da 3 anni</t>
        </is>
      </c>
      <c r="F230" s="16" t="n">
        <v>18</v>
      </c>
      <c r="G230" s="14" t="inlineStr"/>
      <c r="H230" s="14" t="inlineStr"/>
      <c r="I230" s="14" t="inlineStr">
        <is>
          <t>Sì</t>
        </is>
      </c>
      <c r="J230" s="14" t="inlineStr">
        <is>
          <t>Libri per bambin* e ragazz*</t>
        </is>
      </c>
      <c r="K230" s="14" t="inlineStr"/>
      <c r="L230" s="14" t="inlineStr">
        <is>
          <t>Tutti conoscono la storia di Laika, la cagnetta mandata nello spazio. Ma se le cose fossero andate diversamente? In questa favola, mentre la Terra si allontana, Laika incontra creature simili a lei: viaggiatori del cosmo venuti da mondi lontani che hanno imparato a vivere in armonia col loro pianeta, invece che devastarlo. Il libro riscrive il finale di una delle storie più tristi del Novecento e lo trasforma in un racconto di speranza, che parla di amore, empatia e rispetto per ogni forma di vita.</t>
        </is>
      </c>
      <c r="M230" s="14" t="inlineStr">
        <is>
          <t>https://cronacheribelli.it/products/laika-e-i-cani-venuti-dallo-spazio</t>
        </is>
      </c>
    </row>
    <row r="231">
      <c r="A231" s="14" t="inlineStr">
        <is>
          <t>3-6 anni</t>
        </is>
      </c>
      <c r="B231" s="14" t="inlineStr">
        <is>
          <t>Dalia Edizioni</t>
        </is>
      </c>
      <c r="C231" s="14" t="inlineStr">
        <is>
          <t>Alla scoperta della libertà</t>
        </is>
      </c>
      <c r="D231" s="14" t="inlineStr">
        <is>
          <t>Giulia Ceccarani</t>
        </is>
      </c>
      <c r="E231" s="14" t="inlineStr">
        <is>
          <t>5+</t>
        </is>
      </c>
      <c r="F231" s="16" t="n">
        <v>12.9</v>
      </c>
      <c r="G231" s="14" t="inlineStr">
        <is>
          <t>9788899207564</t>
        </is>
      </c>
      <c r="H231" s="14" t="inlineStr"/>
      <c r="I231" s="14" t="inlineStr">
        <is>
          <t>Sì</t>
        </is>
      </c>
      <c r="J231" s="14" t="inlineStr">
        <is>
          <t>Dalia Ragazzi</t>
        </is>
      </c>
      <c r="K231" s="14" t="inlineStr">
        <is>
          <t>Libertà, regole ed educazione civica</t>
        </is>
      </c>
      <c r="L231" s="14" t="inlineStr">
        <is>
          <t>Dieci bambine e bambini, chiusi in casa da settimane per il brutto tempo, non ne possono più delle regole dei grandi: appena spunta il sole decidono di disobbedire alla prima regola del condominio, “tenersi alla larga dal cortile”. Il cortile segreto promette di essere lo spazio in cui essere finalmente liberi, ma sarà proprio così? Una storia alla scoperta del senso e del valore della parola libertà. Narrativa illustrata, 64 pagine.</t>
        </is>
      </c>
      <c r="M231" s="14" t="inlineStr">
        <is>
          <t>https://www.ibs.it/x/e/9788899207564</t>
        </is>
      </c>
    </row>
    <row r="232">
      <c r="A232" s="14" t="inlineStr">
        <is>
          <t>3-6 anni</t>
        </is>
      </c>
      <c r="B232" s="14" t="inlineStr">
        <is>
          <t>Dalia Edizioni</t>
        </is>
      </c>
      <c r="C232" s="14" t="inlineStr">
        <is>
          <t>Argo e Calypso, cani da biblioteca</t>
        </is>
      </c>
      <c r="D232" s="14" t="inlineStr">
        <is>
          <t>Andrea Laprovitera; ill. Andrea Camič</t>
        </is>
      </c>
      <c r="E232" s="14" t="inlineStr">
        <is>
          <t>5+</t>
        </is>
      </c>
      <c r="F232" s="16" t="n">
        <v>12.9</v>
      </c>
      <c r="G232" s="14" t="inlineStr">
        <is>
          <t>9788899207489</t>
        </is>
      </c>
      <c r="H232" s="14" t="inlineStr"/>
      <c r="I232" s="14" t="inlineStr">
        <is>
          <t>Sì</t>
        </is>
      </c>
      <c r="J232" s="14" t="inlineStr">
        <is>
          <t>Dalia Ragazzi</t>
        </is>
      </c>
      <c r="K232" s="14" t="inlineStr">
        <is>
          <t>Bullismo, timidezza e coraggio</t>
        </is>
      </c>
      <c r="L232" s="14" t="inlineStr">
        <is>
          <t>Argo e Calypso sono due cani da biblioteca: aiutano le bambine e i bambini della biblioteca Bensilegge a scegliere il libro giusto tra gli scaffali, poi si accucciano e aspettano la lettura ad alta voce. Questa volta devono aiutare Giulia e Lorenzo, due compagni timidi presi di mira da un gruppo di bulli che rovina la loro gita in biblioteca: servirebbe il coraggio di affrontarli. Narrativa illustrata, 64 pagine.</t>
        </is>
      </c>
      <c r="M232" s="14" t="inlineStr">
        <is>
          <t>https://www.ibs.it/x/e/9788899207489</t>
        </is>
      </c>
    </row>
    <row r="233">
      <c r="A233" s="14" t="inlineStr">
        <is>
          <t>3-6 anni</t>
        </is>
      </c>
      <c r="B233" s="14" t="inlineStr">
        <is>
          <t>Dalia Edizioni</t>
        </is>
      </c>
      <c r="C233" s="14" t="inlineStr">
        <is>
          <t>Arturo e Nadir</t>
        </is>
      </c>
      <c r="D233" s="14" t="inlineStr">
        <is>
          <t>Roberta Argenti; ill. Andrea Camič</t>
        </is>
      </c>
      <c r="E233" s="14" t="inlineStr">
        <is>
          <t>5+</t>
        </is>
      </c>
      <c r="F233" s="16" t="n">
        <v>12.9</v>
      </c>
      <c r="G233" s="14" t="inlineStr">
        <is>
          <t>9788899207311</t>
        </is>
      </c>
      <c r="H233" s="14" t="inlineStr"/>
      <c r="I233" s="14" t="inlineStr">
        <is>
          <t>Sì</t>
        </is>
      </c>
      <c r="J233" s="14" t="inlineStr">
        <is>
          <t>Dalia Ragazzi</t>
        </is>
      </c>
      <c r="K233" s="14" t="inlineStr">
        <is>
          <t>Amicizia, multicultura e pace</t>
        </is>
      </c>
      <c r="L233" s="14" t="inlineStr">
        <is>
          <t>Racconto sul valore dell’amicizia tra due bambini di culture diverse. In un mondo dominato dalla guerra e dall’odio, Arturo e Nadir sembrano non potersi più incontrare, ma Arturo ha fatto una promessa e vuole mantenerla: con la complicità delle stelle e dei pesci attraversa il mare in una sola notte per raggiungere il suo amico. Un’amicizia così forte da annullare distanze e confini. Narrativa illustrata a colori, 40 pagine.</t>
        </is>
      </c>
      <c r="M233" s="14" t="inlineStr">
        <is>
          <t>https://www.ibs.it/x/e/9788899207311</t>
        </is>
      </c>
    </row>
    <row r="234">
      <c r="A234" s="14" t="inlineStr">
        <is>
          <t>3-6 anni</t>
        </is>
      </c>
      <c r="B234" s="14" t="inlineStr">
        <is>
          <t>Dalia Edizioni</t>
        </is>
      </c>
      <c r="C234" s="14" t="inlineStr">
        <is>
          <t>Damian e la Lupa</t>
        </is>
      </c>
      <c r="D234" s="14" t="inlineStr">
        <is>
          <t>Paola Roela; ill. Andrea Camič</t>
        </is>
      </c>
      <c r="E234" s="14" t="inlineStr">
        <is>
          <t>5+</t>
        </is>
      </c>
      <c r="F234" s="16" t="n">
        <v>12.9</v>
      </c>
      <c r="G234" s="14" t="inlineStr">
        <is>
          <t>9788899207212</t>
        </is>
      </c>
      <c r="H234" s="14" t="inlineStr"/>
      <c r="I234" s="14" t="inlineStr">
        <is>
          <t>Sì</t>
        </is>
      </c>
      <c r="J234" s="14" t="inlineStr">
        <is>
          <t>Dalia Ragazzi</t>
        </is>
      </c>
      <c r="K234" s="14" t="inlineStr">
        <is>
          <t>Amicizia e aiuto reciproco</t>
        </is>
      </c>
      <c r="L234" s="14" t="inlineStr">
        <is>
          <t>Racconto poetico sul reciproco aiuto e su un’amicizia nata tra un bambino e una lupa. Due fratelli, Damian e April, vengono rapiti e portati in un bosco: riescono a scappare, ma April cade e perde i sensi. Solo l’intervento di una lupa li tira fuori da quella situazione; anche la lupa, però, ha bisogno di Damian per salvare il suo piccolo, e tra loro nasce una grande amicizia. Narrativa illustrata a colori, 40 pagine.</t>
        </is>
      </c>
      <c r="M234" s="14" t="inlineStr">
        <is>
          <t>https://www.ibs.it/x/e/9788899207212</t>
        </is>
      </c>
    </row>
    <row r="235">
      <c r="A235" s="14" t="inlineStr">
        <is>
          <t>3-6 anni</t>
        </is>
      </c>
      <c r="B235" s="14" t="inlineStr">
        <is>
          <t>Dalia Edizioni</t>
        </is>
      </c>
      <c r="C235" s="14" t="inlineStr">
        <is>
          <t>Il mio superpotere è la gentilezza</t>
        </is>
      </c>
      <c r="D235" s="14" t="inlineStr">
        <is>
          <t>Giulia Ceccarani</t>
        </is>
      </c>
      <c r="E235" s="14" t="inlineStr">
        <is>
          <t>5+</t>
        </is>
      </c>
      <c r="F235" s="16" t="n">
        <v>12.9</v>
      </c>
      <c r="G235" s="14" t="inlineStr">
        <is>
          <t>9788899207403</t>
        </is>
      </c>
      <c r="H235" s="14" t="inlineStr"/>
      <c r="I235" s="14" t="inlineStr">
        <is>
          <t>Sì</t>
        </is>
      </c>
      <c r="J235" s="14" t="inlineStr">
        <is>
          <t>Dalia Ragazzi</t>
        </is>
      </c>
      <c r="K235" s="14" t="inlineStr">
        <is>
          <t>Gentilezza, rispetto e ambiente</t>
        </is>
      </c>
      <c r="L235" s="14" t="inlineStr">
        <is>
          <t>Mattia e nonno Renato amano la natura e ogni domenica vanno al parco tenendosi per mano, ma intorno a loro la città diventa sempre più grigia. Quando l’ultimo bel fiore del parco viene calpestato nell’indifferenza generale, un viaggio alla ricerca del significato della parola “gentilezza” porta Mattia a trovare il suo superpotere e a far nascere qualcosa di sorprendente da un fiore calpestato. Favola moderna illustrata, 64 pagine.</t>
        </is>
      </c>
      <c r="M235" s="14" t="inlineStr"/>
    </row>
    <row r="236">
      <c r="A236" s="14" t="inlineStr">
        <is>
          <t>3-6 anni</t>
        </is>
      </c>
      <c r="B236" s="14" t="inlineStr">
        <is>
          <t>Dalia Edizioni</t>
        </is>
      </c>
      <c r="C236" s="14" t="inlineStr">
        <is>
          <t>Il mistero di Pyrgi. Avventura tra gli Etruschi</t>
        </is>
      </c>
      <c r="D236" s="14" t="inlineStr">
        <is>
          <t>Chiarastella Campanelli; ill. Chiara Bongiovanni</t>
        </is>
      </c>
      <c r="E236" s="14" t="inlineStr">
        <is>
          <t>5+</t>
        </is>
      </c>
      <c r="F236" s="16" t="n">
        <v>12.9</v>
      </c>
      <c r="G236" s="14" t="inlineStr">
        <is>
          <t>9788899207502</t>
        </is>
      </c>
      <c r="H236" s="14" t="inlineStr"/>
      <c r="I236" s="14" t="inlineStr">
        <is>
          <t>Sì</t>
        </is>
      </c>
      <c r="J236" s="14" t="inlineStr">
        <is>
          <t>Dalia Ragazzi</t>
        </is>
      </c>
      <c r="K236" s="14" t="inlineStr">
        <is>
          <t>Storia: gli Etruschi</t>
        </is>
      </c>
      <c r="L236" s="14" t="inlineStr">
        <is>
          <t>Una nave etrusca arriva dopo una tempesta alla città di Pyrgi: a prua c’è Servio, marinaio che non sa ancora di avere nel suo futuro un tesoro di inestimabile valore, le tre lamine d’oro di Pyrgi. La storia, raccontata alla piccola Asia da sua nonna in riva al mare, porta tra templi e taverne dell’antico porto di Caere (oggi Cerveteri) alla scoperta dell’alfabeto etrusco. Ispirata alle lamine di Pyrgi, la “stele di Rosetta” dell’etrusco. Narrativa illustrata, 64 pagine.</t>
        </is>
      </c>
      <c r="M236" s="14" t="inlineStr">
        <is>
          <t>https://www.ibs.it/x/e/9788899207502</t>
        </is>
      </c>
    </row>
    <row r="237">
      <c r="A237" s="14" t="inlineStr">
        <is>
          <t>3-6 anni</t>
        </is>
      </c>
      <c r="B237" s="14" t="inlineStr">
        <is>
          <t>Dalia Edizioni</t>
        </is>
      </c>
      <c r="C237" s="14" t="inlineStr">
        <is>
          <t>Il vampiro Cicorione</t>
        </is>
      </c>
      <c r="D237" s="14" t="inlineStr">
        <is>
          <t>Silvia Crisostomi; ill. Daniel F. Pisanu</t>
        </is>
      </c>
      <c r="E237" s="14" t="inlineStr">
        <is>
          <t>5+</t>
        </is>
      </c>
      <c r="F237" s="16" t="n">
        <v>12.9</v>
      </c>
      <c r="G237" s="14" t="inlineStr">
        <is>
          <t>9788899207298</t>
        </is>
      </c>
      <c r="H237" s="14" t="inlineStr"/>
      <c r="I237" s="14" t="inlineStr">
        <is>
          <t>Sì</t>
        </is>
      </c>
      <c r="J237" s="14" t="inlineStr">
        <is>
          <t>Dalia Ragazzi</t>
        </is>
      </c>
      <c r="K237" s="14" t="inlineStr">
        <is>
          <t>Diversità e accettazione di sé</t>
        </is>
      </c>
      <c r="L237" s="14" t="inlineStr">
        <is>
          <t>In una rispettabilissima famiglia di vampiri, discendente dal conte Dracula, l’ultimo nato Pittran dà grandi preoccupazioni al suo papà, il temibile Galeazzo: a differenza dei fratelli è un tenerone sorridente e paffuto, incapace di spaventare chiunque, e per di più ama la verdura. Che cosa mai farà del suo futuro? Narrativa illustrata a colori, 40 pagine.</t>
        </is>
      </c>
      <c r="M237" s="14" t="inlineStr">
        <is>
          <t>https://www.ibs.it/x/e/9788899207298</t>
        </is>
      </c>
    </row>
    <row r="238">
      <c r="A238" s="14" t="inlineStr">
        <is>
          <t>3-6 anni</t>
        </is>
      </c>
      <c r="B238" s="14" t="inlineStr">
        <is>
          <t>Dalia Edizioni</t>
        </is>
      </c>
      <c r="C238" s="14" t="inlineStr">
        <is>
          <t>Slò, la magia della lentezza</t>
        </is>
      </c>
      <c r="D238" s="14" t="inlineStr">
        <is>
          <t>Giulia Ceccarani</t>
        </is>
      </c>
      <c r="E238" s="14" t="inlineStr">
        <is>
          <t>5+</t>
        </is>
      </c>
      <c r="F238" s="16" t="n">
        <v>12.9</v>
      </c>
      <c r="G238" s="14" t="inlineStr">
        <is>
          <t>9788899207472</t>
        </is>
      </c>
      <c r="H238" s="14" t="inlineStr"/>
      <c r="I238" s="14" t="inlineStr">
        <is>
          <t>Sì</t>
        </is>
      </c>
      <c r="J238" s="14" t="inlineStr">
        <is>
          <t>Dalia Ragazzi</t>
        </is>
      </c>
      <c r="K238" s="14" t="inlineStr">
        <is>
          <t>Lentezza, natura e rispetto</t>
        </is>
      </c>
      <c r="L238" s="14" t="inlineStr">
        <is>
          <t>Un’estate intera nella vecchia casa di campagna? Solo la piccola Slò sembra felice: papà Lorenzo è sicuro che si annoierà e Gaia è triste perché non potrà giocare con le amiche. Mamma Emma, che aspetta un fratellino, propone di giocare tutti al gioco di Slò: a passo di lumaca, nel prato e nell’orto della Casa delle Api, succedono cose straordinarie. Una storia sul valore della lentezza, della natura e del tempo condiviso. Narrativa illustrata, 64 pagine.</t>
        </is>
      </c>
      <c r="M238" s="14" t="inlineStr">
        <is>
          <t>https://www.ibs.it/x/e/9788899207472</t>
        </is>
      </c>
    </row>
    <row r="239">
      <c r="A239" s="14" t="inlineStr">
        <is>
          <t>8+</t>
        </is>
      </c>
      <c r="B239" s="14" t="inlineStr">
        <is>
          <t>Dalia Edizioni</t>
        </is>
      </c>
      <c r="C239" s="14" t="inlineStr">
        <is>
          <t>Febe e i gatti ruba storie</t>
        </is>
      </c>
      <c r="D239" s="14" t="inlineStr">
        <is>
          <t>Elisa Campaci; ill. Roberta Procacci</t>
        </is>
      </c>
      <c r="E239" s="14" t="inlineStr">
        <is>
          <t>8+</t>
        </is>
      </c>
      <c r="F239" s="16" t="n">
        <v>12.9</v>
      </c>
      <c r="G239" s="14" t="inlineStr">
        <is>
          <t>9788899207519</t>
        </is>
      </c>
      <c r="H239" s="14" t="inlineStr"/>
      <c r="I239" s="14" t="inlineStr">
        <is>
          <t>Sì</t>
        </is>
      </c>
      <c r="J239" s="14" t="inlineStr">
        <is>
          <t>Gli spericolati</t>
        </is>
      </c>
      <c r="K239" s="14" t="inlineStr">
        <is>
          <t>Lettura, scrittura e crescita</t>
        </is>
      </c>
      <c r="L239" s="14" t="inlineStr">
        <is>
          <t>Febe Cipriani ha dodici anni e una missione affidatale dalla madre: inventare storie per la sorellina appena nata. Il famoso scrittore Toni G. Dolwin le rivela un segreto: scovare la storia giusta è come acchiappare un gatto. Quando un gatto le ruba il foglio con il suo primo racconto, Febe e il suo strambo amico Olmo si lanciano in furti di storie e inseguimenti, sulle tracce di un insospettabile complotto. Narrativa per bambini, 160 pagine, collana Gli spericolati.</t>
        </is>
      </c>
      <c r="M239" s="14" t="inlineStr">
        <is>
          <t>https://www.ibs.it/x/e/9788899207519</t>
        </is>
      </c>
    </row>
    <row r="240">
      <c r="A240" s="14" t="inlineStr">
        <is>
          <t>Adolescenza (14+)</t>
        </is>
      </c>
      <c r="B240" s="14" t="inlineStr">
        <is>
          <t>Dalia Edizioni</t>
        </is>
      </c>
      <c r="C240" s="14" t="inlineStr">
        <is>
          <t>UVA. Una Vita Altrove</t>
        </is>
      </c>
      <c r="D240" s="14" t="inlineStr">
        <is>
          <t>Giovanni Capotombolo</t>
        </is>
      </c>
      <c r="E240" s="14" t="inlineStr">
        <is>
          <t>adolescenti</t>
        </is>
      </c>
      <c r="F240" s="16" t="n">
        <v>15</v>
      </c>
      <c r="G240" s="14" t="inlineStr">
        <is>
          <t>9788899207632</t>
        </is>
      </c>
      <c r="H240" s="14" t="inlineStr"/>
      <c r="I240" s="14" t="inlineStr">
        <is>
          <t>Sì</t>
        </is>
      </c>
      <c r="J240" s="14" t="inlineStr">
        <is>
          <t>Dalia Narrativa</t>
        </is>
      </c>
      <c r="K240" s="14" t="inlineStr">
        <is>
          <t>Adolescenza e futuro</t>
        </is>
      </c>
      <c r="L240" s="14" t="inlineStr">
        <is>
          <t>“Quando avevo dieci anni desideravo fare l’agente segreto, a quindici il tennista, a venti il batterista punk, a venticinque il terrorista buono, a trenta ho smesso di credere che sarei mai diventato grande.” UVA, Wally e Reeko sono tre adolescenti sicuri che la loro strada li porterà Altrove, lontano da un’esistenza già impacchettata, lontano dalle aspettative degli altri. Questa è la storia di un’amicizia e della passione per la musica, è la storia di tre ragazzi che insieme diventano adulti.</t>
        </is>
      </c>
      <c r="M240" s="14" t="inlineStr">
        <is>
          <t>https://www.ibs.it/x/e/9788899207632</t>
        </is>
      </c>
    </row>
    <row r="241">
      <c r="A241" s="14" t="inlineStr">
        <is>
          <t>8+</t>
        </is>
      </c>
      <c r="B241" s="14" t="inlineStr">
        <is>
          <t>Dalia Edizioni</t>
        </is>
      </c>
      <c r="C241" s="14" t="inlineStr">
        <is>
          <t>Loris Wood verso l’isola di plastica</t>
        </is>
      </c>
      <c r="D241" s="14" t="inlineStr">
        <is>
          <t>Iride Bartolucci</t>
        </is>
      </c>
      <c r="E241" s="14" t="inlineStr">
        <is>
          <t>da 8 anni</t>
        </is>
      </c>
      <c r="F241" s="16" t="n">
        <v>13.5</v>
      </c>
      <c r="G241" s="14" t="inlineStr">
        <is>
          <t>9788899207601</t>
        </is>
      </c>
      <c r="H241" s="14" t="inlineStr"/>
      <c r="I241" s="14" t="inlineStr">
        <is>
          <t>Sì</t>
        </is>
      </c>
      <c r="J241" s="14" t="inlineStr">
        <is>
          <t>Gli spericolati</t>
        </is>
      </c>
      <c r="K241" s="14" t="inlineStr"/>
      <c r="L241" s="14" t="inlineStr">
        <is>
          <t>Loris Wood è un dodicenne con il sogno di diventare il più grande giornalista ambientale di tutti i tempi. Insieme ai suoi amici Aron e Mirta dovrà capire perché sulla spiaggia della loro città, Fumigata, è arrivata una Bubbles&amp;Bath, una paperella di gomma naufragata nell’oceano Pacifico 30 anni prima. Cosa sta accadendo all’oceano? Esiste veramente un’isola di plastica grande come la Francia e perché la Dicono, un’organizzazione segreta, non vuole che Loris Wood sveli un imminente disastro ambientale?</t>
        </is>
      </c>
      <c r="M241" s="14" t="inlineStr">
        <is>
          <t>https://www.ibs.it/x/e/9788899207601</t>
        </is>
      </c>
    </row>
    <row r="242">
      <c r="A242" s="14" t="inlineStr">
        <is>
          <t>0-3 anni</t>
        </is>
      </c>
      <c r="B242" s="14" t="inlineStr">
        <is>
          <t>Edizioni Corsare</t>
        </is>
      </c>
      <c r="C242" s="14" t="inlineStr">
        <is>
          <t>Amici?</t>
        </is>
      </c>
      <c r="D242" s="14" t="inlineStr">
        <is>
          <t>Brunella Baldi</t>
        </is>
      </c>
      <c r="E242" s="14" t="inlineStr">
        <is>
          <t>da 2 anni</t>
        </is>
      </c>
      <c r="F242" s="16" t="n">
        <v>15</v>
      </c>
      <c r="G242" s="14" t="inlineStr">
        <is>
          <t>9788899136192</t>
        </is>
      </c>
      <c r="H242" s="14" t="inlineStr"/>
      <c r="I242" s="14" t="inlineStr">
        <is>
          <t>Sì</t>
        </is>
      </c>
      <c r="J242" s="14" t="inlineStr">
        <is>
          <t>Area ragazzi (albi illustrati)</t>
        </is>
      </c>
      <c r="K242" s="14" t="inlineStr">
        <is>
          <t>Amicizia</t>
        </is>
      </c>
      <c r="L242" s="14" t="inlineStr">
        <is>
          <t>Silent book: Tibù vorrebbe fare amicizia con Ubà, ma lei è dispettosa, rompe i suoi giochi e ignora i suoi regalini; però lo guarda ed è sempre nei paraggi. Alla fine Ubà si arrende e i due giocano insieme felici, ma un terzo personaggio li osserva: è Tip, il coniglietto. Di Brunella Baldi, 32 pagine.</t>
        </is>
      </c>
      <c r="M242" s="14" t="inlineStr"/>
    </row>
    <row r="243">
      <c r="A243" s="14" t="inlineStr">
        <is>
          <t>3-6 anni</t>
        </is>
      </c>
      <c r="B243" s="14" t="inlineStr">
        <is>
          <t>Edizioni Corsare</t>
        </is>
      </c>
      <c r="C243" s="14" t="inlineStr">
        <is>
          <t>Brava Chiocciolina!</t>
        </is>
      </c>
      <c r="D243" s="14" t="inlineStr">
        <is>
          <t>Silvia Vecchini; ill. Carla Manea</t>
        </is>
      </c>
      <c r="E243" s="14" t="inlineStr">
        <is>
          <t>da 3 anni</t>
        </is>
      </c>
      <c r="F243" s="16" t="n">
        <v>16</v>
      </c>
      <c r="G243" s="14" t="inlineStr">
        <is>
          <t>9788899136871</t>
        </is>
      </c>
      <c r="H243" s="14" t="inlineStr"/>
      <c r="I243" s="14" t="inlineStr">
        <is>
          <t>Sì</t>
        </is>
      </c>
      <c r="J243" s="14" t="inlineStr">
        <is>
          <t>Area ragazzi (albi illustrati)</t>
        </is>
      </c>
      <c r="K243" s="14" t="inlineStr">
        <is>
          <t>Fiducia in sé stessi</t>
        </is>
      </c>
      <c r="L243" s="14" t="inlineStr">
        <is>
          <t>Chiocciolina sta bene nella sua casetta, ma la mamma la invita a uscire per conoscere gli altri abitanti del prato: il Grillo, la Libellula, la Formica, il Ragno… ciascuno sa fare qualcosa! E lei cosa sa fare? Non ha una risposta, sarà la mamma a farglielo vedere. Un testo semplice per dare fiducia al bambino e indurlo a sperimentare. Di Silvia Vecchini, illustrazioni di Carla Manea, 32 pagine.</t>
        </is>
      </c>
      <c r="M243" s="14" t="inlineStr"/>
    </row>
    <row r="244">
      <c r="A244" s="14" t="inlineStr">
        <is>
          <t>3-6 anni</t>
        </is>
      </c>
      <c r="B244" s="14" t="inlineStr">
        <is>
          <t>Edizioni Corsare</t>
        </is>
      </c>
      <c r="C244" s="14" t="inlineStr">
        <is>
          <t>Brava Chiocciolina! – versione InBook con simboli (CAA)</t>
        </is>
      </c>
      <c r="D244" s="14" t="inlineStr">
        <is>
          <t>Silvia Vecchini; ill. Carla Manea</t>
        </is>
      </c>
      <c r="E244" s="14" t="inlineStr">
        <is>
          <t>da 3 anni</t>
        </is>
      </c>
      <c r="F244" s="16" t="n">
        <v>16</v>
      </c>
      <c r="G244" s="14" t="inlineStr">
        <is>
          <t>9788899136963</t>
        </is>
      </c>
      <c r="H244" s="14" t="inlineStr">
        <is>
          <t>Sì</t>
        </is>
      </c>
      <c r="I244" s="14" t="inlineStr">
        <is>
          <t>Sì</t>
        </is>
      </c>
      <c r="J244" s="14" t="inlineStr">
        <is>
          <t>Area ragazzi (albi illustrati)</t>
        </is>
      </c>
      <c r="K244" s="14" t="inlineStr">
        <is>
          <t>Fiducia in sé stessi e inclusione</t>
        </is>
      </c>
      <c r="L244" s="14" t="inlineStr">
        <is>
          <t>Edizione con il testo integralmente espresso in simboli per facilitare la lettura (Comunicazione Alternativa Aumentativa). Chiocciolina sta bene nella sua casetta, ma la mamma la invita a uscire e conoscere gli altri abitanti del prato; ciascuno sa fare qualcosa, e lei? Un testo semplice per dare fiducia al bambino. Si legge a voce alta indicando i riquadri con il dito, senza modificare velocità e ritmo della lettura originale. Di Silvia Vecchini, illustrazioni di Carla Manea, 32 pagine.</t>
        </is>
      </c>
      <c r="M244" s="14" t="inlineStr"/>
    </row>
    <row r="245">
      <c r="A245" s="14" t="inlineStr">
        <is>
          <t>3-6 anni</t>
        </is>
      </c>
      <c r="B245" s="14" t="inlineStr">
        <is>
          <t>Edizioni Corsare</t>
        </is>
      </c>
      <c r="C245" s="14" t="inlineStr">
        <is>
          <t>Casa casina</t>
        </is>
      </c>
      <c r="D245" s="14" t="inlineStr">
        <is>
          <t>Manuela Mapelli</t>
        </is>
      </c>
      <c r="E245" s="14" t="inlineStr">
        <is>
          <t>da 3 anni</t>
        </is>
      </c>
      <c r="F245" s="16" t="n">
        <v>15</v>
      </c>
      <c r="G245" s="14" t="inlineStr">
        <is>
          <t>9788899136079</t>
        </is>
      </c>
      <c r="H245" s="14" t="inlineStr"/>
      <c r="I245" s="14" t="inlineStr">
        <is>
          <t>Sì</t>
        </is>
      </c>
      <c r="J245" s="14" t="inlineStr">
        <is>
          <t>Area ragazzi (albi illustrati)</t>
        </is>
      </c>
      <c r="K245" s="14" t="inlineStr">
        <is>
          <t>Diritto alla casa</t>
        </is>
      </c>
      <c r="L245" s="14" t="inlineStr">
        <is>
          <t>Con grande armonia tra grafica e testo, l’autrice descrive il bene di tutti: la casa, che può avere le forme e le dimensioni più diverse ma che è sempre rifugio e irrinunciabile diritto, soprattutto per i bambini. “Casa casina sopra ad un monte, casa riparo sotto ad un ponte…”. Testo e illustrazioni di Manuela Mapelli, 32 pagine.</t>
        </is>
      </c>
      <c r="M245" s="14" t="inlineStr"/>
    </row>
    <row r="246">
      <c r="A246" s="14" t="inlineStr">
        <is>
          <t>3-6 anni</t>
        </is>
      </c>
      <c r="B246" s="14" t="inlineStr">
        <is>
          <t>Edizioni Corsare</t>
        </is>
      </c>
      <c r="C246" s="14" t="inlineStr">
        <is>
          <t>Cerotti</t>
        </is>
      </c>
      <c r="D246" s="14" t="inlineStr">
        <is>
          <t>Anna Celani; ill. Emma Pulcinelli</t>
        </is>
      </c>
      <c r="E246" s="14" t="inlineStr">
        <is>
          <t>da 3 anni</t>
        </is>
      </c>
      <c r="F246" s="16" t="n">
        <v>16</v>
      </c>
      <c r="G246" s="14" t="inlineStr">
        <is>
          <t>9791282131001</t>
        </is>
      </c>
      <c r="H246" s="14" t="inlineStr"/>
      <c r="I246" s="14" t="inlineStr">
        <is>
          <t>Sì</t>
        </is>
      </c>
      <c r="J246" s="14" t="inlineStr">
        <is>
          <t>Area ragazzi (albi illustrati)</t>
        </is>
      </c>
      <c r="K246" s="14" t="inlineStr">
        <is>
          <t>Fragilità, coraggio e intraprendenza</t>
        </is>
      </c>
      <c r="L246" s="14" t="inlineStr">
        <is>
          <t>La piccola tartaruga Nina guarda ogni giorno le altre tartarughe giocare dalla finestra: «Sai che per te non è sicuro», le dicono mamma e papà, perché il suo guscio è fragile e pieno di cerotti. Nina decide di partire per trovare chi possa aiutarla: non vuole più restare chiusa in casa e nel viaggio conoscerà il gioco, nuovi amici e luoghi sconosciuti. Fragilità, coraggio, intraprendenza. Di Anna Celani, illustrazioni di Emma Pulcinelli, 32 pagine.</t>
        </is>
      </c>
      <c r="M246" s="14" t="inlineStr"/>
    </row>
    <row r="247">
      <c r="A247" s="14" t="inlineStr">
        <is>
          <t>3-6 anni</t>
        </is>
      </c>
      <c r="B247" s="14" t="inlineStr">
        <is>
          <t>Edizioni Corsare</t>
        </is>
      </c>
      <c r="C247" s="14" t="inlineStr">
        <is>
          <t>Cromosomi</t>
        </is>
      </c>
      <c r="D247" s="14" t="inlineStr">
        <is>
          <t>Fabian Negrin; ill. Kalina Muhova</t>
        </is>
      </c>
      <c r="E247" s="14" t="inlineStr">
        <is>
          <t>da 5 anni e per tutti</t>
        </is>
      </c>
      <c r="F247" s="16" t="n">
        <v>18.9</v>
      </c>
      <c r="G247" s="14" t="inlineStr">
        <is>
          <t>9788899136536</t>
        </is>
      </c>
      <c r="H247" s="14" t="inlineStr"/>
      <c r="I247" s="14" t="inlineStr">
        <is>
          <t>Sì</t>
        </is>
      </c>
      <c r="J247" s="14" t="inlineStr">
        <is>
          <t>Area ragazzi (albi illustrati)</t>
        </is>
      </c>
      <c r="K247" s="14" t="inlineStr">
        <is>
          <t>Origine comune degli esseri umani e famiglie</t>
        </is>
      </c>
      <c r="L247" s="14" t="inlineStr">
        <is>
          <t>La storia di una famiglia raccontata a ritroso nel tempo: provenienze geografiche disparate nel patrimonio genetico, indietro indietro fino a Lucy, l’antenata di tutti. Un viaggio straordinario, paradigma di tutte le famiglie, a segnalare l’origine comune degli esseri umani. Di Fabian Negrin, con le illustrazioni di Kalina Muhova, 40 pagine.</t>
        </is>
      </c>
      <c r="M247" s="14" t="inlineStr"/>
    </row>
    <row r="248">
      <c r="A248" s="14" t="inlineStr">
        <is>
          <t>3-6 anni</t>
        </is>
      </c>
      <c r="B248" s="14" t="inlineStr">
        <is>
          <t>Edizioni Corsare</t>
        </is>
      </c>
      <c r="C248" s="14" t="inlineStr">
        <is>
          <t>Farfalle</t>
        </is>
      </c>
      <c r="D248" s="14" t="inlineStr">
        <is>
          <t>Lisa Riccardi; ill. Anna Mosca</t>
        </is>
      </c>
      <c r="E248" s="14" t="inlineStr">
        <is>
          <t>da 5 anni</t>
        </is>
      </c>
      <c r="F248" s="16" t="n">
        <v>18</v>
      </c>
      <c r="G248" s="14" t="inlineStr">
        <is>
          <t>9788899136949</t>
        </is>
      </c>
      <c r="H248" s="14" t="inlineStr"/>
      <c r="I248" s="14" t="inlineStr">
        <is>
          <t>Sì</t>
        </is>
      </c>
      <c r="J248" s="14" t="inlineStr">
        <is>
          <t>Area ragazzi (albi illustrati)</t>
        </is>
      </c>
      <c r="K248" s="14" t="inlineStr">
        <is>
          <t>Primi amori ed emozioni</t>
        </is>
      </c>
      <c r="L248" s="14" t="inlineStr">
        <is>
          <t>Non so che mi succede. Avete presente il primo morso a una pizza, il giorno in cui mamma ci ha promesso un cane, la prima lezione di chitarra? Ecco, Lei è molto, molto di più. È grave? Molto, molto grave. Non esiste una medicina per questa cosa qua: e se non le piacessi? L’amore, all’improvviso. Vincitore assoluto Libro Illustrato 2025 (Il gigante delle Langhe). Di Lisa Riccardi, illustrazioni di Anna Mosca, 32 pagine.</t>
        </is>
      </c>
      <c r="M248" s="14" t="inlineStr"/>
    </row>
    <row r="249">
      <c r="A249" s="14" t="inlineStr">
        <is>
          <t>3-6 anni</t>
        </is>
      </c>
      <c r="B249" s="14" t="inlineStr">
        <is>
          <t>Edizioni Corsare</t>
        </is>
      </c>
      <c r="C249" s="14" t="inlineStr">
        <is>
          <t>Igor</t>
        </is>
      </c>
      <c r="D249" s="14" t="inlineStr">
        <is>
          <t>Francesca Dafne Vignaga</t>
        </is>
      </c>
      <c r="E249" s="14" t="inlineStr">
        <is>
          <t>da 3 anni</t>
        </is>
      </c>
      <c r="F249" s="16" t="n">
        <v>18</v>
      </c>
      <c r="G249" s="14" t="inlineStr">
        <is>
          <t>9788899136352</t>
        </is>
      </c>
      <c r="H249" s="14" t="inlineStr"/>
      <c r="I249" s="14" t="inlineStr">
        <is>
          <t>Sì</t>
        </is>
      </c>
      <c r="J249" s="14" t="inlineStr">
        <is>
          <t>Area ragazzi (albi illustrati)</t>
        </is>
      </c>
      <c r="K249" s="14" t="inlineStr">
        <is>
          <t>Identità e amicizia</t>
        </is>
      </c>
      <c r="L249" s="14" t="inlineStr">
        <is>
          <t>Di sé sa solo il nome: Igor. Possibile che non abbia mai visto qualcuno che gli somigli? Forse da qualche parte c’è, bisogna solo cercarlo: Igor lascia la sua casa e parte per un viaggio alla ricerca di una famiglia ma, ogni volta che pensa di averla trovata, si accorge che non è quella giusta. Finché un giorno… Identità e amicizia. Testo e illustrazioni di Francesca Dafne Vignaga, 32 pagine.</t>
        </is>
      </c>
      <c r="M249" s="14" t="inlineStr"/>
    </row>
    <row r="250">
      <c r="A250" s="14" t="inlineStr">
        <is>
          <t>3-6 anni</t>
        </is>
      </c>
      <c r="B250" s="14" t="inlineStr">
        <is>
          <t>Edizioni Corsare</t>
        </is>
      </c>
      <c r="C250" s="14" t="inlineStr">
        <is>
          <t>Il Rubacoccole</t>
        </is>
      </c>
      <c r="D250" s="14" t="inlineStr">
        <is>
          <t>Maria Gianola</t>
        </is>
      </c>
      <c r="E250" s="14" t="inlineStr">
        <is>
          <t>da 3 anni</t>
        </is>
      </c>
      <c r="F250" s="16" t="n">
        <v>15</v>
      </c>
      <c r="G250" s="14" t="inlineStr">
        <is>
          <t>9788899136680</t>
        </is>
      </c>
      <c r="H250" s="14" t="inlineStr"/>
      <c r="I250" s="14" t="inlineStr">
        <is>
          <t>Sì</t>
        </is>
      </c>
      <c r="J250" s="14" t="inlineStr">
        <is>
          <t>Area ragazzi (albi illustrati)</t>
        </is>
      </c>
      <c r="K250" s="14" t="inlineStr">
        <is>
          <t>Nuovo fratellino e gelosia</t>
        </is>
      </c>
      <c r="L250" s="14" t="inlineStr">
        <is>
          <t>Lily è molto seccata perché per il compleanno voleva un gattino e i genitori le hanno portato a casa un esserino strillante e puzzolente; come se non bastasse, tutte le attenzioni e le coccole sono per lui. È davvero troppo: Lily decide di andare a vivere nella casa sull’albero, ma riceverà una visita inattesa. Testo e illustrazioni di Maria Gianola, 32 pagine.</t>
        </is>
      </c>
      <c r="M250" s="14" t="inlineStr">
        <is>
          <t>https://www.ibs.it/x/e/9788899136680</t>
        </is>
      </c>
    </row>
    <row r="251">
      <c r="A251" s="14" t="inlineStr">
        <is>
          <t>3-6 anni</t>
        </is>
      </c>
      <c r="B251" s="14" t="inlineStr">
        <is>
          <t>Edizioni Corsare</t>
        </is>
      </c>
      <c r="C251" s="14" t="inlineStr">
        <is>
          <t>Il bimboleone e altri bambini</t>
        </is>
      </c>
      <c r="D251" s="14" t="inlineStr">
        <is>
          <t>Gabriele Clima; ill. Giacomo A. Modica</t>
        </is>
      </c>
      <c r="E251" s="14" t="inlineStr">
        <is>
          <t>da 4 anni</t>
        </is>
      </c>
      <c r="F251" s="16" t="n">
        <v>18</v>
      </c>
      <c r="G251" s="14" t="inlineStr">
        <is>
          <t>9788899136475</t>
        </is>
      </c>
      <c r="H251" s="14" t="inlineStr"/>
      <c r="I251" s="14" t="inlineStr">
        <is>
          <t>Sì</t>
        </is>
      </c>
      <c r="J251" s="14" t="inlineStr">
        <is>
          <t>Area ragazzi (albi illustrati)</t>
        </is>
      </c>
      <c r="K251" s="14" t="inlineStr">
        <is>
          <t>Diversità e identità</t>
        </is>
      </c>
      <c r="L251" s="14" t="inlineStr">
        <is>
          <t>Quanti sono i bambini e le bambine del mondo? Tantissimi, e tutti diversi. E tu, che bimbo sei? Una galleria di bambine e bambini che condividono con un animale un tratto del carattere: ciascuno potrà divertirsi a riconoscersi o a trovare il proprio animale di riferimento. Un libro amato da bambini, insegnanti e genitori. Di Gabriele Clima, illustrazioni di Giacomo A. Modica, 40 pagine.</t>
        </is>
      </c>
      <c r="M251" s="14" t="inlineStr"/>
    </row>
    <row r="252">
      <c r="A252" s="14" t="inlineStr">
        <is>
          <t>3-6 anni</t>
        </is>
      </c>
      <c r="B252" s="14" t="inlineStr">
        <is>
          <t>Edizioni Corsare</t>
        </is>
      </c>
      <c r="C252" s="14" t="inlineStr">
        <is>
          <t>La mia casa piccola</t>
        </is>
      </c>
      <c r="D252" s="14" t="inlineStr">
        <is>
          <t>Elisa Sabatinelli; ill. Anna Aparicio Català</t>
        </is>
      </c>
      <c r="E252" s="14" t="inlineStr">
        <is>
          <t>da 4 anni</t>
        </is>
      </c>
      <c r="F252" s="16" t="n">
        <v>18</v>
      </c>
      <c r="G252" s="14" t="inlineStr">
        <is>
          <t>9788899136802</t>
        </is>
      </c>
      <c r="H252" s="14" t="inlineStr"/>
      <c r="I252" s="14" t="inlineStr">
        <is>
          <t>Sì</t>
        </is>
      </c>
      <c r="J252" s="14" t="inlineStr">
        <is>
          <t>Area ragazzi (albi illustrati)</t>
        </is>
      </c>
      <c r="K252" s="14" t="inlineStr">
        <is>
          <t>Traslochi e paura del nuovo</t>
        </is>
      </c>
      <c r="L252" s="14" t="inlineStr">
        <is>
          <t>A casa sua c’è sempre una valigia all’ingresso e da un po’ di tempo le valigie e gli scatoloni con i nomi delle stanze sono sparsi ovunque: secondo la mamma e il calendario domani si cambia casa. Ma lui no, rimane con Tonno: non gli serve una casa più grande, né una città più bella, né amici nuovi. Paura del nuovo. Di Elisa Sabatinelli, illustrazioni di Anna Aparicio Català, 32 pagine.</t>
        </is>
      </c>
      <c r="M252" s="14" t="inlineStr"/>
    </row>
    <row r="253">
      <c r="A253" s="14" t="inlineStr">
        <is>
          <t>3-6 anni</t>
        </is>
      </c>
      <c r="B253" s="14" t="inlineStr">
        <is>
          <t>Edizioni Corsare</t>
        </is>
      </c>
      <c r="C253" s="14" t="inlineStr">
        <is>
          <t>MALdiPAURA</t>
        </is>
      </c>
      <c r="D253" s="14" t="inlineStr">
        <is>
          <t>Chiara Ingrao; ill. Giulia Pintus</t>
        </is>
      </c>
      <c r="E253" s="14" t="inlineStr">
        <is>
          <t>da 5 anni e per tutti</t>
        </is>
      </c>
      <c r="F253" s="16" t="n">
        <v>16</v>
      </c>
      <c r="G253" s="14" t="inlineStr">
        <is>
          <t>9788899136338</t>
        </is>
      </c>
      <c r="H253" s="14" t="inlineStr"/>
      <c r="I253" s="14" t="inlineStr">
        <is>
          <t>Sì</t>
        </is>
      </c>
      <c r="J253" s="14" t="inlineStr">
        <is>
          <t>Area ragazzi (albi illustrati)</t>
        </is>
      </c>
      <c r="K253" s="14" t="inlineStr">
        <is>
          <t>Paure di grandi e piccoli</t>
        </is>
      </c>
      <c r="L253" s="14" t="inlineStr">
        <is>
          <t>«Non siate fifoni! Imparate il coraggio!», dicono i grandi. Ma nel mondo attuale quali paure fanno più male: la fifa dei piccoli o le paure dei grandi? Una carrellata di personaggi “paurosi” piccoli e grandi, e di paure vecchie e nuove, presentate con efficace ironia: un libro molto amato e sempre più attuale. Di Chiara Ingrao, illustrazioni di Giulia Pintus, 32 pagine.</t>
        </is>
      </c>
      <c r="M253" s="14" t="inlineStr"/>
    </row>
    <row r="254">
      <c r="A254" s="14" t="inlineStr">
        <is>
          <t>8+</t>
        </is>
      </c>
      <c r="B254" s="14" t="inlineStr">
        <is>
          <t>Edizioni Corsare</t>
        </is>
      </c>
      <c r="C254" s="14" t="inlineStr">
        <is>
          <t>Bradi va in città</t>
        </is>
      </c>
      <c r="D254" s="14" t="inlineStr">
        <is>
          <t>Fabrizio Silei</t>
        </is>
      </c>
      <c r="E254" s="14" t="inlineStr">
        <is>
          <t>da 8 anni</t>
        </is>
      </c>
      <c r="F254" s="16" t="n">
        <v>15</v>
      </c>
      <c r="G254" s="14" t="inlineStr">
        <is>
          <t>9788899136420</t>
        </is>
      </c>
      <c r="H254" s="14" t="inlineStr"/>
      <c r="I254" s="14" t="inlineStr">
        <is>
          <t>Sì</t>
        </is>
      </c>
      <c r="J254" s="14" t="inlineStr">
        <is>
          <t>Storie corsare</t>
        </is>
      </c>
      <c r="K254" s="14" t="inlineStr">
        <is>
          <t>Ambiente e amicizia</t>
        </is>
      </c>
      <c r="L254" s="14" t="inlineStr">
        <is>
          <t>Nella città vivono e lavorano, non riconosciuti, molti animali sloggiati dai loro ambienti naturali distrutti o destinati a monoculture: tra questi Bradi il bradipo e Zippo l’ippopotamo, che diventano amici e vanno a vivere con Cosnuelo, una coccodrilla cantante e ballerina. A poco a poco i nostri amici capiscono come funziona il mondo degli umani e i danni recati all’ambiente. Testo e illustrazioni di Fabrizio Silei, 72 pagine.</t>
        </is>
      </c>
      <c r="M254" s="14" t="inlineStr"/>
    </row>
    <row r="255">
      <c r="A255" s="14" t="inlineStr">
        <is>
          <t>9+</t>
        </is>
      </c>
      <c r="B255" s="14" t="inlineStr">
        <is>
          <t>Edizioni Corsare</t>
        </is>
      </c>
      <c r="C255" s="14" t="inlineStr">
        <is>
          <t>Alieni</t>
        </is>
      </c>
      <c r="D255" s="14" t="inlineStr">
        <is>
          <t>Stefania Gatti</t>
        </is>
      </c>
      <c r="E255" s="14" t="inlineStr">
        <is>
          <t>da 9 anni</t>
        </is>
      </c>
      <c r="F255" s="16" t="n">
        <v>12</v>
      </c>
      <c r="G255" s="14" t="inlineStr">
        <is>
          <t>9788899136574</t>
        </is>
      </c>
      <c r="H255" s="14" t="inlineStr"/>
      <c r="I255" s="14" t="inlineStr">
        <is>
          <t>Sì</t>
        </is>
      </c>
      <c r="J255" s="14" t="inlineStr">
        <is>
          <t>Storie corsare</t>
        </is>
      </c>
      <c r="K255" s="14" t="inlineStr">
        <is>
          <t>Prese in giro, amicizia e ambiente</t>
        </is>
      </c>
      <c r="L255" s="14" t="inlineStr">
        <is>
          <t>Albert ha nove anni e la passione per gli extraterrestri, per questo i compagni lo prendono in giro; solo Aoi e la sorellina Ester gli credono. Un giorno viene rapito e portato sul Pianeta X, dove vive avventure emozionanti e spaventose, finché potrà tornare sulla Terra e trovare il modo di aiutare l’ambiente. 206 pagine.</t>
        </is>
      </c>
      <c r="M255" s="14" t="inlineStr"/>
    </row>
    <row r="256">
      <c r="A256" s="14" t="inlineStr">
        <is>
          <t>9+</t>
        </is>
      </c>
      <c r="B256" s="14" t="inlineStr">
        <is>
          <t>Edizioni Corsare</t>
        </is>
      </c>
      <c r="C256" s="14" t="inlineStr">
        <is>
          <t>Due detective e mezzo</t>
        </is>
      </c>
      <c r="D256" s="14" t="inlineStr"/>
      <c r="E256" s="14" t="inlineStr">
        <is>
          <t>9-13 anni</t>
        </is>
      </c>
      <c r="F256" s="16" t="n">
        <v>10</v>
      </c>
      <c r="G256" s="14" t="inlineStr">
        <is>
          <t>9788899136031</t>
        </is>
      </c>
      <c r="H256" s="14" t="inlineStr"/>
      <c r="I256" s="14" t="inlineStr">
        <is>
          <t>Sì</t>
        </is>
      </c>
      <c r="J256" s="14" t="inlineStr">
        <is>
          <t>Storie corsare</t>
        </is>
      </c>
      <c r="K256" s="14" t="inlineStr"/>
      <c r="L256" s="14" t="inlineStr">
        <is>
          <t>Diego ha nove anni e ha la mania di essere un detective: vede casi sospetti ovunque. Con la sua amica Olivia e il suo porcellino d’India forma una squadra di tutto rispetto. Durante una vacanza in Salento i nostri detective si trovano a scoprire un misterioso complotto con personaggi molto pericolosi. Ma nessuno crede loro e potranno contare soltanto sul loro coraggio per venirne a capo.</t>
        </is>
      </c>
      <c r="M256" s="14" t="inlineStr">
        <is>
          <t>https://www.ibs.it/x/e/9788899136031</t>
        </is>
      </c>
    </row>
    <row r="257">
      <c r="A257" s="14" t="inlineStr">
        <is>
          <t>9+</t>
        </is>
      </c>
      <c r="B257" s="14" t="inlineStr">
        <is>
          <t>Edizioni Corsare</t>
        </is>
      </c>
      <c r="C257" s="14" t="inlineStr">
        <is>
          <t>Elos</t>
        </is>
      </c>
      <c r="D257" s="14" t="inlineStr">
        <is>
          <t>Federica Ortolan; ill. Gianluca Garofalo</t>
        </is>
      </c>
      <c r="E257" s="14" t="inlineStr">
        <is>
          <t>da 9 anni e per tutti</t>
        </is>
      </c>
      <c r="F257" s="16" t="n">
        <v>18.9</v>
      </c>
      <c r="G257" s="14" t="inlineStr">
        <is>
          <t>9788899136581</t>
        </is>
      </c>
      <c r="H257" s="14" t="inlineStr"/>
      <c r="I257" s="14" t="inlineStr">
        <is>
          <t>Sì</t>
        </is>
      </c>
      <c r="J257" s="14" t="inlineStr">
        <is>
          <t>Area ragazzi (albi illustrati)</t>
        </is>
      </c>
      <c r="K257" s="14" t="inlineStr">
        <is>
          <t>Guerra, disagio giovanile e solitudine</t>
        </is>
      </c>
      <c r="L257" s="14" t="inlineStr">
        <is>
          <t>Elos aveva visto: tutti sapevano che aveva visto le cose della guerra, che quando entrano rimangono. Ha un’amica, Anokè, che ogni giorno entra in casa sua con la gerla piena di cose che saranno calde, poi, e con il lupo da cui non si separa mai. Elos è ancora un ragazzo, ma ha un nodo nel cuore e nella testa che non si scioglie e non gli permette di tornare tra la gente. Disagio giovanile, solitudine. Di Federica Ortolan, illustrazioni di Gianluca Garofalo, 32 pagine.</t>
        </is>
      </c>
      <c r="M257" s="14" t="inlineStr">
        <is>
          <t>https://www.ibs.it/x/e/9788899136581</t>
        </is>
      </c>
    </row>
    <row r="258">
      <c r="A258" s="14" t="inlineStr">
        <is>
          <t>9+</t>
        </is>
      </c>
      <c r="B258" s="14" t="inlineStr">
        <is>
          <t>Edizioni Corsare</t>
        </is>
      </c>
      <c r="C258" s="14" t="inlineStr">
        <is>
          <t>Frottole e segreti</t>
        </is>
      </c>
      <c r="D258" s="14" t="inlineStr">
        <is>
          <t>Stefania Gatti</t>
        </is>
      </c>
      <c r="E258" s="14" t="inlineStr">
        <is>
          <t>da 9 anni</t>
        </is>
      </c>
      <c r="F258" s="16" t="n">
        <v>10</v>
      </c>
      <c r="G258" s="14" t="inlineStr">
        <is>
          <t>9788899136376</t>
        </is>
      </c>
      <c r="H258" s="14" t="inlineStr"/>
      <c r="I258" s="14" t="inlineStr">
        <is>
          <t>Sì</t>
        </is>
      </c>
      <c r="J258" s="14" t="inlineStr">
        <is>
          <t>Storie corsare</t>
        </is>
      </c>
      <c r="K258" s="14" t="inlineStr">
        <is>
          <t>Balbuzie, solitudine e amicizia</t>
        </is>
      </c>
      <c r="L258" s="14" t="inlineStr">
        <is>
          <t>Geremia balbetta e per questo è un ragazzino solitario, ma ha ben tre amici immaginari. Tutto cambia quando in classe arriva Karima, a cui confiderà bugie e segreti e con cui risolverà un mistero che si cela nella loro scuola. 140 pagine.</t>
        </is>
      </c>
      <c r="M258" s="14" t="inlineStr"/>
    </row>
    <row r="259">
      <c r="A259" s="14" t="inlineStr">
        <is>
          <t>9+</t>
        </is>
      </c>
      <c r="B259" s="14" t="inlineStr">
        <is>
          <t>Edizioni Corsare</t>
        </is>
      </c>
      <c r="C259" s="14" t="inlineStr">
        <is>
          <t>La città d’acqua</t>
        </is>
      </c>
      <c r="D259" s="14" t="inlineStr">
        <is>
          <t>Francesca Leita</t>
        </is>
      </c>
      <c r="E259" s="14" t="inlineStr">
        <is>
          <t>da 9 anni</t>
        </is>
      </c>
      <c r="F259" s="16" t="n">
        <v>12</v>
      </c>
      <c r="G259" s="14" t="inlineStr">
        <is>
          <t>9788899136463</t>
        </is>
      </c>
      <c r="H259" s="14" t="inlineStr"/>
      <c r="I259" s="14" t="inlineStr">
        <is>
          <t>Sì</t>
        </is>
      </c>
      <c r="J259" s="14" t="inlineStr">
        <is>
          <t>Storie corsare</t>
        </is>
      </c>
      <c r="K259" s="14" t="inlineStr"/>
      <c r="L259" s="14" t="inlineStr">
        <is>
          <t>Alla mamma di Ina viene rubato il Libro dei Segreti, antico manuale con le formule della fabbricazione dei vetri veneziani. Ina parte per Venezia, sicura di trovare una traccia del libro, e si perde nella laguna incontrando misteriosi personaggi. Un romanzo dall’atmosfera magica e dai temi molto attuali. 152 pagine.</t>
        </is>
      </c>
      <c r="M259" s="14" t="inlineStr"/>
    </row>
    <row r="260">
      <c r="A260" s="14" t="inlineStr">
        <is>
          <t>9+</t>
        </is>
      </c>
      <c r="B260" s="14" t="inlineStr">
        <is>
          <t>Edizioni Corsare</t>
        </is>
      </c>
      <c r="C260" s="14" t="inlineStr">
        <is>
          <t>Leopard boy</t>
        </is>
      </c>
      <c r="D260" s="14" t="inlineStr">
        <is>
          <t>Marco Innocenti</t>
        </is>
      </c>
      <c r="E260" s="14" t="inlineStr">
        <is>
          <t>da 9 anni</t>
        </is>
      </c>
      <c r="F260" s="16" t="n">
        <v>12</v>
      </c>
      <c r="G260" s="14" t="inlineStr">
        <is>
          <t>9788899136833</t>
        </is>
      </c>
      <c r="H260" s="14" t="inlineStr"/>
      <c r="I260" s="14" t="inlineStr">
        <is>
          <t>Sì</t>
        </is>
      </c>
      <c r="J260" s="14" t="inlineStr">
        <is>
          <t>Storie corsare</t>
        </is>
      </c>
      <c r="K260" s="14" t="inlineStr">
        <is>
          <t>Bullismo, giustizia e vendetta</t>
        </is>
      </c>
      <c r="L260" s="14" t="inlineStr">
        <is>
          <t>Johnny è un ragazzino che vive a Mumbai ed è vittima di un compagno di scuola che lo bullizza. Una sera viene azzannato da un leopardo e si salva, ma si accorge che qualcosa è cambiato: si è trasformato in un ragazzo-leopardo. Ora ha forza e agilità, ma qual è il confine tra giustizia e vendetta? 126 pagine.</t>
        </is>
      </c>
      <c r="M260" s="14" t="inlineStr"/>
    </row>
    <row r="261">
      <c r="A261" s="14" t="inlineStr">
        <is>
          <t>9+</t>
        </is>
      </c>
      <c r="B261" s="14" t="inlineStr">
        <is>
          <t>Edizioni Corsare</t>
        </is>
      </c>
      <c r="C261" s="14" t="inlineStr">
        <is>
          <t>Miss Mina</t>
        </is>
      </c>
      <c r="D261" s="14" t="inlineStr">
        <is>
          <t>Marco Innocenti</t>
        </is>
      </c>
      <c r="E261" s="14" t="inlineStr">
        <is>
          <t>da 9 anni</t>
        </is>
      </c>
      <c r="F261" s="16" t="n">
        <v>10</v>
      </c>
      <c r="G261" s="14" t="inlineStr">
        <is>
          <t>9788899136017</t>
        </is>
      </c>
      <c r="H261" s="14" t="inlineStr"/>
      <c r="I261" s="14" t="inlineStr">
        <is>
          <t>Sì</t>
        </is>
      </c>
      <c r="J261" s="14" t="inlineStr">
        <is>
          <t>Storie corsare</t>
        </is>
      </c>
      <c r="K261" s="14" t="inlineStr">
        <is>
          <t>Disabilità, guerra e resilienza</t>
        </is>
      </c>
      <c r="L261" s="14" t="inlineStr">
        <is>
          <t>Fátima vive in Angola e un giorno, giocando, salta su una mina antiuomo, ricordo della guerra che ha sconvolto il suo Paese. Perde una gamba e la sua vita cambia, ma conosce ragazze e ragazzi come lei e trova la forza di affrontare con grinta una nuova realtà. 100 pagine.</t>
        </is>
      </c>
      <c r="M261" s="14" t="inlineStr"/>
    </row>
    <row r="262">
      <c r="A262" s="14" t="inlineStr">
        <is>
          <t>9+</t>
        </is>
      </c>
      <c r="B262" s="14" t="inlineStr">
        <is>
          <t>Edizioni Corsare</t>
        </is>
      </c>
      <c r="C262" s="14" t="inlineStr">
        <is>
          <t>Pericolo smartphone</t>
        </is>
      </c>
      <c r="D262" s="14" t="inlineStr"/>
      <c r="E262" s="14" t="inlineStr">
        <is>
          <t>9-13 anni (+ guida per adulti)</t>
        </is>
      </c>
      <c r="F262" s="16" t="n">
        <v>12</v>
      </c>
      <c r="G262" s="14" t="inlineStr">
        <is>
          <t>9788899136277</t>
        </is>
      </c>
      <c r="H262" s="14" t="inlineStr"/>
      <c r="I262" s="14" t="inlineStr">
        <is>
          <t>Sì</t>
        </is>
      </c>
      <c r="J262" s="14" t="inlineStr">
        <is>
          <t>Storie corsare</t>
        </is>
      </c>
      <c r="K262" s="14" t="inlineStr">
        <is>
          <t>Uso consapevole di web e social</t>
        </is>
      </c>
      <c r="L262" s="14" t="inlineStr">
        <is>
          <t>Lo smartphone dà un senso di libertà, indipendenza e sicurezza. I ragazzi lo portano sempre con sé e lo usano incessantemente perché consente loro di essere connessi a internet e ai social network, di comunicare rapidamente attraverso le app, di giocare e ascoltare musica. L’utilizzo compulsivo del cellulare comporta però molteplici rischi, tra cui l’accesso a contenuti non adatti quando non decisamente pericolosi.</t>
        </is>
      </c>
      <c r="M262" s="14" t="inlineStr">
        <is>
          <t>https://www.ibs.it/x/e/9788899136277</t>
        </is>
      </c>
    </row>
    <row r="263">
      <c r="A263" s="14" t="inlineStr">
        <is>
          <t>9+</t>
        </is>
      </c>
      <c r="B263" s="14" t="inlineStr">
        <is>
          <t>Edizioni Corsare</t>
        </is>
      </c>
      <c r="C263" s="14" t="inlineStr">
        <is>
          <t>Roka il figlio della terra</t>
        </is>
      </c>
      <c r="D263" s="14" t="inlineStr">
        <is>
          <t>Dino Ticli</t>
        </is>
      </c>
      <c r="E263" s="14" t="inlineStr">
        <is>
          <t>da 9 anni</t>
        </is>
      </c>
      <c r="F263" s="16" t="n">
        <v>12</v>
      </c>
      <c r="G263" s="14" t="inlineStr">
        <is>
          <t>9788899136840</t>
        </is>
      </c>
      <c r="H263" s="14" t="inlineStr"/>
      <c r="I263" s="14" t="inlineStr">
        <is>
          <t>Sì</t>
        </is>
      </c>
      <c r="J263" s="14" t="inlineStr">
        <is>
          <t>Storie corsare</t>
        </is>
      </c>
      <c r="K263" s="14" t="inlineStr">
        <is>
          <t>Rispetto per l’altro e preistoria</t>
        </is>
      </c>
      <c r="L263" s="14" t="inlineStr">
        <is>
          <t>“Roka è stato il più grande cacciatore e uomo che sia mai vissuto.” Così inizia il racconto di Lupo Nero, amico di uno degli ultimi Neanderthal, di cui portiamo anche noi l’impronta genetica. Una storia di 30.000 anni fa che parla di coraggio e rispetto per l’altro. 110 pagine.</t>
        </is>
      </c>
      <c r="M263" s="14" t="inlineStr"/>
    </row>
    <row r="264">
      <c r="A264" s="14" t="inlineStr">
        <is>
          <t>9+</t>
        </is>
      </c>
      <c r="B264" s="14" t="inlineStr">
        <is>
          <t>Edizioni Corsare</t>
        </is>
      </c>
      <c r="C264" s="14" t="inlineStr">
        <is>
          <t>Ryunio. La bambina-drago</t>
        </is>
      </c>
      <c r="D264" s="14" t="inlineStr">
        <is>
          <t>Roberta Calandra</t>
        </is>
      </c>
      <c r="E264" s="14" t="inlineStr">
        <is>
          <t>da 9 anni</t>
        </is>
      </c>
      <c r="F264" s="16" t="n">
        <v>10.5</v>
      </c>
      <c r="G264" s="14" t="inlineStr">
        <is>
          <t>9788887938883</t>
        </is>
      </c>
      <c r="H264" s="14" t="inlineStr"/>
      <c r="I264" s="14" t="inlineStr">
        <is>
          <t>Sì</t>
        </is>
      </c>
      <c r="J264" s="14" t="inlineStr">
        <is>
          <t>Storie corsare</t>
        </is>
      </c>
      <c r="K264" s="14" t="inlineStr">
        <is>
          <t>Adozione e accoglienza</t>
        </is>
      </c>
      <c r="L264" s="14" t="inlineStr">
        <is>
          <t>Ryunio è una bambina indiana adottata da una famiglia italiana. È il fratello a raccontare com’è la vita con la nuova sorella e come lei possieda il dono di comprendere e aiutare gli altri, compresa la sua nuova famiglia. 144 pagine.</t>
        </is>
      </c>
      <c r="M264" s="14" t="inlineStr"/>
    </row>
    <row r="265">
      <c r="A265" s="14" t="inlineStr">
        <is>
          <t>9+</t>
        </is>
      </c>
      <c r="B265" s="14" t="inlineStr">
        <is>
          <t>Edizioni Corsare</t>
        </is>
      </c>
      <c r="C265" s="14" t="inlineStr">
        <is>
          <t>Un emoji per amico</t>
        </is>
      </c>
      <c r="D265" s="14" t="inlineStr">
        <is>
          <t>OSA (Ottocento Straordinari Allievi)</t>
        </is>
      </c>
      <c r="E265" s="14" t="inlineStr">
        <is>
          <t>da 9 anni</t>
        </is>
      </c>
      <c r="F265" s="16" t="n">
        <v>12</v>
      </c>
      <c r="G265" s="14" t="inlineStr">
        <is>
          <t>9788899136239</t>
        </is>
      </c>
      <c r="H265" s="14" t="inlineStr"/>
      <c r="I265" s="14" t="inlineStr">
        <is>
          <t>Sì</t>
        </is>
      </c>
      <c r="J265" s="14" t="inlineStr">
        <is>
          <t>Storie corsare</t>
        </is>
      </c>
      <c r="K265" s="14" t="inlineStr">
        <is>
          <t>Dipendenza dal web, cyberbullismo e social network</t>
        </is>
      </c>
      <c r="L265" s="14" t="inlineStr">
        <is>
          <t>Per il suo undicesimo compleanno Andrea riceve in regalo uno smartphone e presto si fa assorbire dal device: si allontana dagli amici e dallo studio e si mette in situazioni pericolose. Ma c’è un amico, a lui invisibile, che lo aiuterà. Dipendenza dal web, cyberbullismo, social network. Scritto dagli studenti di OSA. 180 pagine.</t>
        </is>
      </c>
      <c r="M265" s="14" t="inlineStr"/>
    </row>
    <row r="266">
      <c r="A266" s="14" t="inlineStr">
        <is>
          <t>9+</t>
        </is>
      </c>
      <c r="B266" s="14" t="inlineStr">
        <is>
          <t>Edizioni Corsare</t>
        </is>
      </c>
      <c r="C266" s="14" t="inlineStr">
        <is>
          <t>Viola, la gallina e il soldato</t>
        </is>
      </c>
      <c r="D266" s="14" t="inlineStr">
        <is>
          <t>M. Beatrice Masella</t>
        </is>
      </c>
      <c r="E266" s="14" t="inlineStr">
        <is>
          <t>da 9 anni</t>
        </is>
      </c>
      <c r="F266" s="16" t="n">
        <v>12</v>
      </c>
      <c r="G266" s="14" t="inlineStr">
        <is>
          <t>9788899136529</t>
        </is>
      </c>
      <c r="H266" s="14" t="inlineStr"/>
      <c r="I266" s="14" t="inlineStr">
        <is>
          <t>Sì</t>
        </is>
      </c>
      <c r="J266" s="14" t="inlineStr">
        <is>
          <t>Storie corsare</t>
        </is>
      </c>
      <c r="K266" s="14" t="inlineStr">
        <is>
          <t>Seconda guerra mondiale e coraggio</t>
        </is>
      </c>
      <c r="L266" s="14" t="inlineStr">
        <is>
          <t>Viola ha 9 anni e vive a Bologna: è il 1943 e c’è la guerra. I genitori decidono di mandarla dagli zii in campagna e Viola darà prova del suo coraggio in un’azione importante e molto pericolosa. Il libro può essere un efficace supporto didattico a scuola per affrontare il tema della Seconda guerra mondiale. 104 pagine.</t>
        </is>
      </c>
      <c r="M266" s="14" t="inlineStr"/>
    </row>
    <row r="267">
      <c r="A267" s="14" t="inlineStr">
        <is>
          <t>9+</t>
        </is>
      </c>
      <c r="B267" s="14" t="inlineStr">
        <is>
          <t>Edizioni Corsare</t>
        </is>
      </c>
      <c r="C267" s="14" t="inlineStr">
        <is>
          <t>Virginia e il tesoro perduto di Michelangelo</t>
        </is>
      </c>
      <c r="D267" s="14" t="inlineStr">
        <is>
          <t>Valentina Salerno; ill. Martina Distefano</t>
        </is>
      </c>
      <c r="E267" s="14" t="inlineStr">
        <is>
          <t>da 9 anni</t>
        </is>
      </c>
      <c r="F267" s="16" t="n">
        <v>15</v>
      </c>
      <c r="G267" s="14" t="inlineStr">
        <is>
          <t>9788899136555</t>
        </is>
      </c>
      <c r="H267" s="14" t="inlineStr"/>
      <c r="I267" s="14" t="inlineStr">
        <is>
          <t>Sì</t>
        </is>
      </c>
      <c r="J267" s="14" t="inlineStr">
        <is>
          <t>Storie corsare</t>
        </is>
      </c>
      <c r="K267" s="14" t="inlineStr">
        <is>
          <t>Arte e storia</t>
        </is>
      </c>
      <c r="L267" s="14" t="inlineStr">
        <is>
          <t>Una ragazzina intraprendente, un enigma secolare svelato tra colpi di scena, passaggi segreti, inseguimenti, angeli e antiche mappe, con l’aiuto di Michelangelo “in persona”. Un itinerario storico-artistico in sette chiese di Roma che termina sotto la cupola di San Pietro; il libro contiene una mappa illustrata. Thriller, storia e arte. 72 pagine.</t>
        </is>
      </c>
      <c r="M267" s="14" t="inlineStr"/>
    </row>
    <row r="268">
      <c r="A268" s="14" t="inlineStr">
        <is>
          <t>10+</t>
        </is>
      </c>
      <c r="B268" s="14" t="inlineStr">
        <is>
          <t>Edizioni Corsare</t>
        </is>
      </c>
      <c r="C268" s="14" t="inlineStr">
        <is>
          <t>Due ragazzi nella Firenze dei Medici</t>
        </is>
      </c>
      <c r="D268" s="14" t="inlineStr">
        <is>
          <t>Marco Di Tillo</t>
        </is>
      </c>
      <c r="E268" s="14" t="inlineStr">
        <is>
          <t>da 10 anni</t>
        </is>
      </c>
      <c r="F268" s="16" t="n">
        <v>12</v>
      </c>
      <c r="G268" s="14" t="inlineStr">
        <is>
          <t>9788899136406</t>
        </is>
      </c>
      <c r="H268" s="14" t="inlineStr"/>
      <c r="I268" s="14" t="inlineStr">
        <is>
          <t>Sì</t>
        </is>
      </c>
      <c r="J268" s="14" t="inlineStr">
        <is>
          <t>Storie corsare</t>
        </is>
      </c>
      <c r="K268" s="14" t="inlineStr"/>
      <c r="L268" s="14" t="inlineStr">
        <is>
          <t>Firenze, 1478. Pietro è un ragazzino e vorrebbe diventare un bravo cavaliere come Giuliano dei Medici, ma la famiglia dei Pazzi e i suoi complici stanno ordendo un complotto per uccidere Lorenzo e Giuliano e impadronirsi della città. Pietro e sua sorella vivranno da vicino intrighi e lotte per il potere. 180 pagine.</t>
        </is>
      </c>
      <c r="M268" s="14" t="inlineStr"/>
    </row>
    <row r="269">
      <c r="A269" s="14" t="inlineStr">
        <is>
          <t>10+</t>
        </is>
      </c>
      <c r="B269" s="14" t="inlineStr">
        <is>
          <t>Edizioni Corsare</t>
        </is>
      </c>
      <c r="C269" s="14" t="inlineStr">
        <is>
          <t>Il ladro di Picasso</t>
        </is>
      </c>
      <c r="D269" s="14" t="inlineStr">
        <is>
          <t>Marco Di Tillo</t>
        </is>
      </c>
      <c r="E269" s="14" t="inlineStr">
        <is>
          <t>da 10 anni</t>
        </is>
      </c>
      <c r="F269" s="16" t="n">
        <v>10</v>
      </c>
      <c r="G269" s="14" t="inlineStr">
        <is>
          <t>9788899136314</t>
        </is>
      </c>
      <c r="H269" s="14" t="inlineStr"/>
      <c r="I269" s="14" t="inlineStr">
        <is>
          <t>Sì</t>
        </is>
      </c>
      <c r="J269" s="14" t="inlineStr">
        <is>
          <t>Storie corsare</t>
        </is>
      </c>
      <c r="K269" s="14" t="inlineStr"/>
      <c r="L269" s="14" t="inlineStr">
        <is>
          <t>Cannes, 1955. Un mercante d’arte vuole rubare le opere di Picasso dalla villa dell’artista. Una storia rocambolesca che porta in un periodo magico della storia dell’arte moderna. 120 pagine.</t>
        </is>
      </c>
      <c r="M269" s="14" t="inlineStr"/>
    </row>
    <row r="270">
      <c r="A270" s="14" t="inlineStr">
        <is>
          <t>10+</t>
        </is>
      </c>
      <c r="B270" s="14" t="inlineStr">
        <is>
          <t>Edizioni Corsare</t>
        </is>
      </c>
      <c r="C270" s="14" t="inlineStr">
        <is>
          <t>Wonder Football Club (serie)</t>
        </is>
      </c>
      <c r="D270" s="14" t="inlineStr">
        <is>
          <t>Marco Innocenti</t>
        </is>
      </c>
      <c r="E270" s="14" t="inlineStr">
        <is>
          <t>da 10 anni</t>
        </is>
      </c>
      <c r="F270" s="16" t="n">
        <v>12</v>
      </c>
      <c r="G270" s="14" t="inlineStr">
        <is>
          <t>9788899136161</t>
        </is>
      </c>
      <c r="H270" s="14" t="inlineStr"/>
      <c r="I270" s="14" t="inlineStr">
        <is>
          <t>Sì</t>
        </is>
      </c>
      <c r="J270" s="14" t="inlineStr">
        <is>
          <t>Wonder Football Club</t>
        </is>
      </c>
      <c r="K270" s="14" t="inlineStr">
        <is>
          <t>Sport, amicizia e lavoro di squadra</t>
        </is>
      </c>
      <c r="L270" s="14" t="inlineStr">
        <is>
          <t>Serie ambientata nel mondo del calcio: il brasiliano Rodrigo, la francese Sophie e l’italiano Paolo, tre giovani di straordinario talento, vengono ingaggiati dal Wonder Football Club, club del campionato inglese, e si trovano in difficoltà in un mondo di adulti. Riusciranno a fare squadra superando invidie e rivalità? Quattro volumi di Marco Innocenti: Fare squadra, I veri campioni, Milioni di guai, Il grande portiere. 140 pagine ciascuno.</t>
        </is>
      </c>
      <c r="M270" s="14" t="inlineStr"/>
    </row>
    <row r="271">
      <c r="A271" s="14" t="inlineStr">
        <is>
          <t>Adolescenza (14+)</t>
        </is>
      </c>
      <c r="B271" s="14" t="inlineStr">
        <is>
          <t>Edizioni Corsare</t>
        </is>
      </c>
      <c r="C271" s="14" t="inlineStr">
        <is>
          <t>Americhea</t>
        </is>
      </c>
      <c r="D271" s="14" t="inlineStr">
        <is>
          <t>Antonella Restelli; ill. Sara Cimarosti</t>
        </is>
      </c>
      <c r="E271" s="14" t="inlineStr">
        <is>
          <t>14+</t>
        </is>
      </c>
      <c r="F271" s="16" t="n">
        <v>16</v>
      </c>
      <c r="G271" s="14" t="inlineStr">
        <is>
          <t>9788887938487</t>
        </is>
      </c>
      <c r="H271" s="14" t="inlineStr"/>
      <c r="I271" s="14" t="inlineStr">
        <is>
          <t>Sì</t>
        </is>
      </c>
      <c r="J271" s="14" t="inlineStr">
        <is>
          <t>Narrativa YA / Border</t>
        </is>
      </c>
      <c r="K271" s="14" t="inlineStr">
        <is>
          <t>Parità di genere e violenza</t>
        </is>
      </c>
      <c r="L271" s="14" t="inlineStr">
        <is>
          <t>Romanzo illustrato sulla parità di genere. Accadono cose che rimuoviamo per dolore, vergogna, sensi di colpa e si nascondono nei cunicoli della mente fino a oscurarla. Una storia autobiografica di resilienza, accompagnata da illustrazioni e da cenni alla legislazione sull’emancipazione femminile in Italia e all’evoluzione della sensibilità sulla violenza di genere. 128 pagine.</t>
        </is>
      </c>
      <c r="M271" s="14" t="inlineStr"/>
    </row>
    <row r="272">
      <c r="A272" s="14" t="inlineStr">
        <is>
          <t>Adolescenza (14+)</t>
        </is>
      </c>
      <c r="B272" s="14" t="inlineStr">
        <is>
          <t>Edizioni Corsare</t>
        </is>
      </c>
      <c r="C272" s="14" t="inlineStr">
        <is>
          <t>Curare le pietre</t>
        </is>
      </c>
      <c r="D272" s="14" t="inlineStr">
        <is>
          <t>Antonella Giacon</t>
        </is>
      </c>
      <c r="E272" s="14" t="inlineStr">
        <is>
          <t>14+</t>
        </is>
      </c>
      <c r="F272" s="16" t="n">
        <v>13</v>
      </c>
      <c r="G272" s="14" t="inlineStr">
        <is>
          <t>9788899136987</t>
        </is>
      </c>
      <c r="H272" s="14" t="inlineStr"/>
      <c r="I272" s="14" t="inlineStr">
        <is>
          <t>Sì</t>
        </is>
      </c>
      <c r="J272" s="14" t="inlineStr">
        <is>
          <t>Narrativa YA / Border</t>
        </is>
      </c>
      <c r="K272" s="14" t="inlineStr">
        <is>
          <t>Volontariato e solidarietà</t>
        </is>
      </c>
      <c r="L272" s="14" t="inlineStr">
        <is>
          <t>1976. Una diciassettenne parte come volontaria per aiutare le popolazioni colpite da un devastante terremoto in Friuli. L’impatto con una realtà diversa da quella che conosce e con ragazzi che affrontano le difficoltà con uno spirito a lei sconosciuto la cambia profondamente e le fa conoscere la durezza e la bellezza della vita. 272 pagine.</t>
        </is>
      </c>
      <c r="M272" s="14" t="inlineStr"/>
    </row>
    <row r="273">
      <c r="A273" s="14" t="inlineStr">
        <is>
          <t>Adolescenza (14+)</t>
        </is>
      </c>
      <c r="B273" s="14" t="inlineStr">
        <is>
          <t>Edizioni Corsare</t>
        </is>
      </c>
      <c r="C273" s="14" t="inlineStr">
        <is>
          <t>Diana e il segreto dei lupasky</t>
        </is>
      </c>
      <c r="D273" s="14" t="inlineStr">
        <is>
          <t>Giuliana Fanti</t>
        </is>
      </c>
      <c r="E273" s="14" t="inlineStr">
        <is>
          <t>14+</t>
        </is>
      </c>
      <c r="F273" s="16" t="n">
        <v>13</v>
      </c>
      <c r="G273" s="14" t="inlineStr">
        <is>
          <t>9788899136956</t>
        </is>
      </c>
      <c r="H273" s="14" t="inlineStr"/>
      <c r="I273" s="14" t="inlineStr">
        <is>
          <t>Sì</t>
        </is>
      </c>
      <c r="J273" s="14" t="inlineStr">
        <is>
          <t>Narrativa YA / Border</t>
        </is>
      </c>
      <c r="K273" s="14" t="inlineStr">
        <is>
          <t>Ambiente e alleanza con gli animali</t>
        </is>
      </c>
      <c r="L273" s="14" t="inlineStr">
        <is>
          <t>Una mail misteriosa, strani incontri e coincidenze sospette: la vita di Diana prende una piega imprevista che la porta, con il suo amico Darius, a vivere un’avventura che si snoda dall’Italia all’India, al Senegal, dai sotterranei di New York all’Outback australiano al Circolo Polare Artico. Un avvincente thriller ambientalista sull’alleanza tra uomini e animali. 146 pagine.</t>
        </is>
      </c>
      <c r="M273" s="14" t="inlineStr"/>
    </row>
    <row r="274">
      <c r="A274" s="14" t="inlineStr">
        <is>
          <t>Adolescenza (14+)</t>
        </is>
      </c>
      <c r="B274" s="14" t="inlineStr">
        <is>
          <t>Edizioni Corsare</t>
        </is>
      </c>
      <c r="C274" s="14" t="inlineStr">
        <is>
          <t>L’estate in cui Ethan salvò San Francisco</t>
        </is>
      </c>
      <c r="D274" s="14" t="inlineStr">
        <is>
          <t>Gianluca Grechi</t>
        </is>
      </c>
      <c r="E274" s="14" t="inlineStr">
        <is>
          <t>14+</t>
        </is>
      </c>
      <c r="F274" s="16" t="n">
        <v>13</v>
      </c>
      <c r="G274" s="14" t="inlineStr">
        <is>
          <t>9788899136901</t>
        </is>
      </c>
      <c r="H274" s="14" t="inlineStr"/>
      <c r="I274" s="14" t="inlineStr">
        <is>
          <t>Sì</t>
        </is>
      </c>
      <c r="J274" s="14" t="inlineStr">
        <is>
          <t>Narrativa YA / Border</t>
        </is>
      </c>
      <c r="K274" s="14" t="inlineStr"/>
      <c r="L274" s="14" t="inlineStr">
        <is>
          <t>Ethan trova un misterioso documento criptato che suo padre, giornalista arrestato con l’accusa di spionaggio, aveva nascosto nel garage. Toccherà a lui e alla sua amica Abby, aiutati da un veterano di guerra senza dimora e dal suo bracco Bazoo, capire che la città è sotto attacco da parte di un nemico impensabile. 296 pagine.</t>
        </is>
      </c>
      <c r="M274" s="14" t="inlineStr"/>
    </row>
    <row r="275">
      <c r="A275" s="14" t="inlineStr">
        <is>
          <t>Adolescenza (14+)</t>
        </is>
      </c>
      <c r="B275" s="14" t="inlineStr">
        <is>
          <t>Edizioni Corsare</t>
        </is>
      </c>
      <c r="C275" s="14" t="inlineStr">
        <is>
          <t>L’ultimo tornado</t>
        </is>
      </c>
      <c r="D275" s="14" t="inlineStr">
        <is>
          <t>Alberto Bellini</t>
        </is>
      </c>
      <c r="E275" s="14" t="inlineStr">
        <is>
          <t>14+</t>
        </is>
      </c>
      <c r="F275" s="16" t="n">
        <v>14</v>
      </c>
      <c r="G275" s="14" t="inlineStr">
        <is>
          <t>9788899136918</t>
        </is>
      </c>
      <c r="H275" s="14" t="inlineStr"/>
      <c r="I275" s="14" t="inlineStr">
        <is>
          <t>Sì</t>
        </is>
      </c>
      <c r="J275" s="14" t="inlineStr">
        <is>
          <t>Narrativa YA / Border</t>
        </is>
      </c>
      <c r="K275" s="14" t="inlineStr">
        <is>
          <t>Solitudine e crescita</t>
        </is>
      </c>
      <c r="L275" s="14" t="inlineStr">
        <is>
          <t>Mag ha sedici anni e vuole solo andarsene dall’Alabama dove vive con la madre e il patrigno, convinta che la fine del mondo sia imminente. Quando conosce un gruppo di ragazzi che, come lei, cercano un futuro migliore e di sfuggire alla solitudine, la sua vita cambia, liberandola da vecchi rancori. 420 pagine.</t>
        </is>
      </c>
      <c r="M275" s="14" t="inlineStr"/>
    </row>
    <row r="276">
      <c r="A276" s="14" t="inlineStr">
        <is>
          <t>Adolescenza (14+)</t>
        </is>
      </c>
      <c r="B276" s="14" t="inlineStr">
        <is>
          <t>Edizioni Corsare</t>
        </is>
      </c>
      <c r="C276" s="14" t="inlineStr">
        <is>
          <t>Quattro giorni</t>
        </is>
      </c>
      <c r="D276" s="14" t="inlineStr">
        <is>
          <t>Antonella Giacon</t>
        </is>
      </c>
      <c r="E276" s="14" t="inlineStr">
        <is>
          <t>14+</t>
        </is>
      </c>
      <c r="F276" s="16" t="n">
        <v>12</v>
      </c>
      <c r="G276" s="14" t="inlineStr">
        <is>
          <t>9788899136543</t>
        </is>
      </c>
      <c r="H276" s="14" t="inlineStr"/>
      <c r="I276" s="14" t="inlineStr">
        <is>
          <t>Sì</t>
        </is>
      </c>
      <c r="J276" s="14" t="inlineStr">
        <is>
          <t>Narrativa YA / Border</t>
        </is>
      </c>
      <c r="K276" s="14" t="inlineStr">
        <is>
          <t>Libertà e crescita</t>
        </is>
      </c>
      <c r="L276" s="14" t="inlineStr">
        <is>
          <t>Luglio 1967. Marina è in vacanza al Lido di Venezia con la sua famiglia, ostaggio di un padre severo e autoritario. Quando il fratellino ha un incidente viene affidata per quattro giorni alla famiglia Menin: la scoperta di un mondo sconosciuto con il tredicenne Lele le regala il desiderio e il coraggio di essere sé stessa. Un emozionante romanzo di formazione. 220 pagine.</t>
        </is>
      </c>
      <c r="M276" s="14" t="inlineStr"/>
    </row>
    <row r="277">
      <c r="A277" s="14" t="inlineStr">
        <is>
          <t>0-3 anni</t>
        </is>
      </c>
      <c r="B277" s="14" t="inlineStr">
        <is>
          <t>Minibombo</t>
        </is>
      </c>
      <c r="C277" s="14" t="inlineStr">
        <is>
          <t>Cerchio al parco</t>
        </is>
      </c>
      <c r="D277" s="14" t="inlineStr">
        <is>
          <t>Silvia Borando</t>
        </is>
      </c>
      <c r="E277" s="14" t="inlineStr">
        <is>
          <t>da 1 anno</t>
        </is>
      </c>
      <c r="F277" s="16" t="n">
        <v>9.9</v>
      </c>
      <c r="G277" s="14" t="inlineStr">
        <is>
          <t>9791281054103</t>
        </is>
      </c>
      <c r="H277" s="14" t="inlineStr"/>
      <c r="I277" s="14" t="inlineStr">
        <is>
          <t>Sì</t>
        </is>
      </c>
      <c r="J277" s="14" t="inlineStr">
        <is>
          <t>Catalogo Minibombo 2026</t>
        </is>
      </c>
      <c r="K277" s="14" t="inlineStr"/>
      <c r="L277" s="14" t="inlineStr">
        <is>
          <t>Un cerchio giallo e la sua giornata al parco: cosa c’è di meglio che fare un picnic sul prato o godersi un bel giro in bicicletta? Voltate le pagine per scoprire quante cose può diventare un piccolo foro rotondo, in questo gioco di osservazione senza parole all’aria aperta!</t>
        </is>
      </c>
      <c r="M277" s="14" t="inlineStr">
        <is>
          <t>https://www.ibs.it/x/e/9791281054103</t>
        </is>
      </c>
    </row>
    <row r="278">
      <c r="A278" s="14" t="inlineStr">
        <is>
          <t>0-3 anni</t>
        </is>
      </c>
      <c r="B278" s="14" t="inlineStr">
        <is>
          <t>Minibombo</t>
        </is>
      </c>
      <c r="C278" s="14" t="inlineStr">
        <is>
          <t>Grande Gatto Piccolo Gatto</t>
        </is>
      </c>
      <c r="D278" s="14" t="inlineStr">
        <is>
          <t>Silvia Borando</t>
        </is>
      </c>
      <c r="E278" s="14" t="inlineStr">
        <is>
          <t>dai 2 anni</t>
        </is>
      </c>
      <c r="F278" s="16" t="n">
        <v>13.9</v>
      </c>
      <c r="G278" s="14" t="inlineStr">
        <is>
          <t>9788898177301</t>
        </is>
      </c>
      <c r="H278" s="14" t="inlineStr"/>
      <c r="I278" s="14" t="inlineStr">
        <is>
          <t>Sì</t>
        </is>
      </c>
      <c r="J278" s="14" t="inlineStr">
        <is>
          <t>Catalogo Minibombo 2026</t>
        </is>
      </c>
      <c r="K278" s="14" t="inlineStr"/>
      <c r="L278" s="14" t="inlineStr">
        <is>
          <t>Grande Gatto fa sempre le cose in grande, Piccolo Gatto, invece, si dedica a piccole cose. Ma se a cacciarsi in un grosso guaio fosse proprio Piccolo Gatto? Una piccola avventura inattesa per una storia di grandi conquiste.</t>
        </is>
      </c>
      <c r="M278" s="14" t="inlineStr">
        <is>
          <t>https://www.ibs.it/x/e/9788898177301</t>
        </is>
      </c>
    </row>
    <row r="279">
      <c r="A279" s="14" t="inlineStr">
        <is>
          <t>0-3 anni</t>
        </is>
      </c>
      <c r="B279" s="14" t="inlineStr">
        <is>
          <t>Minibombo</t>
        </is>
      </c>
      <c r="C279" s="14" t="inlineStr">
        <is>
          <t>Il libro bianco - Ed. speciale</t>
        </is>
      </c>
      <c r="D279" s="14" t="inlineStr">
        <is>
          <t>Silvia Borando, Elisabetta Pica e Lorenzo Clerici</t>
        </is>
      </c>
      <c r="E279" s="14" t="inlineStr">
        <is>
          <t>dai 2 anni</t>
        </is>
      </c>
      <c r="F279" s="16" t="n">
        <v>13.9</v>
      </c>
      <c r="G279" s="14" t="inlineStr">
        <is>
          <t>9788898177899</t>
        </is>
      </c>
      <c r="H279" s="14" t="inlineStr"/>
      <c r="I279" s="14" t="inlineStr">
        <is>
          <t>Sì</t>
        </is>
      </c>
      <c r="J279" s="14" t="inlineStr">
        <is>
          <t>Catalogo Minibombo 2026</t>
        </is>
      </c>
      <c r="K279" s="14" t="inlineStr"/>
      <c r="L279" s="14" t="inlineStr">
        <is>
          <t>Cosa si nasconde in questa storia senza parole? Sembra non ci sia nulla all’infuori di un imbianchino alle prese con delle pareti bianche. Ma basta una passata di colore ed ecco apparire... Un racconto sul potere della lettura nell’edizione speciale che celebra i 10 anni della sua pubblicazione!</t>
        </is>
      </c>
      <c r="M279" s="14" t="inlineStr">
        <is>
          <t>https://www.ibs.it/x/e/9788898177899</t>
        </is>
      </c>
    </row>
    <row r="280">
      <c r="A280" s="14" t="inlineStr">
        <is>
          <t>0-3 anni</t>
        </is>
      </c>
      <c r="B280" s="14" t="inlineStr">
        <is>
          <t>Minibombo</t>
        </is>
      </c>
      <c r="C280" s="14" t="inlineStr">
        <is>
          <t>Il piccolo fienile rosso</t>
        </is>
      </c>
      <c r="D280" s="14" t="inlineStr">
        <is>
          <t>Kim Crumrine</t>
        </is>
      </c>
      <c r="E280" s="14" t="inlineStr">
        <is>
          <t>da 1 anno</t>
        </is>
      </c>
      <c r="F280" s="16" t="n">
        <v>11.9</v>
      </c>
      <c r="G280" s="14" t="inlineStr">
        <is>
          <t>9791281054035</t>
        </is>
      </c>
      <c r="H280" s="14" t="inlineStr"/>
      <c r="I280" s="14" t="inlineStr">
        <is>
          <t>Sì</t>
        </is>
      </c>
      <c r="J280" s="14" t="inlineStr">
        <is>
          <t>Catalogo Minibombo 2026</t>
        </is>
      </c>
      <c r="K280" s="14" t="inlineStr"/>
      <c r="L280" s="14" t="inlineStr">
        <is>
          <t>per gli animali della fattoria è tempo di andare a dormire nel piccolo fienile rosso. Per primo entra un topo, poi due gatti, tre cani, quattro galline, cinque maiali e... Ma ci staranno tutti? Certo, nessun problema, c’è ancora posto nel piccolo fienile rosso!</t>
        </is>
      </c>
      <c r="M280" s="14" t="inlineStr">
        <is>
          <t>https://www.ibs.it/x/e/9791281054035</t>
        </is>
      </c>
    </row>
    <row r="281">
      <c r="A281" s="14" t="inlineStr">
        <is>
          <t>0-3 anni</t>
        </is>
      </c>
      <c r="B281" s="14" t="inlineStr">
        <is>
          <t>Minibombo</t>
        </is>
      </c>
      <c r="C281" s="14" t="inlineStr">
        <is>
          <t>La mia famiglia è uno zoo</t>
        </is>
      </c>
      <c r="D281" s="14" t="inlineStr">
        <is>
          <t>Teresa Sdralevich</t>
        </is>
      </c>
      <c r="E281" s="14" t="inlineStr">
        <is>
          <t>da 1 anno</t>
        </is>
      </c>
      <c r="F281" s="16" t="n">
        <v>9.9</v>
      </c>
      <c r="G281" s="14" t="inlineStr">
        <is>
          <t>9788898177790</t>
        </is>
      </c>
      <c r="H281" s="14" t="inlineStr"/>
      <c r="I281" s="14" t="inlineStr">
        <is>
          <t>Sì</t>
        </is>
      </c>
      <c r="J281" s="14" t="inlineStr">
        <is>
          <t>Catalogo Minibombo 2026</t>
        </is>
      </c>
      <c r="K281" s="14" t="inlineStr"/>
      <c r="L281" s="14" t="inlineStr">
        <is>
          <t>Ogni famiglia è uno zoo fatto a modo suo. Tutti i membri del parentado hanno le loro caratteristiche più o meno pittoresche, tanto che spesso finiscono per ricordare… degli animali! Un catalogo acuto e ironico sugli esemplari di parenti in cui, almeno una volta nella vita, tutti ci siamo imbattuti.</t>
        </is>
      </c>
      <c r="M281" s="14" t="inlineStr">
        <is>
          <t>https://www.ibs.it/x/e/9788898177790</t>
        </is>
      </c>
    </row>
    <row r="282">
      <c r="A282" s="14" t="inlineStr">
        <is>
          <t>0-3 anni</t>
        </is>
      </c>
      <c r="B282" s="14" t="inlineStr">
        <is>
          <t>Minibombo</t>
        </is>
      </c>
      <c r="C282" s="14" t="inlineStr">
        <is>
          <t>Orso, buco!</t>
        </is>
      </c>
      <c r="D282" s="14" t="inlineStr">
        <is>
          <t>Nicola Grossi</t>
        </is>
      </c>
      <c r="E282" s="14" t="inlineStr">
        <is>
          <t>dai 2 anni</t>
        </is>
      </c>
      <c r="F282" s="16" t="n">
        <v>11.9</v>
      </c>
      <c r="G282" s="14" t="inlineStr">
        <is>
          <t>9788898177066</t>
        </is>
      </c>
      <c r="H282" s="14" t="inlineStr"/>
      <c r="I282" s="14" t="inlineStr">
        <is>
          <t>Sì</t>
        </is>
      </c>
      <c r="J282" s="14" t="inlineStr">
        <is>
          <t>Catalogo Minibombo 2026</t>
        </is>
      </c>
      <c r="K282" s="14" t="inlineStr"/>
      <c r="L282" s="14" t="inlineStr">
        <is>
          <t>Si può raccontare una storia soltanto con forme, colori e suoni? Il risultato è un viaggio alla ricerca della tana di Orso, da immaginare e ascoltare… Basterà seguire le linee e trovare la strada, stando attenti a non cadere nei buchi!</t>
        </is>
      </c>
      <c r="M282" s="14" t="inlineStr">
        <is>
          <t>https://www.ibs.it/x/e/9788898177066</t>
        </is>
      </c>
    </row>
    <row r="283">
      <c r="A283" s="14" t="inlineStr">
        <is>
          <t>0-3 anni</t>
        </is>
      </c>
      <c r="B283" s="14" t="inlineStr">
        <is>
          <t>Minibombo</t>
        </is>
      </c>
      <c r="C283" s="14" t="inlineStr">
        <is>
          <t>Tutino con la terra</t>
        </is>
      </c>
      <c r="D283" s="14" t="inlineStr">
        <is>
          <t>Lorenzo Clerici</t>
        </is>
      </c>
      <c r="E283" s="14" t="inlineStr">
        <is>
          <t>da 1 anno</t>
        </is>
      </c>
      <c r="F283" s="16" t="n">
        <v>9.9</v>
      </c>
      <c r="G283" s="14" t="inlineStr">
        <is>
          <t>9791281054127</t>
        </is>
      </c>
      <c r="H283" s="14" t="inlineStr"/>
      <c r="I283" s="14" t="inlineStr">
        <is>
          <t>Sì</t>
        </is>
      </c>
      <c r="J283" s="14" t="inlineStr">
        <is>
          <t>Catalogo Minibombo 2026</t>
        </is>
      </c>
      <c r="K283" s="14" t="inlineStr"/>
      <c r="L283" s="14" t="inlineStr">
        <is>
          <t>Tutino è un piccolo esploratore che ama divertirsi all’aria aperta. Oggi, vestito da talpa, esce di casa per una nuova avventura con la terra. Ma che fare là fuori? Che domande, un bell’orto! Presto, allora, è meglio darsi subito da fare e iniziare a scavare...</t>
        </is>
      </c>
      <c r="M283" s="14" t="inlineStr">
        <is>
          <t>https://www.ibs.it/x/e/9791281054127</t>
        </is>
      </c>
    </row>
    <row r="284">
      <c r="A284" s="14" t="inlineStr">
        <is>
          <t>0-3 anni</t>
        </is>
      </c>
      <c r="B284" s="14" t="inlineStr">
        <is>
          <t>Minibombo</t>
        </is>
      </c>
      <c r="C284" s="14" t="inlineStr">
        <is>
          <t>Tutino nella neve</t>
        </is>
      </c>
      <c r="D284" s="14" t="inlineStr">
        <is>
          <t>Lorenzo Clerici</t>
        </is>
      </c>
      <c r="E284" s="14" t="inlineStr">
        <is>
          <t>da 1 anno</t>
        </is>
      </c>
      <c r="F284" s="16" t="n">
        <v>9.9</v>
      </c>
      <c r="G284" s="14" t="inlineStr">
        <is>
          <t>9791281054134</t>
        </is>
      </c>
      <c r="H284" s="14" t="inlineStr"/>
      <c r="I284" s="14" t="inlineStr">
        <is>
          <t>Sì</t>
        </is>
      </c>
      <c r="J284" s="14" t="inlineStr">
        <is>
          <t>Catalogo Minibombo 2026</t>
        </is>
      </c>
      <c r="K284" s="14" t="inlineStr"/>
      <c r="L284" s="14" t="inlineStr">
        <is>
          <t>Tutino è un piccolo esploratore che ama divertirsi all’aria aperta. Oggi, vestito da civetta, esce di casa per una nuova avventura nella neve. Ma che fare là fuori? Che domande, un bel pupazzo! Presto, allora, meglio mettersi in cammino per trovare tutto l’occorrente...</t>
        </is>
      </c>
      <c r="M284" s="14" t="inlineStr">
        <is>
          <t>https://www.ibs.it/x/e/9791281054134</t>
        </is>
      </c>
    </row>
    <row r="285">
      <c r="A285" s="14" t="inlineStr">
        <is>
          <t>3-6 anni</t>
        </is>
      </c>
      <c r="B285" s="14" t="inlineStr">
        <is>
          <t>Minibombo</t>
        </is>
      </c>
      <c r="C285" s="14" t="inlineStr">
        <is>
          <t>Affamato come un lupo</t>
        </is>
      </c>
      <c r="D285" s="14" t="inlineStr">
        <is>
          <t>Silvia Borando</t>
        </is>
      </c>
      <c r="E285" s="14" t="inlineStr">
        <is>
          <t>dai 3 anni</t>
        </is>
      </c>
      <c r="F285" s="16" t="n">
        <v>12.9</v>
      </c>
      <c r="G285" s="14" t="inlineStr">
        <is>
          <t>9788898177387</t>
        </is>
      </c>
      <c r="H285" s="14" t="inlineStr"/>
      <c r="I285" s="14" t="inlineStr">
        <is>
          <t>Sì</t>
        </is>
      </c>
      <c r="J285" s="14" t="inlineStr">
        <is>
          <t>Catalogo Minibombo 2026</t>
        </is>
      </c>
      <c r="K285" s="14" t="inlineStr"/>
      <c r="L285" s="14" t="inlineStr">
        <is>
          <t>Si dice che nel bosco ci sia un lupo affamato. Tutti gli animali vengono avvisati da una lepre che cercherà di salvarli con l’aiuto di una talpa. La fuga di quattro impacciati protagonisti che scappano dal più classico dei pericoli… sempre che esista davvero!</t>
        </is>
      </c>
      <c r="M285" s="14" t="inlineStr">
        <is>
          <t>https://www.ibs.it/x/e/9788898177387</t>
        </is>
      </c>
    </row>
    <row r="286">
      <c r="A286" s="14" t="inlineStr">
        <is>
          <t>3-6 anni</t>
        </is>
      </c>
      <c r="B286" s="14" t="inlineStr">
        <is>
          <t>Minibombo</t>
        </is>
      </c>
      <c r="C286" s="14" t="inlineStr">
        <is>
          <t>Allarme rosso!</t>
        </is>
      </c>
      <c r="D286" s="14" t="inlineStr">
        <is>
          <t>Marco Scalcione</t>
        </is>
      </c>
      <c r="E286" s="14" t="inlineStr">
        <is>
          <t>dai 3 anni</t>
        </is>
      </c>
      <c r="F286" s="16" t="n">
        <v>12.9</v>
      </c>
      <c r="G286" s="14" t="inlineStr">
        <is>
          <t>9788898177394</t>
        </is>
      </c>
      <c r="H286" s="14" t="inlineStr"/>
      <c r="I286" s="14" t="inlineStr">
        <is>
          <t>Sì</t>
        </is>
      </c>
      <c r="J286" s="14" t="inlineStr">
        <is>
          <t>Catalogo Minibombo 2026</t>
        </is>
      </c>
      <c r="K286" s="14" t="inlineStr"/>
      <c r="L286" s="14" t="inlineStr">
        <is>
          <t>La quiete del formicaio viene interrotta da un grido di emergenza: allarme rosso! Sarà meglio sbrigarsi e iniziare la corsa… Una vicenda dal finale imprevisto che dimostra come non tutti gli allarmi vengano per nuocere!</t>
        </is>
      </c>
      <c r="M286" s="14" t="inlineStr">
        <is>
          <t>https://www.ibs.it/x/e/9788898177394</t>
        </is>
      </c>
    </row>
    <row r="287">
      <c r="A287" s="14" t="inlineStr">
        <is>
          <t>3-6 anni</t>
        </is>
      </c>
      <c r="B287" s="14" t="inlineStr">
        <is>
          <t>Minibombo</t>
        </is>
      </c>
      <c r="C287" s="14" t="inlineStr">
        <is>
          <t>Gabbiano più gabbiano meno</t>
        </is>
      </c>
      <c r="D287" s="14" t="inlineStr">
        <is>
          <t>Silvia Borando e Marco Scalcione</t>
        </is>
      </c>
      <c r="E287" s="14" t="inlineStr">
        <is>
          <t>dai 3 anni</t>
        </is>
      </c>
      <c r="F287" s="16" t="n">
        <v>13.9</v>
      </c>
      <c r="G287" s="14" t="inlineStr">
        <is>
          <t>9788898177400</t>
        </is>
      </c>
      <c r="H287" s="14" t="inlineStr"/>
      <c r="I287" s="14" t="inlineStr">
        <is>
          <t>Sì</t>
        </is>
      </c>
      <c r="J287" s="14" t="inlineStr">
        <is>
          <t>Catalogo Minibombo 2026</t>
        </is>
      </c>
      <c r="K287" s="14" t="inlineStr"/>
      <c r="L287" s="14" t="inlineStr">
        <is>
          <t>Due isole: una affollata e rumorosa, l’altra deserta e invitante. Lasciando tutti i suoi compagni sulla prima isola, un gabbiano non troppo conciliante opta per la seconda soluzione, alla ricerca della tanto agognata pace. Sarà la scelta giusta?</t>
        </is>
      </c>
      <c r="M287" s="14" t="inlineStr">
        <is>
          <t>https://www.ibs.it/x/e/9788898177400</t>
        </is>
      </c>
    </row>
    <row r="288">
      <c r="A288" s="14" t="inlineStr">
        <is>
          <t>3-6 anni</t>
        </is>
      </c>
      <c r="B288" s="14" t="inlineStr">
        <is>
          <t>Minibombo</t>
        </is>
      </c>
      <c r="C288" s="14" t="inlineStr">
        <is>
          <t>Gatto Nero, Gatta Bianca</t>
        </is>
      </c>
      <c r="D288" s="14" t="inlineStr">
        <is>
          <t>Silvia Borando</t>
        </is>
      </c>
      <c r="E288" s="14" t="inlineStr">
        <is>
          <t>dai 3 anni</t>
        </is>
      </c>
      <c r="F288" s="16" t="n">
        <v>12.9</v>
      </c>
      <c r="G288" s="14" t="inlineStr">
        <is>
          <t>9788898177073</t>
        </is>
      </c>
      <c r="H288" s="14" t="inlineStr"/>
      <c r="I288" s="14" t="inlineStr">
        <is>
          <t>Sì</t>
        </is>
      </c>
      <c r="J288" s="14" t="inlineStr">
        <is>
          <t>Catalogo Minibombo 2026</t>
        </is>
      </c>
      <c r="K288" s="14" t="inlineStr"/>
      <c r="L288" s="14" t="inlineStr">
        <is>
          <t>Un gatto tutto nero che esce solo di giorno, una gatta tutta bianca che esce solo di notte. Lui ama raccogliere le margherite, lei va a caccia di bisce e pipistrelli. Cosa nascerà dal loro incontro?</t>
        </is>
      </c>
      <c r="M288" s="14" t="inlineStr">
        <is>
          <t>https://www.ibs.it/x/e/9788898177073</t>
        </is>
      </c>
    </row>
    <row r="289">
      <c r="A289" s="14" t="inlineStr">
        <is>
          <t>3-6 anni</t>
        </is>
      </c>
      <c r="B289" s="14" t="inlineStr">
        <is>
          <t>Minibombo</t>
        </is>
      </c>
      <c r="C289" s="14" t="inlineStr">
        <is>
          <t>Ha visto la mia coda?</t>
        </is>
      </c>
      <c r="D289" s="14" t="inlineStr">
        <is>
          <t>Alberto Lot</t>
        </is>
      </c>
      <c r="E289" s="14" t="inlineStr">
        <is>
          <t>dai 3 anni</t>
        </is>
      </c>
      <c r="F289" s="16" t="n">
        <v>12.9</v>
      </c>
      <c r="G289" s="14" t="inlineStr">
        <is>
          <t>9788898177547</t>
        </is>
      </c>
      <c r="H289" s="14" t="inlineStr"/>
      <c r="I289" s="14" t="inlineStr">
        <is>
          <t>Sì</t>
        </is>
      </c>
      <c r="J289" s="14" t="inlineStr">
        <is>
          <t>Catalogo Minibombo 2026</t>
        </is>
      </c>
      <c r="K289" s="14" t="inlineStr"/>
      <c r="L289" s="14" t="inlineStr">
        <is>
          <t>Un’annosa questione affligge il Signor Cane: dove mai sarà la sua coda? Per fortuna lo spaesato protagonista sarà accompagnato nelle ricerche dal Signor Tartaruga, consigliere prodigo di indicazioni. Ce la farà il Signor Cane a risolvere il suo problema?</t>
        </is>
      </c>
      <c r="M289" s="14" t="inlineStr">
        <is>
          <t>https://www.ibs.it/x/e/9788898177547</t>
        </is>
      </c>
    </row>
    <row r="290">
      <c r="A290" s="14" t="inlineStr">
        <is>
          <t>3-6 anni</t>
        </is>
      </c>
      <c r="B290" s="14" t="inlineStr">
        <is>
          <t>Minibombo</t>
        </is>
      </c>
      <c r="C290" s="14" t="inlineStr">
        <is>
          <t>Ho visto una talpa</t>
        </is>
      </c>
      <c r="D290" s="14" t="inlineStr">
        <is>
          <t>Chiara Vignocchi e Silvia Borando</t>
        </is>
      </c>
      <c r="E290" s="14" t="inlineStr">
        <is>
          <t>dai 3 anni</t>
        </is>
      </c>
      <c r="F290" s="16" t="n">
        <v>12.9</v>
      </c>
      <c r="G290" s="14" t="inlineStr">
        <is>
          <t>9788898177455</t>
        </is>
      </c>
      <c r="H290" s="14" t="inlineStr"/>
      <c r="I290" s="14" t="inlineStr">
        <is>
          <t>Sì</t>
        </is>
      </c>
      <c r="J290" s="14" t="inlineStr">
        <is>
          <t>Catalogo Minibombo 2026</t>
        </is>
      </c>
      <c r="K290" s="14" t="inlineStr"/>
      <c r="L290" s="14" t="inlineStr">
        <is>
          <t>Un gruppo di animali discute di avvistamenti in fatto di talpe: grandi, piccole, veloci e sottosopra… in giro se ne vedono di ogni tipo! Una vicenda all’insegna del confronto, per non dimenticare che, se ognuno vede le cose a modo proprio, c’è sempre una buona ragione.</t>
        </is>
      </c>
      <c r="M290" s="14" t="inlineStr">
        <is>
          <t>https://www.ibs.it/x/e/9788898177455</t>
        </is>
      </c>
    </row>
    <row r="291">
      <c r="A291" s="14" t="inlineStr">
        <is>
          <t>3-6 anni</t>
        </is>
      </c>
      <c r="B291" s="14" t="inlineStr">
        <is>
          <t>Minibombo</t>
        </is>
      </c>
      <c r="C291" s="14" t="inlineStr">
        <is>
          <t>Il cespuglio</t>
        </is>
      </c>
      <c r="D291" s="14" t="inlineStr">
        <is>
          <t>Dario Pomodoro, Eva Francescutto e Silvia Borando</t>
        </is>
      </c>
      <c r="E291" s="14" t="inlineStr">
        <is>
          <t>dai 3 anni</t>
        </is>
      </c>
      <c r="F291" s="16" t="n">
        <v>13.9</v>
      </c>
      <c r="G291" s="14" t="inlineStr">
        <is>
          <t>9791281054196</t>
        </is>
      </c>
      <c r="H291" s="14" t="inlineStr"/>
      <c r="I291" s="14" t="inlineStr">
        <is>
          <t>Sì</t>
        </is>
      </c>
      <c r="J291" s="14" t="inlineStr">
        <is>
          <t>Catalogo Minibombo 2026</t>
        </is>
      </c>
      <c r="K291" s="14" t="inlineStr"/>
      <c r="L291" s="14" t="inlineStr">
        <is>
          <t>È notte fonda quando due pecore che stanno rincasando intravedono qualcosa che le attende sulla via del ritorno: ma cosa? Tra goffi tentativi di scoprire l’identità dell’apparizione e paure più o meno giustificate, riusciranno ad affrontarla e a proseguire lungo il cammino? Un’avventura notturna dai toni comici, con uno o forse cinque risvolti imprevedibili.</t>
        </is>
      </c>
      <c r="M291" s="14" t="inlineStr">
        <is>
          <t>https://www.ibs.it/x/e/9791281054196</t>
        </is>
      </c>
    </row>
    <row r="292">
      <c r="A292" s="14" t="inlineStr">
        <is>
          <t>3-6 anni</t>
        </is>
      </c>
      <c r="B292" s="14" t="inlineStr">
        <is>
          <t>Minibombo</t>
        </is>
      </c>
      <c r="C292" s="14" t="inlineStr">
        <is>
          <t>Il dubbio</t>
        </is>
      </c>
      <c r="D292" s="14" t="inlineStr">
        <is>
          <t>Silvia Borando e Alberto Lot</t>
        </is>
      </c>
      <c r="E292" s="14" t="inlineStr">
        <is>
          <t>dai 3 anni</t>
        </is>
      </c>
      <c r="F292" s="16" t="n">
        <v>13.9</v>
      </c>
      <c r="G292" s="14" t="inlineStr">
        <is>
          <t>9788898177844</t>
        </is>
      </c>
      <c r="H292" s="14" t="inlineStr"/>
      <c r="I292" s="14" t="inlineStr">
        <is>
          <t>Sì</t>
        </is>
      </c>
      <c r="J292" s="14" t="inlineStr">
        <is>
          <t>Catalogo Minibombo 2026</t>
        </is>
      </c>
      <c r="K292" s="14" t="inlineStr"/>
      <c r="L292" s="14" t="inlineStr">
        <is>
          <t>Un topo e un coccodrillo erano buoni amici. Così, quando il coccodrillo disse: «Non trovo più le mie maracas, temo di averle mangiate!», l’amico decise di aiutarlo. Ma lo stomaco del coccodrillo è decisamente affollato e un dubbio coglie allora il topo: e se fosse stato mangiato?</t>
        </is>
      </c>
      <c r="M292" s="14" t="inlineStr">
        <is>
          <t>https://www.ibs.it/x/e/9788898177844</t>
        </is>
      </c>
    </row>
    <row r="293">
      <c r="A293" s="14" t="inlineStr">
        <is>
          <t>3-6 anni</t>
        </is>
      </c>
      <c r="B293" s="14" t="inlineStr">
        <is>
          <t>Minibombo</t>
        </is>
      </c>
      <c r="C293" s="14" t="inlineStr">
        <is>
          <t>Storie brevi</t>
        </is>
      </c>
      <c r="D293" s="14" t="inlineStr">
        <is>
          <t>Silvia Borando</t>
        </is>
      </c>
      <c r="E293" s="14" t="inlineStr">
        <is>
          <t>dai 3 anni</t>
        </is>
      </c>
      <c r="F293" s="16" t="n">
        <v>12.9</v>
      </c>
      <c r="G293" s="14" t="inlineStr">
        <is>
          <t>9788898177875</t>
        </is>
      </c>
      <c r="H293" s="14" t="inlineStr"/>
      <c r="I293" s="14" t="inlineStr">
        <is>
          <t>Sì</t>
        </is>
      </c>
      <c r="J293" s="14" t="inlineStr">
        <is>
          <t>Catalogo Minibombo 2026</t>
        </is>
      </c>
      <c r="K293" s="14" t="inlineStr"/>
      <c r="L293" s="14" t="inlineStr">
        <is>
          <t>C’era una volta un libro fatto di dodici storie di massimo tre pagine. Erano storie brevi. Fine.</t>
        </is>
      </c>
      <c r="M293" s="14" t="inlineStr">
        <is>
          <t>https://www.ibs.it/x/e/9788898177875</t>
        </is>
      </c>
    </row>
    <row r="294">
      <c r="A294" s="14" t="inlineStr">
        <is>
          <t>3-6 anni</t>
        </is>
      </c>
      <c r="B294" s="14" t="inlineStr">
        <is>
          <t>Minibombo</t>
        </is>
      </c>
      <c r="C294" s="14" t="inlineStr">
        <is>
          <t>Un segreto importante</t>
        </is>
      </c>
      <c r="D294" s="14" t="inlineStr">
        <is>
          <t>Angelo Mozzillo ed Elisa Marzano</t>
        </is>
      </c>
      <c r="E294" s="14" t="inlineStr">
        <is>
          <t>dai 3 anni</t>
        </is>
      </c>
      <c r="F294" s="16" t="n">
        <v>13.9</v>
      </c>
      <c r="G294" s="14" t="inlineStr">
        <is>
          <t>9788898177882</t>
        </is>
      </c>
      <c r="H294" s="14" t="inlineStr"/>
      <c r="I294" s="14" t="inlineStr">
        <is>
          <t>Sì</t>
        </is>
      </c>
      <c r="J294" s="14" t="inlineStr">
        <is>
          <t>Catalogo Minibombo 2026</t>
        </is>
      </c>
      <c r="K294" s="14" t="inlineStr"/>
      <c r="L294" s="14" t="inlineStr">
        <is>
          <t>In fattoria c’è qualcosa sulla bocca di tutti: è il segreto di Pulcino, che non è riuscito a tenerselo per sé e l’ha rivelato al maiale, che l’ha detto a un suo amico, che se l’è lasciato sfuggire a sua volta... Questo segreto ormai sembrano conoscerlo proprio tutti! Sarà davvero così?</t>
        </is>
      </c>
      <c r="M294" s="14" t="inlineStr">
        <is>
          <t>https://www.ibs.it/x/e/9788898177882</t>
        </is>
      </c>
    </row>
    <row r="295">
      <c r="A295" s="14" t="inlineStr">
        <is>
          <t>3-6 anni</t>
        </is>
      </c>
      <c r="B295" s="14" t="inlineStr">
        <is>
          <t>People</t>
        </is>
      </c>
      <c r="C295" s="14" t="inlineStr">
        <is>
          <t>Immagina. Crea. Vivi!</t>
        </is>
      </c>
      <c r="D295" s="14" t="inlineStr"/>
      <c r="E295" s="14" t="inlineStr">
        <is>
          <t>da 5 anni</t>
        </is>
      </c>
      <c r="F295" s="16" t="n">
        <v>9</v>
      </c>
      <c r="G295" s="14" t="inlineStr">
        <is>
          <t>9791259794178</t>
        </is>
      </c>
      <c r="H295" s="14" t="inlineStr"/>
      <c r="I295" s="14" t="inlineStr">
        <is>
          <t>Sì</t>
        </is>
      </c>
      <c r="J295" s="14" t="inlineStr">
        <is>
          <t>Kids</t>
        </is>
      </c>
      <c r="K295" s="14" t="inlineStr"/>
      <c r="L295" s="14" t="inlineStr">
        <is>
          <t>Un albo illustrato per adultə e ragazzə da colorare a proprio piacimento, con venti illustrazioni realizzate da Martina Pellecchia ispirate al potere delle storie, delle idee e della fantasia. Un percorso creativo che celebra la libertà della mente e la capacità dell’immaginazione di trasformare la realtà.</t>
        </is>
      </c>
      <c r="M295" s="14" t="inlineStr">
        <is>
          <t>https://www.ibs.it/x/e/9791259794178</t>
        </is>
      </c>
    </row>
    <row r="296">
      <c r="A296" s="14" t="inlineStr">
        <is>
          <t>Adolescenza (14+)</t>
        </is>
      </c>
      <c r="B296" s="14" t="inlineStr">
        <is>
          <t>People</t>
        </is>
      </c>
      <c r="C296" s="14" t="inlineStr">
        <is>
          <t>Io non ho paura del lupo</t>
        </is>
      </c>
      <c r="D296" s="14" t="inlineStr">
        <is>
          <t>Tommaso D’Errico</t>
        </is>
      </c>
      <c r="E296" s="14" t="inlineStr">
        <is>
          <t>14+</t>
        </is>
      </c>
      <c r="F296" s="16" t="n">
        <v>18</v>
      </c>
      <c r="G296" s="14" t="inlineStr">
        <is>
          <t>9791259792280</t>
        </is>
      </c>
      <c r="H296" s="14" t="inlineStr"/>
      <c r="I296" s="14" t="inlineStr">
        <is>
          <t>Sì</t>
        </is>
      </c>
      <c r="J296" s="14" t="inlineStr">
        <is>
          <t>Kids</t>
        </is>
      </c>
      <c r="K296" s="14" t="inlineStr"/>
      <c r="L296" s="14" t="inlineStr">
        <is>
          <t>Il ritorno del lupo in Italia e in Europa, con la recente espansione della specie giunta a ridosso delle grandi città, riguarda ormai tutti noi ed è il simbolo di un tema più vasto: quello della convivenza tra esseri umani e animali selvatici. Mentre la crisi ambientale rivela le nostre fragilità, la presenza del lupo ci spinge a riflettere sulla necessità di riadattare prospettive e comportamenti, per far fronte a minacce che riguardano non solo la conservazione delle altre specie, ma la nostra stessa capacità di sopravvivenza.</t>
        </is>
      </c>
      <c r="M296" s="14" t="inlineStr">
        <is>
          <t>https://www.ibs.it/x/e/9791259792280 · età indicata da Bottegart</t>
        </is>
      </c>
    </row>
    <row r="297">
      <c r="A297" s="14" t="inlineStr">
        <is>
          <t>Scuola media (11-13)</t>
        </is>
      </c>
      <c r="B297" s="14" t="inlineStr">
        <is>
          <t>People</t>
        </is>
      </c>
      <c r="C297" s="14" t="inlineStr">
        <is>
          <t>Non esistono piccoli antifascisti</t>
        </is>
      </c>
      <c r="D297" s="14" t="inlineStr">
        <is>
          <t>Johannes Bückler</t>
        </is>
      </c>
      <c r="E297" s="14" t="inlineStr">
        <is>
          <t>da 12 anni</t>
        </is>
      </c>
      <c r="F297" s="16" t="n">
        <v>16</v>
      </c>
      <c r="G297" s="14" t="inlineStr">
        <is>
          <t>9791259792822</t>
        </is>
      </c>
      <c r="H297" s="14" t="inlineStr"/>
      <c r="I297" s="14" t="inlineStr">
        <is>
          <t>Sì</t>
        </is>
      </c>
      <c r="J297" s="14" t="inlineStr">
        <is>
          <t>Kids / Immaginazione</t>
        </is>
      </c>
      <c r="K297" s="14" t="inlineStr">
        <is>
          <t>Antifascismo</t>
        </is>
      </c>
      <c r="L297" s="14" t="inlineStr">
        <is>
          <t>Perché l’ennesimo libro sulla Resistenza? Perché il 25 aprile di quest’anno ricorre l’ottantesimo anniversario della Liberazione: la giusta occasione per offrire una serie di testimonianze, raccontate in prima persona, che celebrano il coraggio di coloro che hanno lottato e sacrificato la loro vita per la nostra libertà. Le vite contenute in questo nuovo volume dimostrano come l’antifascismo abbia attraversato trasversalmente la società italiana. Donne, giovani, operai, intellettuali, cattolici: a essere coinvolte sono state persone di estrazione sociale, età e genere diversi. Le loro storie raccontano atti di straordinario valore.</t>
        </is>
      </c>
      <c r="M297" s="14" t="inlineStr">
        <is>
          <t>https://www.ibs.it/x/e/9791259792822 · età indicata da Bottegart</t>
        </is>
      </c>
    </row>
    <row r="298">
      <c r="A298" s="14" t="inlineStr">
        <is>
          <t>3-6 anni</t>
        </is>
      </c>
      <c r="B298" s="14" t="inlineStr">
        <is>
          <t>Logos</t>
        </is>
      </c>
      <c r="C298" s="14" t="inlineStr">
        <is>
          <t>Edmondo e la Cacca Misteriosa</t>
        </is>
      </c>
      <c r="D298" s="14" t="inlineStr">
        <is>
          <t>Thibault Guichon-Laurier; ill. Frédéric Pillot</t>
        </is>
      </c>
      <c r="E298" s="14" t="inlineStr">
        <is>
          <t>da 3 anni</t>
        </is>
      </c>
      <c r="F298" s="16" t="n">
        <v>15</v>
      </c>
      <c r="G298" s="14" t="inlineStr">
        <is>
          <t>9788857614250</t>
        </is>
      </c>
      <c r="H298" s="14" t="inlineStr"/>
      <c r="I298" s="14" t="inlineStr">
        <is>
          <t>Sì</t>
        </is>
      </c>
      <c r="J298" s="14" t="inlineStr">
        <is>
          <t>Albo Ciopi</t>
        </is>
      </c>
      <c r="K298" s="14" t="inlineStr"/>
      <c r="L298" s="14" t="inlineStr">
        <is>
          <t>Chi ha fatto la cacca proprio davanti alla casa della famiglia di Edmondo? La famiglia di Edmondo scopre una grossa cacca davanti a casa e subito i sospetti ricadono su di lui. Ma Edmondo non ha certo intenzione di farsi sgridare al posto di qualcun altro! Perciò adotta la migliore delle strategie: resta fedele a sé stesso e non si lascia scoraggiare. Avvia immediatamente le indagini e innanzitutto esamina il corpo del reato: è una cacca voluminosa, puzzolente e ancora fresca, quindi il colpevole non può essere lontano.</t>
        </is>
      </c>
      <c r="M298" s="14" t="inlineStr">
        <is>
          <t>https://www.ibs.it/x/e/9788857614250</t>
        </is>
      </c>
    </row>
    <row r="299">
      <c r="A299" s="14" t="inlineStr">
        <is>
          <t>3-6 anni</t>
        </is>
      </c>
      <c r="B299" s="14" t="inlineStr">
        <is>
          <t>Logos</t>
        </is>
      </c>
      <c r="C299" s="14" t="inlineStr">
        <is>
          <t>La Famiglia Volpitassi 1 – l’Incontro</t>
        </is>
      </c>
      <c r="D299" s="14" t="inlineStr">
        <is>
          <t>Brigitte Luciani; ill. Eve Tharlet</t>
        </is>
      </c>
      <c r="E299" s="14" t="inlineStr">
        <is>
          <t>da 3 anni</t>
        </is>
      </c>
      <c r="F299" s="16" t="n">
        <v>12</v>
      </c>
      <c r="G299" s="14" t="inlineStr">
        <is>
          <t>9788857614120</t>
        </is>
      </c>
      <c r="H299" s="14" t="inlineStr"/>
      <c r="I299" s="14" t="inlineStr">
        <is>
          <t>Sì</t>
        </is>
      </c>
      <c r="J299" s="14" t="inlineStr">
        <is>
          <t>Fumetto Ciopi</t>
        </is>
      </c>
      <c r="K299" s="14" t="inlineStr"/>
      <c r="L299" s="14" t="inlineStr">
        <is>
          <t>Il signor Tasso accoglie la signora Volpe e la figlia nella tana dove vive con i suoi figli. Riusciranno i ragazzi ad andare d’accordo? Da quando ha perduto la moglie a causa di una malattia, il signor Tasso vive nella sua tana insieme ai tre figli: Ghiottone, Volverino e la piccola Mirtilla. Una sera, la famiglia riunita a cena riceve la visita della signora Volpe e della figlia Fulvia: in fuga dai cacciatori che hanno scoperto la loro tana, cercano un posto dove trascorrere la notte. Il signor Tasso le invita a trasferirsi a casa sua: in fondo c’è abbastanza spazio per tutti.</t>
        </is>
      </c>
      <c r="M299" s="14" t="inlineStr">
        <is>
          <t>https://www.ibs.it/x/e/9788857614120</t>
        </is>
      </c>
    </row>
    <row r="300">
      <c r="A300" s="14" t="inlineStr">
        <is>
          <t>3-6 anni</t>
        </is>
      </c>
      <c r="B300" s="14" t="inlineStr">
        <is>
          <t>Logos</t>
        </is>
      </c>
      <c r="C300" s="14" t="inlineStr">
        <is>
          <t>Pinocchio</t>
        </is>
      </c>
      <c r="D300" s="14" t="inlineStr">
        <is>
          <t>Gabriel Pacheco</t>
        </is>
      </c>
      <c r="E300" s="14" t="inlineStr">
        <is>
          <t>da 3 anni</t>
        </is>
      </c>
      <c r="F300" s="16" t="n">
        <v>25</v>
      </c>
      <c r="G300" s="14" t="inlineStr">
        <is>
          <t>9788857614502</t>
        </is>
      </c>
      <c r="H300" s="14" t="inlineStr"/>
      <c r="I300" s="14" t="inlineStr">
        <is>
          <t>Sì</t>
        </is>
      </c>
      <c r="J300" s="14" t="inlineStr">
        <is>
          <t>Illustrati</t>
        </is>
      </c>
      <c r="K300" s="14" t="inlineStr"/>
      <c r="L300" s="14" t="inlineStr">
        <is>
          <t>C’era una volta… “Un re!” diranno subito i miei piccoli lettori. No, ragazzi, avete sbagliato. C’era una volta un pezzo di legno. E con un pezzo di legno e un falegname si apre il Pinocchio di Gabriel Pacheco che, più vivo che mai, salta da una pagina all’altra attraversando le tante avventure che ben conosciamo. Dal teatro dei burattini di Mangiafuoco, all’incontro con il Gatto e la Volpe e poi con la Bella bambina dai capelli turchini, dal Paese dei Balocchi alla pancia del Pescecane fino a diventare finalmente un bambino vero.</t>
        </is>
      </c>
      <c r="M300" s="14" t="inlineStr">
        <is>
          <t>https://www.ibs.it/x/e/9788857614502</t>
        </is>
      </c>
    </row>
    <row r="301">
      <c r="A301" s="14" t="inlineStr">
        <is>
          <t>Prime letture (6-8)</t>
        </is>
      </c>
      <c r="B301" s="14" t="inlineStr">
        <is>
          <t>Logos</t>
        </is>
      </c>
      <c r="C301" s="14" t="inlineStr">
        <is>
          <t>Cosa Fanno le Bambine?</t>
        </is>
      </c>
      <c r="D301" s="14" t="inlineStr">
        <is>
          <t>Nikolaus Heidelbach; ill. Nikolaus Heidelback</t>
        </is>
      </c>
      <c r="E301" s="14" t="inlineStr">
        <is>
          <t>da 6 anni</t>
        </is>
      </c>
      <c r="F301" s="16" t="n">
        <v>19</v>
      </c>
      <c r="G301" s="14" t="inlineStr">
        <is>
          <t>9788857613949</t>
        </is>
      </c>
      <c r="H301" s="14" t="inlineStr"/>
      <c r="I301" s="14" t="inlineStr">
        <is>
          <t>Sì</t>
        </is>
      </c>
      <c r="J301" s="14" t="inlineStr">
        <is>
          <t>Albo Ciopi</t>
        </is>
      </c>
      <c r="K301" s="14" t="inlineStr"/>
      <c r="L301" s="14" t="inlineStr">
        <is>
          <t>Un libro dedicato a tutte le bambine libere, eccentriche, temperamentali e audaci! Antraut mangia un panino… in compagnia di alcuni stravaganti animali seduti a tavola in attesa. Brigitte esce di casa… appoggiando i piedi nudi su una grossa palla scura. Dietlinde vuol fare carriera… e prova le benedizioni allo specchio con indosso i paramenti papali. Qunigunde stende il bucato… e appende al filo un enorme tappeto ‘umanimale’. Ulrike si prepara per un ballo in maschera… gonfiando un gigantesco costume da elefante.</t>
        </is>
      </c>
      <c r="M301" s="14" t="inlineStr">
        <is>
          <t>https://www.ibs.it/x/e/9788857613949</t>
        </is>
      </c>
    </row>
    <row r="302">
      <c r="A302" s="14" t="inlineStr">
        <is>
          <t>8+</t>
        </is>
      </c>
      <c r="B302" s="14" t="inlineStr">
        <is>
          <t>Logos</t>
        </is>
      </c>
      <c r="C302" s="14" t="inlineStr">
        <is>
          <t>Bella Bambina Dai Capelli Turchini</t>
        </is>
      </c>
      <c r="D302" s="14" t="inlineStr">
        <is>
          <t>Adolfo Córdova; ill. David Álvarez</t>
        </is>
      </c>
      <c r="E302" s="14" t="inlineStr">
        <is>
          <t>da 8 anni</t>
        </is>
      </c>
      <c r="F302" s="16" t="n">
        <v>20</v>
      </c>
      <c r="G302" s="14" t="inlineStr">
        <is>
          <t>9788857613628</t>
        </is>
      </c>
      <c r="H302" s="14" t="inlineStr"/>
      <c r="I302" s="14" t="inlineStr">
        <is>
          <t>Sì</t>
        </is>
      </c>
      <c r="J302" s="14" t="inlineStr">
        <is>
          <t>C’Era Una Volta Ancora</t>
        </is>
      </c>
      <c r="K302" s="14" t="inlineStr"/>
      <c r="L302" s="14" t="inlineStr">
        <is>
          <t>Nel bosco vive una bambina dai capelli turchini. È una fata mandata nel mondo dagli spiriti dell’aria con un unico compito: proteggere gli indifesi e in particolar modo i bambini abbandonati, traditi dall’egoismo di adulti troppo presi dalle loro ambizioni. Per vendicarli, le basta un piccolo gesto da cui si sprigiona un potere terribile: chiunque lei sfiori si trasforma in un albero. Uno scricchiolio di corteccia e soldati, cavalieri, re e persino interi eserciti vivranno più a lungo delle guerre offrendo riparo alle stesse creature che avevano minacciato.</t>
        </is>
      </c>
      <c r="M302" s="14" t="inlineStr">
        <is>
          <t>https://www.ibs.it/x/e/9788857613628</t>
        </is>
      </c>
    </row>
    <row r="303">
      <c r="A303" s="14" t="inlineStr">
        <is>
          <t>8+</t>
        </is>
      </c>
      <c r="B303" s="14" t="inlineStr">
        <is>
          <t>Logos</t>
        </is>
      </c>
      <c r="C303" s="14" t="inlineStr">
        <is>
          <t>Cosimo</t>
        </is>
      </c>
      <c r="D303" s="14" t="inlineStr">
        <is>
          <t>Roger Olmos</t>
        </is>
      </c>
      <c r="E303" s="14" t="inlineStr">
        <is>
          <t>da 8 anni</t>
        </is>
      </c>
      <c r="F303" s="16" t="n">
        <v>20</v>
      </c>
      <c r="G303" s="14" t="inlineStr">
        <is>
          <t>9788857607894</t>
        </is>
      </c>
      <c r="H303" s="14" t="inlineStr"/>
      <c r="I303" s="14" t="inlineStr">
        <is>
          <t>Sì</t>
        </is>
      </c>
      <c r="J303" s="14" t="inlineStr">
        <is>
          <t>Illustrati</t>
        </is>
      </c>
      <c r="K303" s="14" t="inlineStr"/>
      <c r="L303" s="14" t="inlineStr">
        <is>
          <t>Il barone rampante di Italo Calvino per sole immagini. “Vorrei che ci fossero più Cosimo al mondo. Capaci di essere fedeli al proprio ideale e mantenere le decisioni prese. Mi ha riportato alla mia infanzia, quando giocavo ad arrampicarmi sugli alberi, a fare e immaginare capanne sospese nell’aria fra i rami. La sua vita è come un gioco eterno che sfida la gravità e le leggi del mondo degli adulti e, come tutti, anche io ho pensato a cosa ne sarebbe stato di me se avessi avuto la sua stessa forza e la stessa determinazione. Cosa ne sarebbe stato di tutti noi se non ci fossimo mai arresi? (Roger Olmos).</t>
        </is>
      </c>
      <c r="M303" s="14" t="inlineStr">
        <is>
          <t>https://www.ibs.it/x/e/9788857607894</t>
        </is>
      </c>
    </row>
    <row r="304">
      <c r="A304" s="14" t="inlineStr">
        <is>
          <t>8+</t>
        </is>
      </c>
      <c r="B304" s="14" t="inlineStr">
        <is>
          <t>Logos</t>
        </is>
      </c>
      <c r="C304" s="14" t="inlineStr">
        <is>
          <t>Mira</t>
        </is>
      </c>
      <c r="D304" s="14" t="inlineStr">
        <is>
          <t>Rocco Lombardi</t>
        </is>
      </c>
      <c r="E304" s="14" t="inlineStr">
        <is>
          <t>da 8 anni</t>
        </is>
      </c>
      <c r="F304" s="16" t="n">
        <v>20</v>
      </c>
      <c r="G304" s="14" t="inlineStr">
        <is>
          <t>9788857613819</t>
        </is>
      </c>
      <c r="H304" s="14" t="inlineStr"/>
      <c r="I304" s="14" t="inlineStr">
        <is>
          <t>Sì</t>
        </is>
      </c>
      <c r="J304" s="14" t="inlineStr">
        <is>
          <t>Illustrati</t>
        </is>
      </c>
      <c r="K304" s="14" t="inlineStr"/>
      <c r="L304" s="14" t="inlineStr">
        <is>
          <t>Un mattino, una pantera: così inizia la storia. La luce del sole risale i pendii delle montagne, la pantera si sveglia e getta uno sguardo sugli alberi che fitti la circondano, tanto più piccoli di lei. Voltiamo pagina e lei posa su di noi i suoi occhi penetranti, taglienti, mentre tra le zampe tiene una sfera trasparente che protegge il sonno di una bambina. Lei si desta a sua volta, è nuda e indifesa, immensamente più piccola dell’animale, di cui però non ha paura.</t>
        </is>
      </c>
      <c r="M304" s="14" t="inlineStr">
        <is>
          <t>https://www.ibs.it/x/e/9788857613819</t>
        </is>
      </c>
    </row>
    <row r="305">
      <c r="A305" s="14" t="inlineStr">
        <is>
          <t>Scuola media (11-13)</t>
        </is>
      </c>
      <c r="B305" s="14" t="inlineStr">
        <is>
          <t>Logos</t>
        </is>
      </c>
      <c r="C305" s="14" t="inlineStr">
        <is>
          <t>Barbablù</t>
        </is>
      </c>
      <c r="D305" s="14" t="inlineStr">
        <is>
          <t>Chiara Lossani; ill. Gabriel Pacheco</t>
        </is>
      </c>
      <c r="E305" s="14" t="inlineStr">
        <is>
          <t>da 12 anni</t>
        </is>
      </c>
      <c r="F305" s="16" t="n">
        <v>17</v>
      </c>
      <c r="G305" s="14" t="inlineStr">
        <is>
          <t>9788857610047</t>
        </is>
      </c>
      <c r="H305" s="14" t="inlineStr"/>
      <c r="I305" s="14" t="inlineStr">
        <is>
          <t>Sì</t>
        </is>
      </c>
      <c r="J305" s="14" t="inlineStr">
        <is>
          <t>Illustrati</t>
        </is>
      </c>
      <c r="K305" s="14" t="inlineStr"/>
      <c r="L305" s="14" t="inlineStr">
        <is>
          <t>In un giardino lussureggiante, due sorelle si guardano, forse stanno conversando, forse si interrogano a vicenda senza bisogno di parole. Una siede sull’erba tenendo in mano un libro, l’altra è in piedi e si appoggia a una colonna con aria meditabonda. Indossano abiti sontuosi, segno del loro alto lignaggio, ornati rispettivamente con simboli cartografici e immagini di mostri mitologici. Una bussola poggiata a terra accentua le allusioni al viaggio e all’avventura.</t>
        </is>
      </c>
      <c r="M305" s="14" t="inlineStr">
        <is>
          <t>https://www.ibs.it/x/e/9788857610047</t>
        </is>
      </c>
    </row>
    <row r="306">
      <c r="A306" s="14" t="inlineStr">
        <is>
          <t>Scuola media (11-13)</t>
        </is>
      </c>
      <c r="B306" s="14" t="inlineStr">
        <is>
          <t>Logos</t>
        </is>
      </c>
      <c r="C306" s="14" t="inlineStr">
        <is>
          <t>La Sirenetta</t>
        </is>
      </c>
      <c r="D306" s="14" t="inlineStr">
        <is>
          <t>Gabriel Pacheco</t>
        </is>
      </c>
      <c r="E306" s="14" t="inlineStr">
        <is>
          <t>da 12 anni</t>
        </is>
      </c>
      <c r="F306" s="16" t="n">
        <v>19</v>
      </c>
      <c r="G306" s="14" t="inlineStr">
        <is>
          <t>9788857613604</t>
        </is>
      </c>
      <c r="H306" s="14" t="inlineStr"/>
      <c r="I306" s="14" t="inlineStr">
        <is>
          <t>Sì</t>
        </is>
      </c>
      <c r="J306" s="14" t="inlineStr">
        <is>
          <t>Illustrati</t>
        </is>
      </c>
      <c r="K306" s="14" t="inlineStr"/>
      <c r="L306" s="14" t="inlineStr">
        <is>
          <t>La più celebre fiaba di Hans Christian Andersen raccontata per sole immagini. Giù negli abissi vive il popolo del mare e in uno splendido castello abitano il re e le sue figlie, fanciulle metà donne e metà pesci. La più piccola è affascinata dal mondo di sopra, di cui la nonna le ha raccontato tutto ciò che sa. Quando finalmente, al compimento dei quindici anni, la sirenetta ha il permesso di salire in superficie, è testimone di un naufragio e salva un principe di cui si innamora perdutamente. Decisa a tornare sulla terra per stare per sempre con lui, stringe un patto con la strega del mare e rinuncia alla sua voce in cambio delle gambe.</t>
        </is>
      </c>
      <c r="M306" s="14" t="inlineStr">
        <is>
          <t>https://www.ibs.it/x/e/9788857613604</t>
        </is>
      </c>
    </row>
    <row r="307">
      <c r="A307" s="14" t="inlineStr">
        <is>
          <t>0-3 anni</t>
        </is>
      </c>
      <c r="B307" s="14" t="inlineStr">
        <is>
          <t>Lapis</t>
        </is>
      </c>
      <c r="C307" s="14" t="inlineStr">
        <is>
          <t>Nanà è arrabbiata</t>
        </is>
      </c>
      <c r="D307" s="14" t="inlineStr">
        <is>
          <t>Kimiko</t>
        </is>
      </c>
      <c r="E307" s="14" t="inlineStr">
        <is>
          <t>0-3 anni</t>
        </is>
      </c>
      <c r="F307" s="16" t="n">
        <v>11.5</v>
      </c>
      <c r="G307" s="14" t="inlineStr">
        <is>
          <t>9788878749757</t>
        </is>
      </c>
      <c r="H307" s="14" t="inlineStr"/>
      <c r="I307" s="14" t="inlineStr">
        <is>
          <t>Sì</t>
        </is>
      </c>
      <c r="J307" s="14" t="inlineStr">
        <is>
          <t>Le avventure di Tato e Nanà</t>
        </is>
      </c>
      <c r="K307" s="14" t="inlineStr"/>
      <c r="L307" s="14" t="inlineStr">
        <is>
          <t>È arrivato il momento della merenda. Oggi ci saranno i dolcetti! Ma quando Nanà e Tato arrivano in cucina trovano il piatto vuoto. Dei dolcetti nemmeno l’ombra. La sparizione dei dolcetti scatena in Nanà una reazione di fortissima rabbia: prima accusa ingiustamente il fratellino Tato, poi si dispera in un crescendo di collera che la porta a urlare e… diventare tutta rossa. Ma la rabbia va espressa, lasciata fluire: così, una volta sfogata, grazie all’empatia di Tato e alla dolcezza della frutta, l’arrabbiatura, così come è arrivata, se ne va. Grazie, per avermi fatto passare la rabbia, Tato! Smack! Per te un bel bacio arancione. Intanto...</t>
        </is>
      </c>
      <c r="M307" s="14" t="inlineStr"/>
    </row>
    <row r="308">
      <c r="A308" s="14" t="inlineStr">
        <is>
          <t>0-3 anni</t>
        </is>
      </c>
      <c r="B308" s="14" t="inlineStr">
        <is>
          <t>Lapis</t>
        </is>
      </c>
      <c r="C308" s="14" t="inlineStr">
        <is>
          <t>Il bacio arcobaleno</t>
        </is>
      </c>
      <c r="D308" s="14" t="inlineStr">
        <is>
          <t>Kimiko</t>
        </is>
      </c>
      <c r="E308" s="14" t="inlineStr">
        <is>
          <t>0-3 anni</t>
        </is>
      </c>
      <c r="F308" s="16" t="n">
        <v>11.5</v>
      </c>
      <c r="G308" s="14" t="inlineStr">
        <is>
          <t>9788878749535</t>
        </is>
      </c>
      <c r="H308" s="14" t="inlineStr"/>
      <c r="I308" s="14" t="inlineStr">
        <is>
          <t>Sì</t>
        </is>
      </c>
      <c r="J308" s="14" t="inlineStr">
        <is>
          <t>Le avventure di Tato e Nanà</t>
        </is>
      </c>
      <c r="K308" s="14" t="inlineStr"/>
      <c r="L308" s="14" t="inlineStr">
        <is>
          <t>Un bel bacio giallo e passa tutto. Tato spiega a Nanà che esistono baci di tutti i colori. Il bacio giallo è il bacio-della-bua, piccolo e delicato come un pulcino, il bacio rosa è il bacio-della-nanna, per fare sogni d’oro. Quello verde si dà sul collo e ti fa il solletico, quello rosso è per quando siamo felici, quello viola si schiocca da lontano per dirsi arrivederci… E poi c’è il preferito di Nanà e Tato: il bacio arcobaleno! Perfetto per ogni occasione. Un bacio di mille colori, come l’amore.</t>
        </is>
      </c>
      <c r="M308" s="14" t="inlineStr"/>
    </row>
    <row r="309">
      <c r="A309" s="14" t="inlineStr">
        <is>
          <t>0-3 anni</t>
        </is>
      </c>
      <c r="B309" s="14" t="inlineStr">
        <is>
          <t>Lapis</t>
        </is>
      </c>
      <c r="C309" s="14" t="inlineStr">
        <is>
          <t>Meglio insieme</t>
        </is>
      </c>
      <c r="D309" s="14" t="inlineStr">
        <is>
          <t>Attilio Cassinelli</t>
        </is>
      </c>
      <c r="E309" s="14" t="inlineStr">
        <is>
          <t>da 2 anni</t>
        </is>
      </c>
      <c r="F309" s="16" t="n">
        <v>12.5</v>
      </c>
      <c r="G309" s="14" t="inlineStr">
        <is>
          <t>9788878749177</t>
        </is>
      </c>
      <c r="H309" s="14" t="inlineStr"/>
      <c r="I309" s="14" t="inlineStr">
        <is>
          <t>Sì</t>
        </is>
      </c>
      <c r="J309" s="14" t="inlineStr">
        <is>
          <t>I senza parole di Attilio</t>
        </is>
      </c>
      <c r="K309" s="14" t="inlineStr"/>
      <c r="L309" s="14" t="inlineStr">
        <is>
          <t>La storia per immagini di due cuccioli, che dormono tranquilli nella loro gabbia. Ma uno dei due ha trovato un padrone e vengono separati. Il cucciolo adottato arriva nella nuova casa, dove lo attende una bambina che fa di tutto per renderlo felice, ma il cucciolo non mangia, non gioca, resta nascosto tutto il tempo. La bambina è disperata. La mamma trova la cura per la sua tristezza. Anche il secondo cucciolo ha trovato posto a casa della bambina.</t>
        </is>
      </c>
      <c r="M309" s="14" t="inlineStr"/>
    </row>
    <row r="310">
      <c r="A310" s="14" t="inlineStr">
        <is>
          <t>0-3 anni</t>
        </is>
      </c>
      <c r="B310" s="14" t="inlineStr">
        <is>
          <t>Lapis</t>
        </is>
      </c>
      <c r="C310" s="14" t="inlineStr">
        <is>
          <t>Pio pio bau bau</t>
        </is>
      </c>
      <c r="D310" s="14" t="inlineStr">
        <is>
          <t>Attilio Cassinelli</t>
        </is>
      </c>
      <c r="E310" s="14" t="inlineStr">
        <is>
          <t>da 2 anni</t>
        </is>
      </c>
      <c r="F310" s="16" t="n">
        <v>12.5</v>
      </c>
      <c r="G310" s="14" t="inlineStr">
        <is>
          <t>9788878749184</t>
        </is>
      </c>
      <c r="H310" s="14" t="inlineStr"/>
      <c r="I310" s="14" t="inlineStr">
        <is>
          <t>Sì</t>
        </is>
      </c>
      <c r="J310" s="14" t="inlineStr">
        <is>
          <t>I senza parole di Attilio</t>
        </is>
      </c>
      <c r="K310" s="14" t="inlineStr"/>
      <c r="L310" s="14" t="inlineStr">
        <is>
          <t>La storia di un pulcino che, approfittando di un momento di distrazione della mamma, si allontana dall’aia andando incontro a ben più grandi e colorati animali: la capra, il cane, la rana, il corvo… Di ogni animale imparerà a imitare i versi restituendoli infine alla chioccia preoccupata. Per fare pio pio, però, ci vuole un aiuto. Ditelo voi, pulcini, a vostro fratello!</t>
        </is>
      </c>
      <c r="M310" s="14" t="inlineStr"/>
    </row>
    <row r="311">
      <c r="A311" s="14" t="inlineStr">
        <is>
          <t>0-3 anni</t>
        </is>
      </c>
      <c r="B311" s="14" t="inlineStr">
        <is>
          <t>Lapis</t>
        </is>
      </c>
      <c r="C311" s="14" t="inlineStr">
        <is>
          <t>Cappuccetto Rosso</t>
        </is>
      </c>
      <c r="D311" s="14" t="inlineStr">
        <is>
          <t>Attilio Cassinelli</t>
        </is>
      </c>
      <c r="E311" s="14" t="inlineStr">
        <is>
          <t>da 2 anni</t>
        </is>
      </c>
      <c r="F311" s="16" t="n">
        <v>9.9</v>
      </c>
      <c r="G311" s="14" t="inlineStr">
        <is>
          <t>9788878745124</t>
        </is>
      </c>
      <c r="H311" s="14" t="inlineStr"/>
      <c r="I311" s="14" t="inlineStr">
        <is>
          <t>Sì</t>
        </is>
      </c>
      <c r="J311" s="14" t="inlineStr">
        <is>
          <t>Le mini storie di Attilio</t>
        </is>
      </c>
      <c r="K311" s="14" t="inlineStr">
        <is>
          <t>Ecologia, natura, amicizia</t>
        </is>
      </c>
      <c r="L311" s="14" t="inlineStr">
        <is>
          <t>Le fiabe più amate, raccontate con il segno deciso e inconfondibile di Attilio, indiscusso maestro dell’illustrazione italiana.</t>
        </is>
      </c>
      <c r="M311" s="14" t="inlineStr"/>
    </row>
    <row r="312">
      <c r="A312" s="14" t="inlineStr">
        <is>
          <t>0-3 anni</t>
        </is>
      </c>
      <c r="B312" s="14" t="inlineStr">
        <is>
          <t>Lapis</t>
        </is>
      </c>
      <c r="C312" s="14" t="inlineStr">
        <is>
          <t>Vieni a giocare?</t>
        </is>
      </c>
      <c r="D312" s="14" t="inlineStr">
        <is>
          <t>Attilio Cassinelli</t>
        </is>
      </c>
      <c r="E312" s="14" t="inlineStr">
        <is>
          <t>0-3 anni</t>
        </is>
      </c>
      <c r="F312" s="16" t="n">
        <v>9.9</v>
      </c>
      <c r="G312" s="14" t="inlineStr">
        <is>
          <t>9788878747586</t>
        </is>
      </c>
      <c r="H312" s="14" t="inlineStr"/>
      <c r="I312" s="14" t="inlineStr">
        <is>
          <t>Sì</t>
        </is>
      </c>
      <c r="J312" s="14" t="inlineStr">
        <is>
          <t>Le mini storie di Attilio</t>
        </is>
      </c>
      <c r="K312" s="14" t="inlineStr">
        <is>
          <t>Ecologia, natura, amicizia</t>
        </is>
      </c>
      <c r="L312" s="14" t="inlineStr">
        <is>
          <t>Il cagnolino Bob esce a cercare i suoi amici per giocare a palla. Il coniglietto Samuele vorrebbe andare giocare con lui, ma prima deve trasportare un carretto di carote. Per far prima, Bob lo aiuta. Anche la mucca Milli ha voglia di giocare, ma prima Bob deve aiutarla a trasportare un secchio di latte. Orsetto deve segare un tronco, Pericle il gatto deve sistemare il barattolo di vernice, il castoro deve trasportare alcune pietre… Bob li aiuta tutti. Che bello! Ora gli amici sono liberi dagli impegni e possono giocare tutti insieme con la palla. E Bob, dov’è? Lui si è addormentato, stanchissimo!</t>
        </is>
      </c>
      <c r="M312" s="14" t="inlineStr"/>
    </row>
    <row r="313">
      <c r="A313" s="14" t="inlineStr">
        <is>
          <t>3-6 anni</t>
        </is>
      </c>
      <c r="B313" s="14" t="inlineStr">
        <is>
          <t>Lapis</t>
        </is>
      </c>
      <c r="C313" s="14" t="inlineStr">
        <is>
          <t>Voglio il mio ciuccio</t>
        </is>
      </c>
      <c r="D313" s="14" t="inlineStr">
        <is>
          <t>Tony Ross</t>
        </is>
      </c>
      <c r="E313" s="14" t="inlineStr">
        <is>
          <t>da 4 anni</t>
        </is>
      </c>
      <c r="F313" s="16" t="n">
        <v>9.800000000000001</v>
      </c>
      <c r="G313" s="14" t="inlineStr">
        <is>
          <t>9788878742543</t>
        </is>
      </c>
      <c r="H313" s="14" t="inlineStr"/>
      <c r="I313" s="14" t="inlineStr">
        <is>
          <t>Sì</t>
        </is>
      </c>
      <c r="J313" s="14" t="inlineStr">
        <is>
          <t>Storie di una principessina</t>
        </is>
      </c>
      <c r="K313" s="14" t="inlineStr"/>
      <c r="L313" s="14" t="inlineStr">
        <is>
          <t>Dov’è finito il mio ciuccio? Voglio il mio ciuccio!. Cosa ci fa il ciuccio della Principessina nel camino? E chi lo ha buttato nella pattumiera? Anche se il Re, la Regina, il Generale e la Cameriera si danno un gran da fare per nasconderlo, lei riesce sempre a trovarlo. Ma... siamo proprio sicuri che il ciuccio serva davvero alla Principessina?</t>
        </is>
      </c>
      <c r="M313" s="14" t="inlineStr"/>
    </row>
    <row r="314">
      <c r="A314" s="14" t="inlineStr">
        <is>
          <t>3-6 anni</t>
        </is>
      </c>
      <c r="B314" s="14" t="inlineStr">
        <is>
          <t>Lapis</t>
        </is>
      </c>
      <c r="C314" s="14" t="inlineStr">
        <is>
          <t>Voglio il mio vasino</t>
        </is>
      </c>
      <c r="D314" s="14" t="inlineStr">
        <is>
          <t>Tony Ross</t>
        </is>
      </c>
      <c r="E314" s="14" t="inlineStr">
        <is>
          <t>da 4 anni</t>
        </is>
      </c>
      <c r="F314" s="16" t="n">
        <v>9.800000000000001</v>
      </c>
      <c r="G314" s="14" t="inlineStr">
        <is>
          <t>9788878742550</t>
        </is>
      </c>
      <c r="H314" s="14" t="inlineStr"/>
      <c r="I314" s="14" t="inlineStr">
        <is>
          <t>Sì</t>
        </is>
      </c>
      <c r="J314" s="14" t="inlineStr">
        <is>
          <t>Storie di una principessina</t>
        </is>
      </c>
      <c r="K314" s="14" t="inlineStr"/>
      <c r="L314" s="14" t="inlineStr">
        <is>
          <t>Il pannolino è bleah! Non c’è niente di meglio? dice la Principessina. Il vasino è meglio! dice la Regina. La Principessina è arcistufa del pannolino ma il vasino non sembra piacerle affatto... Almeno fino a quando non scopre che può essere divertente e soprattutto... molto utile!</t>
        </is>
      </c>
      <c r="M314" s="14" t="inlineStr"/>
    </row>
    <row r="315">
      <c r="A315" s="14" t="inlineStr">
        <is>
          <t>Prime letture (6-8)</t>
        </is>
      </c>
      <c r="B315" s="14" t="inlineStr">
        <is>
          <t>Lapis</t>
        </is>
      </c>
      <c r="C315" s="14" t="inlineStr">
        <is>
          <t>La collana di Monna Lisa (Dardo il cane di Leonardo, vol. 1)</t>
        </is>
      </c>
      <c r="D315" s="14" t="inlineStr">
        <is>
          <t>Pascal Brissy</t>
        </is>
      </c>
      <c r="E315" s="14" t="inlineStr">
        <is>
          <t>da 7 anni</t>
        </is>
      </c>
      <c r="F315" s="16" t="n">
        <v>10</v>
      </c>
      <c r="G315" s="14" t="inlineStr">
        <is>
          <t>9788878749351</t>
        </is>
      </c>
      <c r="H315" s="14" t="inlineStr"/>
      <c r="I315" s="14" t="inlineStr">
        <is>
          <t>Sì</t>
        </is>
      </c>
      <c r="J315" s="14" t="inlineStr">
        <is>
          <t>Dardo il cane di Leonardo</t>
        </is>
      </c>
      <c r="K315" s="14" t="inlineStr"/>
      <c r="L315" s="14" t="inlineStr">
        <is>
          <t>Primo volume della collana “Dardo Il cane di Leonardo”: brevi storie d’investigazione ambientate nella Firenze del Rinascimento, con un geniale detective a quattro zampe: Dardo, il cane di Leonardo da Vinci. In ogni volume due episodi. Prime letture con illustrazioni a colori in ogni pagina, divise in brevi capitoli, coinvolgenti, ricche d’azione e di momenti buffi. Nel primo episodio, Dardo cerca di scoprire chi ha rubato la collana di Monna Lisa. Nel secondo, indaga sull’apparizione di un terribile mostro dagli occhi gialli che semina il terrore sulle sonde dell’Arno.</t>
        </is>
      </c>
      <c r="M315" s="14" t="inlineStr"/>
    </row>
    <row r="316">
      <c r="A316" s="14" t="inlineStr">
        <is>
          <t>Prime letture (6-8)</t>
        </is>
      </c>
      <c r="B316" s="14" t="inlineStr">
        <is>
          <t>Lapis</t>
        </is>
      </c>
      <c r="C316" s="14" t="inlineStr">
        <is>
          <t>Magnifica Mabel e il disastro del coniglio</t>
        </is>
      </c>
      <c r="D316" s="14" t="inlineStr">
        <is>
          <t>Ruth Quayle</t>
        </is>
      </c>
      <c r="E316" s="14" t="inlineStr">
        <is>
          <t>da 7 anni</t>
        </is>
      </c>
      <c r="F316" s="16" t="n">
        <v>12</v>
      </c>
      <c r="G316" s="14" t="inlineStr">
        <is>
          <t>9788878747524</t>
        </is>
      </c>
      <c r="H316" s="14" t="inlineStr"/>
      <c r="I316" s="14" t="inlineStr">
        <is>
          <t>Sì</t>
        </is>
      </c>
      <c r="J316" s="14" t="inlineStr">
        <is>
          <t>Magnifica Mabel</t>
        </is>
      </c>
      <c r="K316" s="14" t="inlineStr"/>
      <c r="L316" s="14" t="inlineStr">
        <is>
          <t>Le avventure che Mabel racconta in prima persona mostrano il lato più autentico e libero dell’infanzia, fatto di desideri, divieti, monellerie, trovate originali, personaggi fantastici, ma anche dello scontro tra il suo mondo immaginario e quello reale. Mabel è campionessa mondiale nel cercare di ottenere quello che vuole. Anche a costo di essere messa in punizione. Le argomentazioni con cui Mabel giustifica le sue monellerie sono dei piccoli capolavori di umorismo, perfetti per invogliare i bambini alla lettura.</t>
        </is>
      </c>
      <c r="M316" s="14" t="inlineStr"/>
    </row>
    <row r="317">
      <c r="A317" s="14" t="inlineStr">
        <is>
          <t>Prime letture (6-8)</t>
        </is>
      </c>
      <c r="B317" s="14" t="inlineStr">
        <is>
          <t>Lapis</t>
        </is>
      </c>
      <c r="C317" s="14" t="inlineStr">
        <is>
          <t>Occhio ladro</t>
        </is>
      </c>
      <c r="D317" s="14" t="inlineStr">
        <is>
          <t>Chiara Carminati</t>
        </is>
      </c>
      <c r="E317" s="14" t="inlineStr">
        <is>
          <t>da 6 anni</t>
        </is>
      </c>
      <c r="F317" s="16" t="n">
        <v>15</v>
      </c>
      <c r="G317" s="14" t="inlineStr">
        <is>
          <t>9788878747920</t>
        </is>
      </c>
      <c r="H317" s="14" t="inlineStr"/>
      <c r="I317" s="14" t="inlineStr">
        <is>
          <t>Sì</t>
        </is>
      </c>
      <c r="J317" s="14" t="inlineStr">
        <is>
          <t>Versi diversi</t>
        </is>
      </c>
      <c r="K317" s="14" t="inlineStr"/>
      <c r="L317" s="14" t="inlineStr">
        <is>
          <t>Vincitore Premio Andersen 2021. Miglior libro fatto ad arte. Una galleria di suggerimenti perfetti per creare un laboratorio a cielo aperto insieme ai bambini. Chi non si è mai incantato a guardare le forme nascoste delle nuvole? O le immagini che nascono dalle macchie sui muri? Questo libri invita bambini e adulti a proseguire il gioco: una collezione di foto per immaginare nuove figure nei dettagli del mondo che ci circonda, e altrettante storie in rima per tradurle in personaggi divertenti e situazioni imprevedibili. Una galleria di suggerimenti perfetti per creare un laboratorio a cielo aperto insieme ai bambini.</t>
        </is>
      </c>
      <c r="M317" s="14" t="inlineStr"/>
    </row>
    <row r="318">
      <c r="A318" s="14" t="inlineStr">
        <is>
          <t>Prime letture (6-8)</t>
        </is>
      </c>
      <c r="B318" s="14" t="inlineStr">
        <is>
          <t>Lapis</t>
        </is>
      </c>
      <c r="C318" s="14" t="inlineStr">
        <is>
          <t>Un anno di poesia</t>
        </is>
      </c>
      <c r="D318" s="14" t="inlineStr">
        <is>
          <t>Bernard Friot</t>
        </is>
      </c>
      <c r="E318" s="14" t="inlineStr">
        <is>
          <t>da 7 anni</t>
        </is>
      </c>
      <c r="F318" s="16" t="n">
        <v>21</v>
      </c>
      <c r="G318" s="14" t="inlineStr">
        <is>
          <t>9788878747289</t>
        </is>
      </c>
      <c r="H318" s="14" t="inlineStr"/>
      <c r="I318" s="14" t="inlineStr">
        <is>
          <t>Sì</t>
        </is>
      </c>
      <c r="J318" s="14" t="inlineStr"/>
      <c r="K318" s="14" t="inlineStr"/>
      <c r="L318" s="14" t="inlineStr">
        <is>
          <t>Questo volume può diventare il libro di un apprendista poeta, ma anche di qualsiasi insegnante. Un giro di 365 giorni per scoprire e riscoprire la poesia come un linguaggio accessibile a tutti, con cui sperimentare, osare, manipolare, imitare, decostruire e ricostruire e creare: punto di partenza per altre letture, stimolo a nuove scritture. Lontano dalle solite ricette, il libro è organizzato in sequenze giocose. L’attività di scrittura è associata di volta in volta a una citazione, o anche a un’intera poesia che serve da esempio e da palestra creativa.</t>
        </is>
      </c>
      <c r="M318" s="14" t="inlineStr"/>
    </row>
    <row r="319">
      <c r="A319" s="14" t="inlineStr">
        <is>
          <t>8+</t>
        </is>
      </c>
      <c r="B319" s="14" t="inlineStr">
        <is>
          <t>Lapis</t>
        </is>
      </c>
      <c r="C319" s="14" t="inlineStr">
        <is>
          <t>Iliade</t>
        </is>
      </c>
      <c r="D319" s="14" t="inlineStr">
        <is>
          <t>Nicola Cinquetti; ill. Desideria Guicciardini</t>
        </is>
      </c>
      <c r="E319" s="14" t="inlineStr">
        <is>
          <t>da 8 anni</t>
        </is>
      </c>
      <c r="F319" s="16" t="n">
        <v>13.9</v>
      </c>
      <c r="G319" s="14" t="inlineStr">
        <is>
          <t>9788878743878</t>
        </is>
      </c>
      <c r="H319" s="14" t="inlineStr"/>
      <c r="I319" s="14" t="inlineStr">
        <is>
          <t>Sì</t>
        </is>
      </c>
      <c r="J319" s="14" t="inlineStr"/>
      <c r="K319" s="14" t="inlineStr"/>
      <c r="L319" s="14" t="inlineStr">
        <is>
          <t>La storia di una guerra interminabile, che mette a nudo le passioni, gli affetti, le crudeltà e gli slanci più generosi dei suoi protagonisti: uomini che lottano come Dei, e Dei che bisticciano come bambini. Il grande classico omerico raccontato a piccoli e grandi, nel rispetto dei suoi 24 libri, impreziosito dalle immagini di Desideria Guicciardini.</t>
        </is>
      </c>
      <c r="M319" s="14" t="inlineStr"/>
    </row>
    <row r="320">
      <c r="A320" s="14" t="inlineStr">
        <is>
          <t>8+</t>
        </is>
      </c>
      <c r="B320" s="14" t="inlineStr">
        <is>
          <t>Lapis</t>
        </is>
      </c>
      <c r="C320" s="14" t="inlineStr">
        <is>
          <t>Odissea</t>
        </is>
      </c>
      <c r="D320" s="14" t="inlineStr">
        <is>
          <t>Nicola Cinquetti; ill. Desideria Guicciardini</t>
        </is>
      </c>
      <c r="E320" s="14" t="inlineStr">
        <is>
          <t>da 8 anni</t>
        </is>
      </c>
      <c r="F320" s="16" t="n">
        <v>14.5</v>
      </c>
      <c r="G320" s="14" t="inlineStr">
        <is>
          <t>9788878743274</t>
        </is>
      </c>
      <c r="H320" s="14" t="inlineStr"/>
      <c r="I320" s="14" t="inlineStr">
        <is>
          <t>Sì</t>
        </is>
      </c>
      <c r="J320" s="14" t="inlineStr"/>
      <c r="K320" s="14" t="inlineStr"/>
      <c r="L320" s="14" t="inlineStr">
        <is>
          <t>Erano trascorsi quasi dieci anni dalla fine della guerra di Troia, ma nessuno sapeva più nulla di Odisseo, il re di Itaca. Molti credevano che fosse morto, ucciso in battaglia o travolto dalla furia del mare sulla via del ritorno. Qualcuno, invece, continuava a sperare che fosse ancora vivo. Il meraviglioso viaggio di Odisseo, uomo dai mille volti e di geniale intelligenza, simbolo di astuzia e implacabile sete di conoscenza. I grande classico omerico raccontato a piccoli e grandi.</t>
        </is>
      </c>
      <c r="M320" s="14" t="inlineStr"/>
    </row>
    <row r="321">
      <c r="A321" s="14" t="inlineStr">
        <is>
          <t>8+</t>
        </is>
      </c>
      <c r="B321" s="14" t="inlineStr">
        <is>
          <t>Lapis</t>
        </is>
      </c>
      <c r="C321" s="14" t="inlineStr">
        <is>
          <t>Il segreto del labirinto (I misteri di Teo)</t>
        </is>
      </c>
      <c r="D321" s="14" t="inlineStr">
        <is>
          <t>Janna Carioli, Luisa Mattia</t>
        </is>
      </c>
      <c r="E321" s="14" t="inlineStr">
        <is>
          <t>da 8 anni</t>
        </is>
      </c>
      <c r="F321" s="16" t="n">
        <v>7.5</v>
      </c>
      <c r="G321" s="14" t="inlineStr">
        <is>
          <t>9788878743472</t>
        </is>
      </c>
      <c r="H321" s="14" t="inlineStr"/>
      <c r="I321" s="14" t="inlineStr">
        <is>
          <t>Sì</t>
        </is>
      </c>
      <c r="J321" s="14" t="inlineStr">
        <is>
          <t>I misteri di Teo</t>
        </is>
      </c>
      <c r="K321" s="14" t="inlineStr"/>
      <c r="L321" s="14" t="inlineStr">
        <is>
          <t>Altafonte, calma piatta all’orizzonte... Questo è ciò che pensa Teo, costretta a passare l’estate a casa della zia, prima di ritrovarsi invischiata in una rocambolesca avventura con il suo nuovo amico Nicola. Reperti etruschi trafugati, spregiudicati imbroglioni e un misterioso labirinto, irrompono nelle giornate dei ragazzi. Sarà l’inizio di un’indagine emozionante... Riusciranno i due improvvisati investigatori, accompagnati da Zorro, l’inseparabile cane di Teo, a risolvere il mistero?</t>
        </is>
      </c>
      <c r="M321" s="14" t="inlineStr"/>
    </row>
    <row r="322">
      <c r="A322" s="14" t="inlineStr">
        <is>
          <t>Prime letture (6-8)</t>
        </is>
      </c>
      <c r="B322" s="14" t="inlineStr">
        <is>
          <t>L’Ippocampo</t>
        </is>
      </c>
      <c r="C322" s="14" t="inlineStr">
        <is>
          <t>Il meraviglioso mago di Oz</t>
        </is>
      </c>
      <c r="D322" s="14" t="inlineStr">
        <is>
          <t>L. Frank Baum</t>
        </is>
      </c>
      <c r="E322" s="14" t="inlineStr">
        <is>
          <t>dai 6 anni</t>
        </is>
      </c>
      <c r="F322" s="16" t="n">
        <v>29.9</v>
      </c>
      <c r="G322" s="14" t="inlineStr">
        <is>
          <t>9788867226207</t>
        </is>
      </c>
      <c r="H322" s="14" t="inlineStr"/>
      <c r="I322" s="14" t="inlineStr">
        <is>
          <t>Sì</t>
        </is>
      </c>
      <c r="J322" s="14" t="inlineStr">
        <is>
          <t>Narrativa ragazzi</t>
        </is>
      </c>
      <c r="K322" s="14" t="inlineStr"/>
      <c r="L322" s="14" t="inlineStr">
        <is>
          <t>Dorothy viene portata da un ciclone nel regno di Oz e segue la strada di mattoni gialli per tornare a casa.</t>
        </is>
      </c>
      <c r="M322" s="14" t="inlineStr"/>
    </row>
    <row r="323">
      <c r="A323" s="14" t="inlineStr">
        <is>
          <t>Prime letture (6-8)</t>
        </is>
      </c>
      <c r="B323" s="14" t="inlineStr">
        <is>
          <t>L’Ippocampo</t>
        </is>
      </c>
      <c r="C323" s="14" t="inlineStr">
        <is>
          <t>L’isola del tesoro (ed. MinaLima)</t>
        </is>
      </c>
      <c r="D323" s="14" t="inlineStr">
        <is>
          <t>R. L. Stevenson</t>
        </is>
      </c>
      <c r="E323" s="14" t="inlineStr">
        <is>
          <t>dai 6 anni</t>
        </is>
      </c>
      <c r="F323" s="16" t="n">
        <v>29.9</v>
      </c>
      <c r="G323" s="14" t="inlineStr">
        <is>
          <t>9791256731701</t>
        </is>
      </c>
      <c r="H323" s="14" t="inlineStr"/>
      <c r="I323" s="14" t="inlineStr">
        <is>
          <t>Sì</t>
        </is>
      </c>
      <c r="J323" s="14" t="inlineStr">
        <is>
          <t>Narrativa ragazzi</t>
        </is>
      </c>
      <c r="K323" s="14" t="inlineStr"/>
      <c r="L323" s="14" t="inlineStr">
        <is>
          <t>Tra i più straordinari libri d’avventura di tutti i tempi: un viaggio emozionante e pieno di colpi di scena, avidità e coraggio, con personaggi indimenticabili come il giovane e ingegnoso Jim Hawkins, il leale capitano Smollet e l’infido pirata Long John Silver. Lo studio MinaLima ne ha progettato un’edizione integrale con illustrazioni e sorprendenti elementi interattivi: la bandiera dei pirati, la mappa pieghevole dell’Isola dello Scheletro, il timone della Hispaniola. 384 pagine, cartonato.</t>
        </is>
      </c>
      <c r="M323" s="14" t="inlineStr"/>
    </row>
    <row r="324">
      <c r="A324" s="14" t="inlineStr">
        <is>
          <t>8+</t>
        </is>
      </c>
      <c r="B324" s="14" t="inlineStr">
        <is>
          <t>L’Ippocampo</t>
        </is>
      </c>
      <c r="C324" s="14" t="inlineStr">
        <is>
          <t>20.000 leghe sotto i mari</t>
        </is>
      </c>
      <c r="D324" s="14" t="inlineStr">
        <is>
          <t>Jules Verne</t>
        </is>
      </c>
      <c r="E324" s="14" t="inlineStr">
        <is>
          <t>dagli 8 anni</t>
        </is>
      </c>
      <c r="F324" s="16" t="n">
        <v>29.9</v>
      </c>
      <c r="G324" s="14" t="inlineStr">
        <is>
          <t>9788867229482</t>
        </is>
      </c>
      <c r="H324" s="14" t="inlineStr"/>
      <c r="I324" s="14" t="inlineStr">
        <is>
          <t>Sì</t>
        </is>
      </c>
      <c r="J324" s="14" t="inlineStr">
        <is>
          <t>Narrativa ragazzi</t>
        </is>
      </c>
      <c r="K324" s="14" t="inlineStr"/>
      <c r="L324" s="14" t="inlineStr">
        <is>
          <t>Una sontuosa edizione del romanzo di Jules Verne, che rievoca quella uscita per Hetzel nel 1871, con le 111 illustrazioni originali di Alphonse de Neuville: le meraviglie sottomarine scoperte dal capitano Nemo e dai suoi ospiti Pierre Aronnax, Conseil e Ned Land a bordo del leggendario Nautilus. 432 pagine, cartonato con dorature.</t>
        </is>
      </c>
      <c r="M324" s="14" t="inlineStr"/>
    </row>
    <row r="325">
      <c r="A325" s="14" t="inlineStr">
        <is>
          <t>8+</t>
        </is>
      </c>
      <c r="B325" s="14" t="inlineStr">
        <is>
          <t>L’Ippocampo</t>
        </is>
      </c>
      <c r="C325" s="14" t="inlineStr">
        <is>
          <t>Anatomia / Oceano / Nascita / Mondo vegetale (libri animati)</t>
        </is>
      </c>
      <c r="D325" s="14" t="inlineStr">
        <is>
          <t>Hélène Druvert</t>
        </is>
      </c>
      <c r="E325" s="14" t="inlineStr">
        <is>
          <t>8-11 anni</t>
        </is>
      </c>
      <c r="F325" s="16" t="n">
        <v>22</v>
      </c>
      <c r="G325" s="14" t="inlineStr">
        <is>
          <t>9788867222551</t>
        </is>
      </c>
      <c r="H325" s="14" t="inlineStr"/>
      <c r="I325" s="14" t="inlineStr">
        <is>
          <t>Sì</t>
        </is>
      </c>
      <c r="J325" s="14" t="inlineStr">
        <is>
          <t>Scuole medie (tema del catalogo)</t>
        </is>
      </c>
      <c r="K325" s="14" t="inlineStr"/>
      <c r="L325" s="14" t="inlineStr">
        <is>
          <t>Libri animati di Hélène Druvert con tagli laser e finestrelle, 48 pagine. In Anatomia un viaggio inedito alla scoperta del corpo umano nei minimi dettagli, nella tradizione delle tavole anatomiche dell’Ottocento, con testi precisi e accessibili scritti da un medico. In Oceano una sfarzosa odissea marina dalle sponde agli abissi: come nasce un’onda, le fumarole nere, il teatro corallino e la danza delle creature bioluminescenti.</t>
        </is>
      </c>
      <c r="M325" s="14" t="inlineStr"/>
    </row>
    <row r="326">
      <c r="A326" s="14" t="inlineStr">
        <is>
          <t>8+</t>
        </is>
      </c>
      <c r="B326" s="14" t="inlineStr">
        <is>
          <t>L’Ippocampo</t>
        </is>
      </c>
      <c r="C326" s="14" t="inlineStr">
        <is>
          <t>Esplorando l’universo / Esplorando gli elementi</t>
        </is>
      </c>
      <c r="D326" s="14" t="inlineStr">
        <is>
          <t>Isabel Thomas, Sara Gillingham</t>
        </is>
      </c>
      <c r="E326" s="14" t="inlineStr">
        <is>
          <t>dagli 8 anni</t>
        </is>
      </c>
      <c r="F326" s="16" t="n">
        <v>25</v>
      </c>
      <c r="G326" s="14" t="inlineStr">
        <is>
          <t>9791256731220</t>
        </is>
      </c>
      <c r="H326" s="14" t="inlineStr"/>
      <c r="I326" s="14" t="inlineStr">
        <is>
          <t>Sì</t>
        </is>
      </c>
      <c r="J326" s="14" t="inlineStr">
        <is>
          <t>Scuole medie (tema del catalogo)</t>
        </is>
      </c>
      <c r="K326" s="14" t="inlineStr"/>
      <c r="L326" s="14" t="inlineStr">
        <is>
          <t>Quali misteri si celano nell’infinità del cielo notturno? Pianeti, comete, buchi neri, stelle in esplosione, ragnatele cosmiche… Dalle osservazioni degli astronomi babilonesi alle più avanzate sonde solari, dagli sbarchi sulla Luna alla ricerca della materia oscura, un libro suddiviso per schede ricche di dati che guida i lettori in un’esplorazione completa dell’Universo. Di Isabel Thomas, illustrazioni di Sara Gillingham, 224 pagine.</t>
        </is>
      </c>
      <c r="M326" s="14" t="inlineStr"/>
    </row>
    <row r="327">
      <c r="A327" s="14" t="inlineStr">
        <is>
          <t>8+</t>
        </is>
      </c>
      <c r="B327" s="14" t="inlineStr">
        <is>
          <t>L’Ippocampo</t>
        </is>
      </c>
      <c r="C327" s="14" t="inlineStr">
        <is>
          <t>Il giardino segreto (ed. MinaLima)</t>
        </is>
      </c>
      <c r="D327" s="14" t="inlineStr">
        <is>
          <t>F. Hodgson Burnett</t>
        </is>
      </c>
      <c r="E327" s="14" t="inlineStr">
        <is>
          <t>dagli 8 anni</t>
        </is>
      </c>
      <c r="F327" s="16" t="n">
        <v>29.9</v>
      </c>
      <c r="G327" s="14" t="inlineStr">
        <is>
          <t>9788867224234</t>
        </is>
      </c>
      <c r="H327" s="14" t="inlineStr"/>
      <c r="I327" s="14" t="inlineStr">
        <is>
          <t>Sì</t>
        </is>
      </c>
      <c r="J327" s="14" t="inlineStr">
        <is>
          <t>Narrativa ragazzi</t>
        </is>
      </c>
      <c r="K327" s="14" t="inlineStr"/>
      <c r="L327" s="14" t="inlineStr">
        <is>
          <t>Mary, rimasta orfana, scopre un giardino abbandonato che cambia lei e chi le sta intorno.</t>
        </is>
      </c>
      <c r="M327" s="14" t="inlineStr"/>
    </row>
    <row r="328">
      <c r="A328" s="14" t="inlineStr">
        <is>
          <t>8+</t>
        </is>
      </c>
      <c r="B328" s="14" t="inlineStr">
        <is>
          <t>L’Ippocampo</t>
        </is>
      </c>
      <c r="C328" s="14" t="inlineStr">
        <is>
          <t>Il giro del mondo in 80 giorni</t>
        </is>
      </c>
      <c r="D328" s="14" t="inlineStr">
        <is>
          <t>Jules Verne</t>
        </is>
      </c>
      <c r="E328" s="14" t="inlineStr">
        <is>
          <t>dagli 8 anni</t>
        </is>
      </c>
      <c r="F328" s="16" t="n">
        <v>29.9</v>
      </c>
      <c r="G328" s="14" t="inlineStr">
        <is>
          <t>9791256730889</t>
        </is>
      </c>
      <c r="H328" s="14" t="inlineStr"/>
      <c r="I328" s="14" t="inlineStr">
        <is>
          <t>Sì</t>
        </is>
      </c>
      <c r="J328" s="14" t="inlineStr">
        <is>
          <t>Narrativa ragazzi</t>
        </is>
      </c>
      <c r="K328" s="14" t="inlineStr"/>
      <c r="L328" s="14" t="inlineStr">
        <is>
          <t>L’azzardo pronunciato di fronte ai soci del Reform Club porta il gentiluomo Phileas Fogg e il suo aiutante Jean Passepartout a lanciarsi in un’avventura leggendaria, che dal 1872 appassiona lettori di ogni età. In questa nuova edizione, all’altezza dell’originale pubblicato da Hetzel, il romanzo di Jules Verne sprigiona tutta la sua carica affabulatoria, anche grazie alle storiche illustrazioni di Alphonse de Neuville e Léon Benet, riprodotte nella loro totalità. Un’occasione unica per ripercorrere il periplo del globo, da Londra a Suez, da Bombay a San Francisco e a New York. 224 pagine, cartonato con dorature.</t>
        </is>
      </c>
      <c r="M328" s="14" t="inlineStr"/>
    </row>
    <row r="329">
      <c r="A329" s="14" t="inlineStr">
        <is>
          <t>8+</t>
        </is>
      </c>
      <c r="B329" s="14" t="inlineStr">
        <is>
          <t>L’Ippocampo</t>
        </is>
      </c>
      <c r="C329" s="14" t="inlineStr">
        <is>
          <t>Il libro della giungla</t>
        </is>
      </c>
      <c r="D329" s="14" t="inlineStr">
        <is>
          <t>Rudyard Kipling</t>
        </is>
      </c>
      <c r="E329" s="14" t="inlineStr">
        <is>
          <t>dagli 8 anni</t>
        </is>
      </c>
      <c r="F329" s="16" t="n">
        <v>29.9</v>
      </c>
      <c r="G329" s="14" t="inlineStr">
        <is>
          <t>9788867224487</t>
        </is>
      </c>
      <c r="H329" s="14" t="inlineStr"/>
      <c r="I329" s="14" t="inlineStr">
        <is>
          <t>Sì</t>
        </is>
      </c>
      <c r="J329" s="14" t="inlineStr">
        <is>
          <t>Narrativa ragazzi</t>
        </is>
      </c>
      <c r="K329" s="14" t="inlineStr"/>
      <c r="L329" s="14" t="inlineStr">
        <is>
          <t>Il cucciolo d’uomo Mowgli cresce tra i lupi e impara le leggi della giungla con Baloo e Bagheera.</t>
        </is>
      </c>
      <c r="M329" s="14" t="inlineStr"/>
    </row>
    <row r="330">
      <c r="A330" s="14" t="inlineStr">
        <is>
          <t>8+</t>
        </is>
      </c>
      <c r="B330" s="14" t="inlineStr">
        <is>
          <t>L’Ippocampo</t>
        </is>
      </c>
      <c r="C330" s="14" t="inlineStr">
        <is>
          <t>Kidstory. La storia dell’umanità narrata dai ragazzi</t>
        </is>
      </c>
      <c r="D330" s="14" t="inlineStr">
        <is>
          <t>T. Weiss Gabbay, S. Fuman</t>
        </is>
      </c>
      <c r="E330" s="14" t="inlineStr">
        <is>
          <t>dagli 8 anni</t>
        </is>
      </c>
      <c r="F330" s="16" t="n">
        <v>19.9</v>
      </c>
      <c r="G330" s="14" t="inlineStr">
        <is>
          <t>9791256731381</t>
        </is>
      </c>
      <c r="H330" s="14" t="inlineStr"/>
      <c r="I330" s="14" t="inlineStr">
        <is>
          <t>Sì</t>
        </is>
      </c>
      <c r="J330" s="14" t="inlineStr">
        <is>
          <t>Scuole medie (tema del catalogo)</t>
        </is>
      </c>
      <c r="K330" s="14" t="inlineStr"/>
      <c r="L330" s="14" t="inlineStr">
        <is>
          <t>Frutto di lunghe ricerche, Kidstory racconta la Storia dal punto di vista dei giovani: non liste di sovrani e battaglie ma momenti di vita quotidiana di venti ragazze e ragazzi di tutte le regioni del mondo che, dalla Preistoria a inizio Novecento, mostrano ai coetanei come vivevano, giocavano, imparavano e si divertivano, dall’egiziana Merit-Amun al bizantino Petrus, dall’inca Kilassissa all’inglese David. Di Tamar Weiss Gabbay, illustrazioni di Shiraz Fuman, 224 pagine.</t>
        </is>
      </c>
      <c r="M330" s="14" t="inlineStr"/>
    </row>
    <row r="331">
      <c r="A331" s="14" t="inlineStr">
        <is>
          <t>8+</t>
        </is>
      </c>
      <c r="B331" s="14" t="inlineStr">
        <is>
          <t>L’Ippocampo</t>
        </is>
      </c>
      <c r="C331" s="14" t="inlineStr">
        <is>
          <t>Le tribolazioni del giovane Cosimo</t>
        </is>
      </c>
      <c r="D331" s="14" t="inlineStr">
        <is>
          <t>Marie Desplechin</t>
        </is>
      </c>
      <c r="E331" s="14" t="inlineStr">
        <is>
          <t>dagli 8 anni</t>
        </is>
      </c>
      <c r="F331" s="16" t="n">
        <v>19.9</v>
      </c>
      <c r="G331" s="14" t="inlineStr">
        <is>
          <t>9791256731213</t>
        </is>
      </c>
      <c r="H331" s="14" t="inlineStr"/>
      <c r="I331" s="14" t="inlineStr">
        <is>
          <t>Sì</t>
        </is>
      </c>
      <c r="J331" s="14" t="inlineStr">
        <is>
          <t>Scuole medie (tema del catalogo)</t>
        </is>
      </c>
      <c r="K331" s="14" t="inlineStr"/>
      <c r="L331" s="14" t="inlineStr">
        <is>
          <t>Toscana, XVIII secolo. Il giovane Cosimo soffre di inesplicabili mal di pancia e la madre, nella speranza di scoprirne la causa, si rivolge a un monaco erborista: ha inizio uno scambio epistolare che sconvolgerà la vita di tutti. Tra Cosimo e Dom Remigio si instaura un rapporto molto stretto, mentre tornano a galla i trascorsi amorosi tra la madre e l’esperto di piante. Un libro unico, di lingua raffinata e sottile ironia, con le illustrazioni di Michaël Cailloux. Di Marie Desplechin, 72 pagine.</t>
        </is>
      </c>
      <c r="M331" s="14" t="inlineStr"/>
    </row>
    <row r="332">
      <c r="A332" s="14" t="inlineStr">
        <is>
          <t>8+</t>
        </is>
      </c>
      <c r="B332" s="14" t="inlineStr">
        <is>
          <t>L’Ippocampo</t>
        </is>
      </c>
      <c r="C332" s="14" t="inlineStr">
        <is>
          <t>Peter Pan (ed. MinaLima)</t>
        </is>
      </c>
      <c r="D332" s="14" t="inlineStr">
        <is>
          <t>J. M. Barrie</t>
        </is>
      </c>
      <c r="E332" s="14" t="inlineStr">
        <is>
          <t>dagli 8 anni</t>
        </is>
      </c>
      <c r="F332" s="16" t="n">
        <v>29.9</v>
      </c>
      <c r="G332" s="14" t="inlineStr">
        <is>
          <t>9788867225453</t>
        </is>
      </c>
      <c r="H332" s="14" t="inlineStr"/>
      <c r="I332" s="14" t="inlineStr">
        <is>
          <t>Sì</t>
        </is>
      </c>
      <c r="J332" s="14" t="inlineStr">
        <is>
          <t>Narrativa ragazzi</t>
        </is>
      </c>
      <c r="K332" s="14" t="inlineStr"/>
      <c r="L332" s="14" t="inlineStr">
        <is>
          <t>Peter Pan porta Wendy e i suoi fratelli all’Isola che non c’è, tra Bimbi Sperduti, fate e il capitano Uncino.</t>
        </is>
      </c>
      <c r="M332" s="14" t="inlineStr"/>
    </row>
    <row r="333">
      <c r="A333" s="14" t="inlineStr">
        <is>
          <t>9+</t>
        </is>
      </c>
      <c r="B333" s="14" t="inlineStr">
        <is>
          <t>L’Ippocampo</t>
        </is>
      </c>
      <c r="C333" s="14" t="inlineStr">
        <is>
          <t>Maldoror – I ragazzi della leggenda (trilogia)</t>
        </is>
      </c>
      <c r="D333" s="14" t="inlineStr">
        <is>
          <t>Philippe Lechermeier</t>
        </is>
      </c>
      <c r="E333" s="14" t="inlineStr">
        <is>
          <t>9-12 anni</t>
        </is>
      </c>
      <c r="F333" s="16" t="n">
        <v>15.9</v>
      </c>
      <c r="G333" s="14" t="inlineStr">
        <is>
          <t>9788867228539</t>
        </is>
      </c>
      <c r="H333" s="14" t="inlineStr"/>
      <c r="I333" s="14" t="inlineStr">
        <is>
          <t>Sì</t>
        </is>
      </c>
      <c r="J333" s="14" t="inlineStr">
        <is>
          <t>Narrativa ragazzi</t>
        </is>
      </c>
      <c r="K333" s="14" t="inlineStr"/>
      <c r="L333" s="14" t="inlineStr">
        <is>
          <t>Ai confini di un’Europa sconvolta, cinque ragazzi incrociano le proprie strade accomunati da una strana minaccia. Da Vienna a Odessa, da Kiev alla Siberia, vengono inseguiti dalla polizia segreta e braccati da un atamano crudele e tirannico; legati da un’amicizia e da un destino più grande di loro, avanzano alla ricerca di un regno scomparso… il regno di Maldoror. Di Philippe Lechermeier; trilogia (prezzo di ogni volume).</t>
        </is>
      </c>
      <c r="M333" s="14" t="inlineStr"/>
    </row>
    <row r="334">
      <c r="A334" s="14" t="inlineStr">
        <is>
          <t>9+</t>
        </is>
      </c>
      <c r="B334" s="14" t="inlineStr">
        <is>
          <t>L’Ippocampo</t>
        </is>
      </c>
      <c r="C334" s="14" t="inlineStr">
        <is>
          <t>Sangue d’ontano – La volpe artica</t>
        </is>
      </c>
      <c r="D334" s="14" t="inlineStr">
        <is>
          <t>Léa Versand</t>
        </is>
      </c>
      <c r="E334" s="14" t="inlineStr">
        <is>
          <t>9-12 anni</t>
        </is>
      </c>
      <c r="F334" s="16" t="n">
        <v>15.9</v>
      </c>
      <c r="G334" s="14" t="inlineStr">
        <is>
          <t>9788867229536</t>
        </is>
      </c>
      <c r="H334" s="14" t="inlineStr"/>
      <c r="I334" s="14" t="inlineStr">
        <is>
          <t>Sì</t>
        </is>
      </c>
      <c r="J334" s="14" t="inlineStr">
        <is>
          <t>Narrativa ragazzi</t>
        </is>
      </c>
      <c r="K334" s="14" t="inlineStr"/>
      <c r="L334" s="14" t="inlineStr">
        <is>
          <t>Mentre i popoli danesi e vichinghi si combattono senza pietà, la giovane Åshild vive serena in riva a un fiordo con la sua famiglia. Inghiottita da un gigantesco pesce leggendario, sopravvive per miracolo ma le compare sulla spalla una strana placca di scaglie: con Sólvrev, una volpe artica trovata nel ventre del mostro, cercherà di ritrovare i suoi cari e scoprirà il terribile potere che ora possiede. Opera prima di Léa Versand (prezzo di ogni volume).</t>
        </is>
      </c>
      <c r="M334" s="14" t="inlineStr"/>
    </row>
    <row r="335">
      <c r="A335" s="14" t="inlineStr">
        <is>
          <t>Scuola media (11-13)</t>
        </is>
      </c>
      <c r="B335" s="14" t="inlineStr">
        <is>
          <t>L’Ippocampo</t>
        </is>
      </c>
      <c r="C335" s="14" t="inlineStr">
        <is>
          <t>Atlante dei relitti</t>
        </is>
      </c>
      <c r="D335" s="14" t="inlineStr">
        <is>
          <t>Jo Arnold, Philip Harris</t>
        </is>
      </c>
      <c r="E335" s="14" t="inlineStr">
        <is>
          <t>dagli 11 anni</t>
        </is>
      </c>
      <c r="F335" s="16" t="n">
        <v>19.9</v>
      </c>
      <c r="G335" s="14" t="inlineStr">
        <is>
          <t>9791256731541</t>
        </is>
      </c>
      <c r="H335" s="14" t="inlineStr"/>
      <c r="I335" s="14" t="inlineStr">
        <is>
          <t>Sì</t>
        </is>
      </c>
      <c r="J335" s="14" t="inlineStr">
        <is>
          <t>Scuole medie (tema del catalogo)</t>
        </is>
      </c>
      <c r="K335" s="14" t="inlineStr"/>
      <c r="L335" s="14" t="inlineStr">
        <is>
          <t>Le acque del mondo custodiscono mille storie di navi naufragate. Accompagnati dall’intrepida archeologa marina Beatrix Profundo, i giovani lettori imparano i segreti di un mestiere affascinante e scoprono decine di relitti: dalle navi vichinghe di Roskilde ai galeoni spagnoli carichi di tesori, dalla “galleria d’arte galleggiante” Andrea Doria alla baleniera Essex, fino al Titanic. Di Jo Arnold, illustrazioni di Philip Harris, 80 pagine.</t>
        </is>
      </c>
      <c r="M335" s="14" t="inlineStr"/>
    </row>
    <row r="336">
      <c r="A336" s="14" t="inlineStr">
        <is>
          <t>Scuola media (11-13)</t>
        </is>
      </c>
      <c r="B336" s="14" t="inlineStr">
        <is>
          <t>L’Ippocampo</t>
        </is>
      </c>
      <c r="C336" s="14" t="inlineStr">
        <is>
          <t>Enciclopedia del Meraviglioso (I draghi, Le streghe, I fantasmi...)</t>
        </is>
      </c>
      <c r="D336" s="14" t="inlineStr">
        <is>
          <t>Benjamin Lacombe e altri</t>
        </is>
      </c>
      <c r="E336" s="14" t="inlineStr">
        <is>
          <t>sezione Scuole medie</t>
        </is>
      </c>
      <c r="F336" s="16" t="n">
        <v>19.9</v>
      </c>
      <c r="G336" s="14" t="inlineStr">
        <is>
          <t>9791256731985</t>
        </is>
      </c>
      <c r="H336" s="14" t="inlineStr"/>
      <c r="I336" s="14" t="inlineStr">
        <is>
          <t>Sì</t>
        </is>
      </c>
      <c r="J336" s="14" t="inlineStr">
        <is>
          <t>Scuole medie (tema del catalogo)</t>
        </is>
      </c>
      <c r="K336" s="14" t="inlineStr"/>
      <c r="L336" s="14" t="inlineStr">
        <is>
          <t>Una collana di grandi volumi illustrati (26x35 cm, cartonati, 64 pagine) per scoprire le creature del mito. Le sirene e altre chimere: animali diversi uniti in un solo essere, dalla Melusina europea al Karura giapponese e al Garuda indiano, accompagnati dal giovane Andres tra origini, forme mutevoli, poteri e simboli (testo di Cécile Roumiguière, illustrazioni di BlueBirdy). I vampiri: da Dracula a Edward Cullen, passando per la Jorōgumo giapponese, un viaggio da un secolo all’altro con il giovane Vladimir tra le creature che si nutrono del tempo e della leggenda (testo di Sébastien Perez, illustrazioni di Benjamin Lacombe). Altri volumi: I draghi, Le streghe, I fantasmi, Gli orchi e le orchesse, I mondi fantastici.</t>
        </is>
      </c>
      <c r="M336" s="14" t="inlineStr"/>
    </row>
    <row r="337">
      <c r="A337" s="14" t="inlineStr">
        <is>
          <t>Scuola media (11-13)</t>
        </is>
      </c>
      <c r="B337" s="14" t="inlineStr">
        <is>
          <t>L’Ippocampo</t>
        </is>
      </c>
      <c r="C337" s="14" t="inlineStr">
        <is>
          <t>Le cronache dell’acero e del ciliegio (4 libri)</t>
        </is>
      </c>
      <c r="D337" s="14" t="inlineStr">
        <is>
          <t>Camille Monceaux</t>
        </is>
      </c>
      <c r="E337" s="14" t="inlineStr">
        <is>
          <t>dagli 11 anni</t>
        </is>
      </c>
      <c r="F337" s="16" t="n">
        <v>15.9</v>
      </c>
      <c r="G337" s="14" t="inlineStr">
        <is>
          <t>9788867225859</t>
        </is>
      </c>
      <c r="H337" s="14" t="inlineStr"/>
      <c r="I337" s="14" t="inlineStr">
        <is>
          <t>Sì</t>
        </is>
      </c>
      <c r="J337" s="14" t="inlineStr">
        <is>
          <t>Narrativa ragazzi</t>
        </is>
      </c>
      <c r="K337" s="14" t="inlineStr"/>
      <c r="L337" s="14" t="inlineStr">
        <is>
          <t>Tetralogia ambientata nel Giappone del XVII secolo. Cresciuto da un austero samurai che gli insegna la via della spada, Ichirō vive nel cuore di una natura selvaggia. Dopo l’attacco di misteriosi ninja, il destino lo porta a Edo, dove inizia a esibirsi nei teatri kabuki e incontra Hiinahime, una sconosciuta dal volto mascherato. Di Camille Monceaux; quattro volumi (prezzo di ogni volume, brossura).</t>
        </is>
      </c>
      <c r="M337" s="14" t="inlineStr">
        <is>
          <t>https://www.ibs.it/x/e/9788867225859</t>
        </is>
      </c>
    </row>
    <row r="338">
      <c r="A338" s="14" t="inlineStr">
        <is>
          <t>Scuola media (11-13)</t>
        </is>
      </c>
      <c r="B338" s="14" t="inlineStr">
        <is>
          <t>L’Ippocampo</t>
        </is>
      </c>
      <c r="C338" s="14" t="inlineStr">
        <is>
          <t>Le streghe di Venezia (3 volumi)</t>
        </is>
      </c>
      <c r="D338" s="14" t="inlineStr">
        <is>
          <t>Sébastien Perez, Marco Mazzoni</t>
        </is>
      </c>
      <c r="E338" s="14" t="inlineStr">
        <is>
          <t>n.d. (sezione narrativa ragazzi)</t>
        </is>
      </c>
      <c r="F338" s="16" t="n">
        <v>25</v>
      </c>
      <c r="G338" s="14" t="inlineStr">
        <is>
          <t>9791256730049</t>
        </is>
      </c>
      <c r="H338" s="14" t="inlineStr"/>
      <c r="I338" s="14" t="inlineStr">
        <is>
          <t>Sì</t>
        </is>
      </c>
      <c r="J338" s="14" t="inlineStr">
        <is>
          <t>Narrativa ragazzi</t>
        </is>
      </c>
      <c r="K338" s="14" t="inlineStr"/>
      <c r="L338" s="14" t="inlineStr">
        <is>
          <t>Nel 2045, in una società post-apocalittica, Simone ha 16 anni e vive in un’Italia segnata dalla segregazione dopo una terribile epidemia; la sua storia si intreccia con quella di una strega vissuta nella Venezia del Quattrocento, forse all’origine del declino del mondo. Trilogia di Sébastien Perez illustrata da Marco Mazzoni, tra romanzo di formazione, incanto e riflessione sulla nostra epoca (prezzo di ogni volume, cartonato).</t>
        </is>
      </c>
      <c r="M338" s="14" t="inlineStr"/>
    </row>
    <row r="339">
      <c r="A339" s="14" t="inlineStr">
        <is>
          <t>Scuola media (11-13)</t>
        </is>
      </c>
      <c r="B339" s="14" t="inlineStr">
        <is>
          <t>L’Ippocampo</t>
        </is>
      </c>
      <c r="C339" s="14" t="inlineStr">
        <is>
          <t>Terra rossa</t>
        </is>
      </c>
      <c r="D339" s="14" t="inlineStr">
        <is>
          <t>Jean-François Chabas</t>
        </is>
      </c>
      <c r="E339" s="14" t="inlineStr">
        <is>
          <t>dai 12 anni</t>
        </is>
      </c>
      <c r="F339" s="16" t="n">
        <v>15.9</v>
      </c>
      <c r="G339" s="14" t="inlineStr">
        <is>
          <t>9791256730384</t>
        </is>
      </c>
      <c r="H339" s="14" t="inlineStr"/>
      <c r="I339" s="14" t="inlineStr">
        <is>
          <t>Sì</t>
        </is>
      </c>
      <c r="J339" s="14" t="inlineStr">
        <is>
          <t>Narrativa ragazzi</t>
        </is>
      </c>
      <c r="K339" s="14" t="inlineStr"/>
      <c r="L339" s="14" t="inlineStr">
        <is>
          <t>Due extraterrestri approdano sulla Terra come semi lanciati da un remoto pianeta liquido: caduti nel deserto australiano all’alba del XVII secolo, assumono la forma di un ragazzo e una ragazza. Minga e Bimbarlulu incontrano i popoli aborigeni, custodi del Tempo del Sogno, e hanno una missione: studiare senza intromettersi e preparare la Terra all’arrivo della loro specie. Ma la conoscenza di quei curiosi umani incrina ogni certezza, soprattutto quando sulla Grande Isola approdano i Bianchi con le loro navi. Di Jean-François Chabas.</t>
        </is>
      </c>
      <c r="M339" s="14" t="inlineStr"/>
    </row>
    <row r="340">
      <c r="A340" s="14" t="inlineStr">
        <is>
          <t>3-6 anni</t>
        </is>
      </c>
      <c r="B340" s="14" t="inlineStr">
        <is>
          <t>effequ</t>
        </is>
      </c>
      <c r="C340" s="14" t="inlineStr">
        <is>
          <t>VIETATO</t>
        </is>
      </c>
      <c r="D340" s="14" t="inlineStr">
        <is>
          <t>Simone Tempia; ill. Marianna Balducci</t>
        </is>
      </c>
      <c r="E340" s="14" t="inlineStr">
        <is>
          <t>da 5 anni</t>
        </is>
      </c>
      <c r="F340" s="16" t="n">
        <v>6</v>
      </c>
      <c r="G340" s="14" t="inlineStr">
        <is>
          <t>9791281639454</t>
        </is>
      </c>
      <c r="H340" s="14" t="inlineStr"/>
      <c r="I340" s="14" t="inlineStr">
        <is>
          <t>Sì</t>
        </is>
      </c>
      <c r="J340" s="14" t="inlineStr">
        <is>
          <t>Scatoline</t>
        </is>
      </c>
      <c r="K340" s="14" t="inlineStr">
        <is>
          <t>Regole e limiti</t>
        </is>
      </c>
      <c r="L340" s="14" t="inlineStr">
        <is>
          <t>“Non si fa!” “Non si dice!” Ma cosa c’è davvero dentro un divieto? In questa Scatolina fatta a filastrocca, Simone Tempia esplora con bambine e bambini la parola vietato: un limite che, se guardato bene, può aprire a molte possibilità. Tra rime, esempi buffi e domande importanti, Vietato ci insegna che ogni regola può diventare un’occasione per capire, scegliere e immaginare. L’illustrazione di Marianna Balducci gioca con il concetto di limite, aprendo spiragli poetici e colorati.</t>
        </is>
      </c>
      <c r="M340" s="14" t="inlineStr">
        <is>
          <t>https://www.effequ.it/prodotto/vietato/</t>
        </is>
      </c>
    </row>
    <row r="341">
      <c r="A341" s="14" t="inlineStr">
        <is>
          <t>3-6 anni</t>
        </is>
      </c>
      <c r="B341" s="14" t="inlineStr">
        <is>
          <t>effequ</t>
        </is>
      </c>
      <c r="C341" s="14" t="inlineStr">
        <is>
          <t>WEB</t>
        </is>
      </c>
      <c r="D341" s="14" t="inlineStr">
        <is>
          <t>Antonio Pavolini; ill. Nicola Giorgio</t>
        </is>
      </c>
      <c r="E341" s="14" t="inlineStr">
        <is>
          <t>da 5 anni</t>
        </is>
      </c>
      <c r="F341" s="16" t="n">
        <v>6</v>
      </c>
      <c r="G341" s="14" t="inlineStr">
        <is>
          <t>9791281639461</t>
        </is>
      </c>
      <c r="H341" s="14" t="inlineStr"/>
      <c r="I341" s="14" t="inlineStr">
        <is>
          <t>Sì</t>
        </is>
      </c>
      <c r="J341" s="14" t="inlineStr">
        <is>
          <t>Scatoline</t>
        </is>
      </c>
      <c r="K341" s="14" t="inlineStr">
        <is>
          <t>Uso consapevole di internet</t>
        </is>
      </c>
      <c r="L341" s="14" t="inlineStr">
        <is>
          <t>Che cos’è il Web? Da dove vengono i contenuti che vediamo ogni giorno online? In questa Scatolina ricca di spunti, Antonio Pavolini accompagna bambine e bambini in un viaggio nella parola web, tra passato e futuro, tra libertà e consapevolezza. Internet può essere un luogo bellissimo, se impariamo a usarlo senza farci usare. L’illustrazione di Nicola Giorgio apre uno sguardo vivace su un mondo fatto di connessioni, curiosità e voci che si intrecciano.</t>
        </is>
      </c>
      <c r="M341" s="14" t="inlineStr">
        <is>
          <t>https://www.effequ.it/prodotto/web/</t>
        </is>
      </c>
    </row>
    <row r="342">
      <c r="A342" s="14" t="inlineStr">
        <is>
          <t>3-6 anni</t>
        </is>
      </c>
      <c r="B342" s="14" t="inlineStr">
        <is>
          <t>effequ</t>
        </is>
      </c>
      <c r="C342" s="14" t="inlineStr">
        <is>
          <t>XY</t>
        </is>
      </c>
      <c r="D342" s="14" t="inlineStr">
        <is>
          <t>Lù Casini; ill. Caterina Di Paolo</t>
        </is>
      </c>
      <c r="E342" s="14" t="inlineStr">
        <is>
          <t>da 5 anni</t>
        </is>
      </c>
      <c r="F342" s="16" t="n">
        <v>6</v>
      </c>
      <c r="G342" s="14" t="inlineStr">
        <is>
          <t>9791281639478</t>
        </is>
      </c>
      <c r="H342" s="14" t="inlineStr"/>
      <c r="I342" s="14" t="inlineStr">
        <is>
          <t>Sì</t>
        </is>
      </c>
      <c r="J342" s="14" t="inlineStr">
        <is>
          <t>Scatoline</t>
        </is>
      </c>
      <c r="K342" s="14" t="inlineStr">
        <is>
          <t>Identità e corpo</t>
        </is>
      </c>
      <c r="L342" s="14" t="inlineStr">
        <is>
          <t>XY è un invito a scoprire come la scienza possa essere inclusiva, dimostrando che il corpo è solo l’inizio della nostra complessa e bellissima identità personale.</t>
        </is>
      </c>
      <c r="M342" s="14" t="inlineStr">
        <is>
          <t>https://www.ibs.it/x/e/9791281639478 · testo fornito da Bottegart</t>
        </is>
      </c>
    </row>
    <row r="343">
      <c r="A343" s="14" t="inlineStr">
        <is>
          <t>3-6 anni</t>
        </is>
      </c>
      <c r="B343" s="14" t="inlineStr">
        <is>
          <t>effequ</t>
        </is>
      </c>
      <c r="C343" s="14" t="inlineStr">
        <is>
          <t>ZAMPA</t>
        </is>
      </c>
      <c r="D343" s="14" t="inlineStr">
        <is>
          <t>Francesca Matteoni; ill. Prisca Milanese</t>
        </is>
      </c>
      <c r="E343" s="14" t="inlineStr">
        <is>
          <t>da 5 anni</t>
        </is>
      </c>
      <c r="F343" s="16" t="n">
        <v>6</v>
      </c>
      <c r="G343" s="14" t="inlineStr">
        <is>
          <t>9791281639485</t>
        </is>
      </c>
      <c r="H343" s="14" t="inlineStr"/>
      <c r="I343" s="14" t="inlineStr">
        <is>
          <t>Sì</t>
        </is>
      </c>
      <c r="J343" s="14" t="inlineStr">
        <is>
          <t>Scatoline</t>
        </is>
      </c>
      <c r="K343" s="14" t="inlineStr">
        <is>
          <t>Natura e relazioni tra esseri viventi</t>
        </is>
      </c>
      <c r="L343" s="14" t="inlineStr">
        <is>
          <t>A volte una parola scalpita, lascia impronte dappertutto e si fa strada tra passato, presente e immaginazione. In questa Scatolina fatta di orme e racconti, Francesca Matteoni ci invita a esplorare la parola zampa: punto d’incontro tra esseri viventi, gesto di contatto, memoria sul terreno. Dalla tua mano alle pinne, dai graffi gentili ai salti degli insetti, Zampa racconta storie di animali che si muovono, comunicano, cambiano. L’illustrazione di Prisca Milanese raccoglie questo mondo in un’immagine piena di colori, dettagli e meraviglia.</t>
        </is>
      </c>
      <c r="M343" s="14" t="inlineStr">
        <is>
          <t>https://www.effequ.it/prodotto/zampa/</t>
        </is>
      </c>
    </row>
    <row r="344">
      <c r="A344" s="14" t="inlineStr">
        <is>
          <t>3-6 anni</t>
        </is>
      </c>
      <c r="B344" s="14" t="inlineStr">
        <is>
          <t>BeccoGiallo</t>
        </is>
      </c>
      <c r="C344" s="14" t="inlineStr">
        <is>
          <t>Il bullismo spiegato ai bambini</t>
        </is>
      </c>
      <c r="D344" s="14" t="inlineStr">
        <is>
          <t>Andrea Laprovitera e Mirti</t>
        </is>
      </c>
      <c r="E344" s="14" t="inlineStr">
        <is>
          <t>da 5 anni</t>
        </is>
      </c>
      <c r="F344" s="16" t="n">
        <v>14</v>
      </c>
      <c r="G344" s="14" t="inlineStr">
        <is>
          <t>9788833140254</t>
        </is>
      </c>
      <c r="H344" s="14" t="inlineStr"/>
      <c r="I344" s="14" t="inlineStr">
        <is>
          <t>Sì</t>
        </is>
      </c>
      <c r="J344" s="14" t="inlineStr">
        <is>
          <t>CriticalKids</t>
        </is>
      </c>
      <c r="K344" s="14" t="inlineStr">
        <is>
          <t>Bullismo e amicizia</t>
        </is>
      </c>
      <c r="L344" s="14" t="inlineStr">
        <is>
          <t>Da qualche tempo Giorgio fa il duro a scuola prendendo di mira Marco, che ora non vuole più andare a scuola. Eppure nessuno dei due si era mai comportato così: erano due bambini gentili e allegri. Cosa è successo? Grazie alla saggezza di Alfredo il contadino i due capiranno che possono ricostruire la loro amicizia. Collana Critical Kids, che spiega ai bambini i temi più complessi del nostro tempo in modo accessibile e divertente. 48 pagine, cartonato, a colori.</t>
        </is>
      </c>
      <c r="M344" s="14" t="inlineStr">
        <is>
          <t>https://www.ibs.it/x/e/9788833140254 · https://www.beccogiallo.it/negozio/kids/criticalkids/il-bullismo-spiegato-ai-bambini/</t>
        </is>
      </c>
    </row>
    <row r="345">
      <c r="A345" s="14" t="inlineStr">
        <is>
          <t>3-6 anni</t>
        </is>
      </c>
      <c r="B345" s="14" t="inlineStr">
        <is>
          <t>BeccoGiallo</t>
        </is>
      </c>
      <c r="C345" s="14" t="inlineStr">
        <is>
          <t>Il razzismo spiegato ai bambini</t>
        </is>
      </c>
      <c r="D345" s="14" t="inlineStr">
        <is>
          <t>Mattia Ferri, Roberta Taboni e Marco Bonatti</t>
        </is>
      </c>
      <c r="E345" s="14" t="inlineStr">
        <is>
          <t>da 5 anni</t>
        </is>
      </c>
      <c r="F345" s="16" t="n">
        <v>14</v>
      </c>
      <c r="G345" s="14" t="inlineStr">
        <is>
          <t>9788833140391</t>
        </is>
      </c>
      <c r="H345" s="14" t="inlineStr"/>
      <c r="I345" s="14" t="inlineStr">
        <is>
          <t>Sì</t>
        </is>
      </c>
      <c r="J345" s="14" t="inlineStr">
        <is>
          <t>Kids / CriticalKids</t>
        </is>
      </c>
      <c r="K345" s="14" t="inlineStr">
        <is>
          <t>Razzismo e pregiudizio</t>
        </is>
      </c>
      <c r="L345" s="14" t="inlineStr">
        <is>
          <t>Carlo è un cagnolino che sogna di giocare a basket e di conoscere nuovi amici. Il problema è che è un meticcio, e Tuono e Fulmine, i cani di razza più forti della squadra, non lo accettano. Per fortuna ci sono anche cani di razza molto simpatici, come Salsiccia, che trova un’idea geniale per smascherare i pregiudizi dei compagni e aiutare Carlo a mostrare tutto il suo talento. Collana Critical Kids. 48 pagine, cartonato, a colori.</t>
        </is>
      </c>
      <c r="M345" s="14" t="inlineStr">
        <is>
          <t>https://www.ibs.it/x/e/9788833140391</t>
        </is>
      </c>
    </row>
    <row r="346">
      <c r="A346" s="14" t="inlineStr">
        <is>
          <t>3-6 anni</t>
        </is>
      </c>
      <c r="B346" s="14" t="inlineStr">
        <is>
          <t>BeccoGiallo</t>
        </is>
      </c>
      <c r="C346" s="14" t="inlineStr">
        <is>
          <t>La Shoah spiegata alle bambine e ai bambini</t>
        </is>
      </c>
      <c r="D346" s="14" t="inlineStr">
        <is>
          <t>Paolo Valentini e Chiara Abastanotti</t>
        </is>
      </c>
      <c r="E346" s="14" t="inlineStr">
        <is>
          <t>da 5 anni</t>
        </is>
      </c>
      <c r="F346" s="16" t="n">
        <v>16</v>
      </c>
      <c r="G346" s="14" t="inlineStr">
        <is>
          <t>9788833144245</t>
        </is>
      </c>
      <c r="H346" s="14" t="inlineStr"/>
      <c r="I346" s="14" t="inlineStr">
        <is>
          <t>Sì</t>
        </is>
      </c>
      <c r="J346" s="14" t="inlineStr">
        <is>
          <t>Kids / CriticalKids</t>
        </is>
      </c>
      <c r="K346" s="14" t="inlineStr">
        <is>
          <t>Memoria della Shoah</t>
        </is>
      </c>
      <c r="L346" s="14" t="inlineStr">
        <is>
          <t>Nel laboratorio di una sarta di nome Nuvola Gentile, Bottoni, Fili di seta, Aghi, Ditali, Spilli e Stoffe lavorano in armonia per creare bellissimi abiti da sposa. Ma quando il nuovo sindaco, il malvagio Generale Baffo, impone le sue crudeli leggi a tutti gli abitanti, gli attrezzi del laboratorio si uniscono per fermarlo. Una dolce storia piena di simboli per spiegare ai bambini la tragedia della Shoah. Collana Critical Kids. 48 pagine, cartonato, a colori.</t>
        </is>
      </c>
      <c r="M346" s="14" t="inlineStr">
        <is>
          <t>https://www.ibs.it/x/e/9788833144245</t>
        </is>
      </c>
    </row>
    <row r="347">
      <c r="A347" s="14" t="inlineStr">
        <is>
          <t>3-6 anni</t>
        </is>
      </c>
      <c r="B347" s="14" t="inlineStr">
        <is>
          <t>BeccoGiallo</t>
        </is>
      </c>
      <c r="C347" s="14" t="inlineStr">
        <is>
          <t>La biodiversità spiegata alle bambine e ai bambini</t>
        </is>
      </c>
      <c r="D347" s="14" t="inlineStr"/>
      <c r="E347" s="14" t="inlineStr">
        <is>
          <t>da 5 anni</t>
        </is>
      </c>
      <c r="F347" s="16" t="n">
        <v>15</v>
      </c>
      <c r="G347" s="14" t="inlineStr">
        <is>
          <t>9788833143415</t>
        </is>
      </c>
      <c r="H347" s="14" t="inlineStr"/>
      <c r="I347" s="14" t="inlineStr">
        <is>
          <t>Sì</t>
        </is>
      </c>
      <c r="J347" s="14" t="inlineStr">
        <is>
          <t>Kids / CriticalKids</t>
        </is>
      </c>
      <c r="K347" s="14" t="inlineStr">
        <is>
          <t>Ambiente e biodiversità</t>
        </is>
      </c>
      <c r="L347" s="14" t="inlineStr">
        <is>
          <t>Salire in montagna, attraversare un bosco di pianura, perdersi nelle colline, scoprire le zone umide, correre a perdifiato lungo la costa per poi tornare in città con una nuova consapevolezza: la Biodiversità è un meraviglioso sistema fatto di persone, animali, piante, funghi, microrganismi e un sacco di altre cose ancora. Una moltitudine di esseri viventi in equilibrio dinamico fra loro, da conoscere e tutelare. Un patrimonio inestimabile per il pianeta e per la nostra stessa esistenza.</t>
        </is>
      </c>
      <c r="M347" s="14" t="inlineStr">
        <is>
          <t>https://www.ibs.it/x/e/9788833143415</t>
        </is>
      </c>
    </row>
    <row r="348">
      <c r="A348" s="14" t="inlineStr">
        <is>
          <t>3-6 anni</t>
        </is>
      </c>
      <c r="B348" s="14" t="inlineStr">
        <is>
          <t>BeccoGiallo</t>
        </is>
      </c>
      <c r="C348" s="14" t="inlineStr">
        <is>
          <t>La sessualità spiegata ai bambini e alle bambine di ieri, oggi e domani</t>
        </is>
      </c>
      <c r="D348" s="14" t="inlineStr">
        <is>
          <t>Chiara Gregori e Juls Criveller</t>
        </is>
      </c>
      <c r="E348" s="14" t="inlineStr">
        <is>
          <t>da 5 anni</t>
        </is>
      </c>
      <c r="F348" s="16" t="n">
        <v>16</v>
      </c>
      <c r="G348" s="14" t="inlineStr">
        <is>
          <t>9788833142159</t>
        </is>
      </c>
      <c r="H348" s="14" t="inlineStr"/>
      <c r="I348" s="14" t="inlineStr">
        <is>
          <t>Sì</t>
        </is>
      </c>
      <c r="J348" s="14" t="inlineStr">
        <is>
          <t>Kids / CriticalKids</t>
        </is>
      </c>
      <c r="K348" s="14" t="inlineStr">
        <is>
          <t>Educazione sessuale e affettiva</t>
        </is>
      </c>
      <c r="L348" s="14" t="inlineStr">
        <is>
          <t>Come nascono i bambini? Cos’è il sesso? Perché i nostri corpi sono fatti così? Domande semplici che tutti i bambini (e i genitori) si sono posti: un libro-strumento per dare risposte tenere e scientificamente accurate, senza vergogna né tabù, per conoscere le parti più intime di sé. Perché crescere liberi significa crescere felici. Collana Critical Kids. 64 pagine, cartonato, a colori.</t>
        </is>
      </c>
      <c r="M348" s="14" t="inlineStr">
        <is>
          <t>https://www.ibs.it/x/e/9788833142159</t>
        </is>
      </c>
    </row>
    <row r="349">
      <c r="A349" s="14" t="inlineStr">
        <is>
          <t>3-6 anni</t>
        </is>
      </c>
      <c r="B349" s="14" t="inlineStr">
        <is>
          <t>BeccoGiallo</t>
        </is>
      </c>
      <c r="C349" s="14" t="inlineStr">
        <is>
          <t>L’Europa spiegata alle bambine e ai bambini</t>
        </is>
      </c>
      <c r="D349" s="14" t="inlineStr">
        <is>
          <t>Francesca Parmigiani e Shu Garbuglia</t>
        </is>
      </c>
      <c r="E349" s="14" t="inlineStr">
        <is>
          <t>da 5 anni</t>
        </is>
      </c>
      <c r="F349" s="16" t="n">
        <v>15</v>
      </c>
      <c r="G349" s="14" t="inlineStr">
        <is>
          <t>9788833143132</t>
        </is>
      </c>
      <c r="H349" s="14" t="inlineStr"/>
      <c r="I349" s="14" t="inlineStr">
        <is>
          <t>Sì</t>
        </is>
      </c>
      <c r="J349" s="14" t="inlineStr">
        <is>
          <t>Kids / CriticalKids</t>
        </is>
      </c>
      <c r="K349" s="14" t="inlineStr">
        <is>
          <t>Europa, pace e cittadinanza</t>
        </is>
      </c>
      <c r="L349" s="14" t="inlineStr">
        <is>
          <t>E se l’Europa fosse in realtà su un’isola? Durante una vacanza a Ventotene, a casa dei nonni, Nilde scoprirà una storia incredibile e, seguendo le orme del passato, imparerà che non esistono sogni impossibili da realizzare, che i confini possono unire invece di dividere, che la pace si può costruire anche in tempo di guerra e che nessuno può confinare le idee. Collana Critical Kids. 56 pagine, cartonato, a colori.</t>
        </is>
      </c>
      <c r="M349" s="14" t="inlineStr">
        <is>
          <t>https://www.ibs.it/x/e/9788833143132</t>
        </is>
      </c>
    </row>
    <row r="350">
      <c r="A350" s="14" t="inlineStr">
        <is>
          <t>Prime letture (6-8)</t>
        </is>
      </c>
      <c r="B350" s="14" t="inlineStr">
        <is>
          <t>BeccoGiallo</t>
        </is>
      </c>
      <c r="C350" s="14" t="inlineStr">
        <is>
          <t>L’immigrazione spiegata ai bambini</t>
        </is>
      </c>
      <c r="D350" s="14" t="inlineStr">
        <is>
          <t>Marco Rizzo; ill. Lelio Bonaccorso</t>
        </is>
      </c>
      <c r="E350" s="14" t="inlineStr">
        <is>
          <t>da 7 anni</t>
        </is>
      </c>
      <c r="F350" s="16" t="n">
        <v>13</v>
      </c>
      <c r="G350" s="14" t="inlineStr">
        <is>
          <t>9788899016395</t>
        </is>
      </c>
      <c r="H350" s="14" t="inlineStr"/>
      <c r="I350" s="14" t="inlineStr">
        <is>
          <t>Sì</t>
        </is>
      </c>
      <c r="J350" s="14" t="inlineStr">
        <is>
          <t>Kids / CriticalKids</t>
        </is>
      </c>
      <c r="K350" s="14" t="inlineStr">
        <is>
          <t>Migrazione e accoglienza</t>
        </is>
      </c>
      <c r="L350" s="14" t="inlineStr">
        <is>
          <t>Un gruppo variopinto di animali si ritrova su una nave che attraversa il Mediterraneo insieme ai loro padroni. Ciascuno ha lasciato il proprio Paese per un motivo diverso: uno fugge dalla guerra, un altro dalla fame, un altro da un governo repressivo. Attraverso gli occhi degli animali scopriamo cosa significa essere migranti e lasciare tutto alla ricerca di una vita migliore. Collana Critical Kids. 52 pagine, cartonato, a colori.</t>
        </is>
      </c>
      <c r="M350" s="14" t="inlineStr">
        <is>
          <t>https://www.beccogiallo.it/negozio/kids/criticalkids/limmigrazione-spiegata-ai-bambini/</t>
        </is>
      </c>
    </row>
    <row r="351">
      <c r="A351" s="14" t="inlineStr">
        <is>
          <t>Prime letture (6-8)</t>
        </is>
      </c>
      <c r="B351" s="14" t="inlineStr">
        <is>
          <t>BeccoGiallo</t>
        </is>
      </c>
      <c r="C351" s="14" t="inlineStr">
        <is>
          <t>Paleo Stories – Estinzione</t>
        </is>
      </c>
      <c r="D351" s="14" t="inlineStr">
        <is>
          <t>Emanuele Apostolidis, Elena Ghezzo e Michela Peloso</t>
        </is>
      </c>
      <c r="E351" s="14" t="inlineStr">
        <is>
          <t>da 6 anni</t>
        </is>
      </c>
      <c r="F351" s="16" t="n">
        <v>13</v>
      </c>
      <c r="G351" s="14" t="inlineStr">
        <is>
          <t>9788833143620</t>
        </is>
      </c>
      <c r="H351" s="14" t="inlineStr"/>
      <c r="I351" s="14" t="inlineStr">
        <is>
          <t>Sì</t>
        </is>
      </c>
      <c r="J351" s="14" t="inlineStr">
        <is>
          <t>Kids</t>
        </is>
      </c>
      <c r="K351" s="14" t="inlineStr">
        <is>
          <t>Scienza e paleontologia</t>
        </is>
      </c>
      <c r="L351" s="14" t="inlineStr">
        <is>
          <t>Serie a fumetti per chi ama i dinosauri, scritta con la supervisione di una paleontologa dell’Università Ca’ Foscari: avventura e scienza insieme. Vol. 1, Ossa misteriose: strane ossa di epoche diverse compaiono in un cantiere ai margini della città e Gei, che sa tutto di dinosauri, indaga con gli amici Phil, Nara e Mila scoprendo una minaccia che arriva da milioni di anni fa. Vol. 2, La valle dei mostri: i Paleo Hunters esplorano la Valle dei Mostri, in Siberia, per sventare i piani della società Paleogen. Dai 6 anni, brossura a colori.</t>
        </is>
      </c>
      <c r="M351" s="14" t="inlineStr">
        <is>
          <t>https://www.ibs.it/x/e/9788833143620</t>
        </is>
      </c>
    </row>
    <row r="352">
      <c r="A352" s="14" t="inlineStr">
        <is>
          <t>Scuola media (11-13)</t>
        </is>
      </c>
      <c r="B352" s="14" t="inlineStr">
        <is>
          <t>BeccoGiallo</t>
        </is>
      </c>
      <c r="C352" s="14" t="inlineStr">
        <is>
          <t>Adele Crudele 1. Tutto questo finirà male</t>
        </is>
      </c>
      <c r="D352" s="14" t="inlineStr">
        <is>
          <t>Mr Tan</t>
        </is>
      </c>
      <c r="E352" s="14" t="inlineStr">
        <is>
          <t>da 11 anni</t>
        </is>
      </c>
      <c r="F352" s="16" t="n">
        <v>12</v>
      </c>
      <c r="G352" s="14" t="inlineStr">
        <is>
          <t>9788899016852</t>
        </is>
      </c>
      <c r="H352" s="14" t="inlineStr"/>
      <c r="I352" s="14" t="inlineStr">
        <is>
          <t>Sì</t>
        </is>
      </c>
      <c r="J352" s="14" t="inlineStr">
        <is>
          <t>Adele Crudele</t>
        </is>
      </c>
      <c r="K352" s="14" t="inlineStr"/>
      <c r="L352" s="14" t="inlineStr">
        <is>
          <t>Che si tratti di far arrabbiare i miei genitori, di torturare il mio stupido gatto, di lottare contro Giada e le sue compari o di spezzare il cuore a Goffredo... ho sempre pronta un’idea interessante! Una buona dose di humour nero e un pizzico di tenerezza: ecco la ricetta di Adele, eroina di un nuovo genere... Allacciate le cinture, si parte!</t>
        </is>
      </c>
      <c r="M352" s="14" t="inlineStr"/>
    </row>
    <row r="353">
      <c r="A353" s="14" t="inlineStr">
        <is>
          <t>Prime letture (6-8)</t>
        </is>
      </c>
      <c r="B353" s="14" t="inlineStr">
        <is>
          <t>BeccoGiallo</t>
        </is>
      </c>
      <c r="C353" s="14" t="inlineStr">
        <is>
          <t>Archeo Tales – Il mito del Minotauro</t>
        </is>
      </c>
      <c r="D353" s="14" t="inlineStr"/>
      <c r="E353" s="14" t="inlineStr">
        <is>
          <t>da 7 anni</t>
        </is>
      </c>
      <c r="F353" s="16" t="n">
        <v>15</v>
      </c>
      <c r="G353" s="14" t="inlineStr">
        <is>
          <t>9788833143866</t>
        </is>
      </c>
      <c r="H353" s="14" t="inlineStr"/>
      <c r="I353" s="14" t="inlineStr">
        <is>
          <t>Sì</t>
        </is>
      </c>
      <c r="J353" s="14" t="inlineStr">
        <is>
          <t>Kids</t>
        </is>
      </c>
      <c r="K353" s="14" t="inlineStr"/>
      <c r="L353" s="14" t="inlineStr">
        <is>
          <t>Appena arrivata a Polis, dove l’archeologia è vietata, Dafne si ritrova con un amuleto misterioso lasciatole dal padre, scomparso anni prima. Insieme a Greta e Perry, scoprirà che nei sotterranei della città si cela un mondo nascosto di enigmi, miti... e un Oracolo pronto a guidarli contro i Titani. Perché certi miti non sono scomparsi. Sono solo in attesa... di essere risvegliati.</t>
        </is>
      </c>
      <c r="M353" s="14" t="inlineStr">
        <is>
          <t>https://www.ibs.it/x/e/9788833143866</t>
        </is>
      </c>
    </row>
    <row r="354">
      <c r="A354" s="14" t="inlineStr">
        <is>
          <t>8+</t>
        </is>
      </c>
      <c r="B354" s="14" t="inlineStr">
        <is>
          <t>BeccoGiallo</t>
        </is>
      </c>
      <c r="C354" s="14" t="inlineStr">
        <is>
          <t>Ariol. Un piccolo asino come te e me</t>
        </is>
      </c>
      <c r="D354" s="14" t="inlineStr">
        <is>
          <t>Emmanuel Guibert; ill. Marc Boutavant</t>
        </is>
      </c>
      <c r="E354" s="14" t="inlineStr">
        <is>
          <t>da 8 anni</t>
        </is>
      </c>
      <c r="F354" s="16" t="n">
        <v>12</v>
      </c>
      <c r="G354" s="14" t="inlineStr">
        <is>
          <t>9788833140148</t>
        </is>
      </c>
      <c r="H354" s="14" t="inlineStr"/>
      <c r="I354" s="14" t="inlineStr">
        <is>
          <t>Sì</t>
        </is>
      </c>
      <c r="J354" s="14" t="inlineStr">
        <is>
          <t>Ariol</t>
        </is>
      </c>
      <c r="K354" s="14" t="inlineStr"/>
      <c r="L354" s="14" t="inlineStr">
        <is>
          <t>Premio Comicon (opere straniere e internazionali) sezione Giovani Letture 2019. Ariol è un asinelio azzurro con gli occhiali. Vive in periferia con il suo papà e la sua mamma. Il suo migliore amico è un maiale. E innamorato di una compagna di classe, una graziosa vitellina. Il suo maestro è un grosso cane, il suo insegnante di ginnastica è un gallo robusto. Ecco insomma, Ariol è proprio come te e me.</t>
        </is>
      </c>
      <c r="M354" s="14" t="inlineStr"/>
    </row>
    <row r="355">
      <c r="A355" s="14" t="inlineStr">
        <is>
          <t>3-6 anni</t>
        </is>
      </c>
      <c r="B355" s="14" t="inlineStr">
        <is>
          <t>BeccoGiallo</t>
        </is>
      </c>
      <c r="C355" s="14" t="inlineStr">
        <is>
          <t>Come l’acqua</t>
        </is>
      </c>
      <c r="D355" s="14" t="inlineStr"/>
      <c r="E355" s="14" t="inlineStr">
        <is>
          <t>da 5 anni</t>
        </is>
      </c>
      <c r="F355" s="16" t="n">
        <v>19</v>
      </c>
      <c r="G355" s="14" t="inlineStr">
        <is>
          <t>9788833143750</t>
        </is>
      </c>
      <c r="H355" s="14" t="inlineStr"/>
      <c r="I355" s="14" t="inlineStr">
        <is>
          <t>Sì</t>
        </is>
      </c>
      <c r="J355" s="14" t="inlineStr">
        <is>
          <t>Kids</t>
        </is>
      </c>
      <c r="K355" s="14" t="inlineStr"/>
      <c r="L355" s="14" t="inlineStr">
        <is>
          <t>Ci sono cose straordinarie nel mondo. Ma tra tutte le cose straordinarie ce n’è una che è la più gigantesticamente, fascinosamente e incredibilmente straordinaria di tutte. Sai di cosa stiamo parlando?</t>
        </is>
      </c>
      <c r="M355" s="14" t="inlineStr">
        <is>
          <t>https://www.ibs.it/x/e/9788833143750</t>
        </is>
      </c>
    </row>
    <row r="356">
      <c r="A356" s="14" t="inlineStr">
        <is>
          <t>Scuola media (11-13)</t>
        </is>
      </c>
      <c r="B356" s="14" t="inlineStr">
        <is>
          <t>BeccoGiallo</t>
        </is>
      </c>
      <c r="C356" s="14" t="inlineStr">
        <is>
          <t>Figli della foresta. Due vite africane rapite dal colonialismo italiano</t>
        </is>
      </c>
      <c r="D356" s="14" t="inlineStr">
        <is>
          <t>Igiaba Scego; ill. Chiara Abastanotti</t>
        </is>
      </c>
      <c r="E356" s="14" t="inlineStr">
        <is>
          <t>da 12 anni</t>
        </is>
      </c>
      <c r="F356" s="16" t="n">
        <v>20</v>
      </c>
      <c r="G356" s="14" t="inlineStr">
        <is>
          <t>9788833144320</t>
        </is>
      </c>
      <c r="H356" s="14" t="inlineStr"/>
      <c r="I356" s="14" t="inlineStr">
        <is>
          <t>Sì</t>
        </is>
      </c>
      <c r="J356" s="14" t="inlineStr">
        <is>
          <t>Kids / CriticalKids</t>
        </is>
      </c>
      <c r="K356" s="14" t="inlineStr">
        <is>
          <t>Colonialismo e razzismo</t>
        </is>
      </c>
      <c r="L356" s="14" t="inlineStr">
        <is>
          <t>Nel 1873 l’esploratore e botanico tedesco Georg August Schweinfurth invia alla società geografica italiana un telegramma di poche righe dove è annunciata la morte di Giovanni Miani, la fine dell’esplorazione del Nilo Superiore finanziata dal governatore del Sudan Djafer Pascia e la presenza tra i beni lasciati da Miani di due “pigmei”. La parola pigmeo, oggi fortemente dispregiativa, indicava allora alcune popolazioni che abitavano i territori della foresta pluviale dell’Africa Centrale e Occidentale. Il mondo scientifico va in fibrillazione, eccitato dall’idea di poter vedere dal vivo, in carne e sangue, due persone di quei popoli.</t>
        </is>
      </c>
      <c r="M356" s="14" t="inlineStr">
        <is>
          <t>https://www.ibs.it/x/e/9788833144320 · https://www.beccogiallo.it/negozio/graphic-journalism/figli-della-foresta/</t>
        </is>
      </c>
    </row>
    <row r="357">
      <c r="A357" s="14" t="inlineStr">
        <is>
          <t>3-6 anni</t>
        </is>
      </c>
      <c r="B357" s="14" t="inlineStr">
        <is>
          <t>BeccoGiallo</t>
        </is>
      </c>
      <c r="C357" s="14" t="inlineStr">
        <is>
          <t>Il cinema spiegato ai bambini e alle bambine</t>
        </is>
      </c>
      <c r="D357" s="14" t="inlineStr"/>
      <c r="E357" s="14" t="inlineStr">
        <is>
          <t>da 4 anni</t>
        </is>
      </c>
      <c r="F357" s="16" t="n">
        <v>16</v>
      </c>
      <c r="G357" s="14" t="inlineStr">
        <is>
          <t>9788833143552</t>
        </is>
      </c>
      <c r="H357" s="14" t="inlineStr"/>
      <c r="I357" s="14" t="inlineStr">
        <is>
          <t>Sì</t>
        </is>
      </c>
      <c r="J357" s="14" t="inlineStr">
        <is>
          <t>Kids / CriticalKids</t>
        </is>
      </c>
      <c r="K357" s="14" t="inlineStr"/>
      <c r="L357" s="14" t="inlineStr">
        <is>
          <t>Regista, produttore, runner, rumorista, scenografa, costumista, stuntman, macchinisti: per fare un film servono tantissime persone! Ma ricorda: per quanto possa sembrare complesso, tutto inizia da una semplice idea.</t>
        </is>
      </c>
      <c r="M357" s="14" t="inlineStr">
        <is>
          <t>https://www.ibs.it/x/e/9788833143552</t>
        </is>
      </c>
    </row>
    <row r="358">
      <c r="A358" s="14" t="inlineStr">
        <is>
          <t>3-6 anni</t>
        </is>
      </c>
      <c r="B358" s="14" t="inlineStr">
        <is>
          <t>BeccoGiallo</t>
        </is>
      </c>
      <c r="C358" s="14" t="inlineStr">
        <is>
          <t>Il mio corpo!</t>
        </is>
      </c>
      <c r="D358" s="14" t="inlineStr"/>
      <c r="E358" s="14" t="inlineStr">
        <is>
          <t>da 3 anni</t>
        </is>
      </c>
      <c r="F358" s="16" t="n">
        <v>17.5</v>
      </c>
      <c r="G358" s="14" t="inlineStr">
        <is>
          <t>9788833143767</t>
        </is>
      </c>
      <c r="H358" s="14" t="inlineStr"/>
      <c r="I358" s="14" t="inlineStr">
        <is>
          <t>Sì</t>
        </is>
      </c>
      <c r="J358" s="14" t="inlineStr">
        <is>
          <t>Kids / CriticalKids</t>
        </is>
      </c>
      <c r="K358" s="14" t="inlineStr">
        <is>
          <t>Corpo</t>
        </is>
      </c>
      <c r="L358" s="14" t="inlineStr">
        <is>
          <t>Esistono tanti tipi di corpi. Hanno forme e colori diversi. Riescono a fare un sacco di cose. Il tuo corpo è il tuo migliore amico! E ogni corpo va rispettato e celebrato.</t>
        </is>
      </c>
      <c r="M358" s="14" t="inlineStr">
        <is>
          <t>https://www.ibs.it/x/e/9788833143767 · https://www.beccogiallo.it/negozio/kids/illustrati/il-mio-corpo/</t>
        </is>
      </c>
    </row>
    <row r="359">
      <c r="A359" s="14" t="inlineStr">
        <is>
          <t>9+</t>
        </is>
      </c>
      <c r="B359" s="14" t="inlineStr">
        <is>
          <t>BeccoGiallo</t>
        </is>
      </c>
      <c r="C359" s="14" t="inlineStr">
        <is>
          <t>Il primo soccorso spiegato alle bambine e ai bambini</t>
        </is>
      </c>
      <c r="D359" s="14" t="inlineStr"/>
      <c r="E359" s="14" t="inlineStr">
        <is>
          <t>da 9 anni</t>
        </is>
      </c>
      <c r="F359" s="16" t="n">
        <v>16</v>
      </c>
      <c r="G359" s="14" t="inlineStr">
        <is>
          <t>9788833143965</t>
        </is>
      </c>
      <c r="H359" s="14" t="inlineStr"/>
      <c r="I359" s="14" t="inlineStr">
        <is>
          <t>Sì</t>
        </is>
      </c>
      <c r="J359" s="14" t="inlineStr">
        <is>
          <t>Kids / CriticalKids</t>
        </is>
      </c>
      <c r="K359" s="14" t="inlineStr"/>
      <c r="L359" s="14" t="inlineStr">
        <is>
          <t>Riconoscere le situazioni di pericolo, mantenere la calma, chiamare i soccorsi, comunicare correttamente con il 112, sapere come funziona il nostro corpo e perché è importante proteggerlo: ricco di giochi utili, indovinelli e attività pratiche, questo libro è pensato per insegnare ai più piccoli e alle più piccole le basi del Primo Soccorso. Perché ognuno di noi, se adeguatamente informato, può fare la differenza quando ce n’è davvero bisogno, fin dalla più tenera età.</t>
        </is>
      </c>
      <c r="M359" s="14" t="inlineStr">
        <is>
          <t>https://www.ibs.it/x/e/9788833143965</t>
        </is>
      </c>
    </row>
    <row r="360">
      <c r="A360" s="14" t="inlineStr">
        <is>
          <t>9+</t>
        </is>
      </c>
      <c r="B360" s="14" t="inlineStr">
        <is>
          <t>BeccoGiallo</t>
        </is>
      </c>
      <c r="C360" s="14" t="inlineStr">
        <is>
          <t>La Costituzione spiegata ai bambini (Piero e Nilde)</t>
        </is>
      </c>
      <c r="D360" s="14" t="inlineStr">
        <is>
          <t>Francesca Parmigiani; ill. Dora Creminati</t>
        </is>
      </c>
      <c r="E360" s="14" t="inlineStr">
        <is>
          <t>da 9 anni</t>
        </is>
      </c>
      <c r="F360" s="16" t="n">
        <v>14</v>
      </c>
      <c r="G360" s="14" t="inlineStr">
        <is>
          <t>9788833141084</t>
        </is>
      </c>
      <c r="H360" s="14" t="inlineStr"/>
      <c r="I360" s="14" t="inlineStr">
        <is>
          <t>Sì</t>
        </is>
      </c>
      <c r="J360" s="14" t="inlineStr">
        <is>
          <t>Kids / CriticalKids</t>
        </is>
      </c>
      <c r="K360" s="14" t="inlineStr">
        <is>
          <t>Diritti e cittadinanza</t>
        </is>
      </c>
      <c r="L360" s="14" t="inlineStr">
        <is>
          <t>Questo libro è uno strumento per cominciare a parlare della costituzione con i più piccoli. In una classe spumeggiante, durante un normale giorno di scuola, Piero e Nilde – insieme ai loro compagni – imparano il significato di parole nuove e bellissime: Democrazia, Libertà, Diritti e Doveri, Solidarietà, Eguaglianza. E scoprono che sono parole vive e concrete, che hanno a che fare con la loro vita di tutti i giorni: perché la Costituzione è dappertutto e non è mai troppo presto per iniziare a conoscerla!</t>
        </is>
      </c>
      <c r="M360" s="14" t="inlineStr">
        <is>
          <t>https://www.ibs.it/x/e/9788833141084</t>
        </is>
      </c>
    </row>
    <row r="361">
      <c r="A361" s="14" t="inlineStr">
        <is>
          <t>9+</t>
        </is>
      </c>
      <c r="B361" s="14" t="inlineStr">
        <is>
          <t>BeccoGiallo</t>
        </is>
      </c>
      <c r="C361" s="14" t="inlineStr">
        <is>
          <t>La Resistenza spiegata ai bambini</t>
        </is>
      </c>
      <c r="D361" s="14" t="inlineStr">
        <is>
          <t>Francesca Parmigiani</t>
        </is>
      </c>
      <c r="E361" s="14" t="inlineStr">
        <is>
          <t>da 9 anni</t>
        </is>
      </c>
      <c r="F361" s="16" t="n">
        <v>14</v>
      </c>
      <c r="G361" s="14" t="inlineStr">
        <is>
          <t>9788833141527</t>
        </is>
      </c>
      <c r="H361" s="14" t="inlineStr"/>
      <c r="I361" s="14" t="inlineStr">
        <is>
          <t>Sì</t>
        </is>
      </c>
      <c r="J361" s="14" t="inlineStr">
        <is>
          <t>Kids / CriticalKids</t>
        </is>
      </c>
      <c r="K361" s="14" t="inlineStr">
        <is>
          <t>Resistenza e libertà</t>
        </is>
      </c>
      <c r="L361" s="14" t="inlineStr">
        <is>
          <t>Che cos’è la dittatura? Chi erano i partigiani? Com’è nata la Costituzione italiana? Per rispondere a queste e ad altre domande, Piero, Nilde e i loro compagni di classe si avventurano lungo sentieri di montagna guidati dalla maestra Anna. Dall’incontro con uomini e donne coraggiosi comprendono che libertà, democrazia e pace sono state una difficile e sofferta conquista, su cui, d’ora in poi, anche loro vigileranno.</t>
        </is>
      </c>
      <c r="M361" s="14" t="inlineStr">
        <is>
          <t>https://www.ibs.it/x/e/9788833141527</t>
        </is>
      </c>
    </row>
    <row r="362">
      <c r="A362" s="14" t="inlineStr">
        <is>
          <t>Prime letture (6-8)</t>
        </is>
      </c>
      <c r="B362" s="14" t="inlineStr">
        <is>
          <t>BeccoGiallo</t>
        </is>
      </c>
      <c r="C362" s="14" t="inlineStr">
        <is>
          <t>La disabilità spiegata ai bambini e alle bambine</t>
        </is>
      </c>
      <c r="D362" s="14" t="inlineStr"/>
      <c r="E362" s="14" t="inlineStr">
        <is>
          <t>da 6 anni</t>
        </is>
      </c>
      <c r="F362" s="16" t="n">
        <v>16</v>
      </c>
      <c r="G362" s="14" t="inlineStr">
        <is>
          <t>9788833143644</t>
        </is>
      </c>
      <c r="H362" s="14" t="inlineStr"/>
      <c r="I362" s="14" t="inlineStr">
        <is>
          <t>Sì</t>
        </is>
      </c>
      <c r="J362" s="14" t="inlineStr">
        <is>
          <t>Kids / CriticalKids</t>
        </is>
      </c>
      <c r="K362" s="14" t="inlineStr">
        <is>
          <t>Disabilità</t>
        </is>
      </c>
      <c r="L362" s="14" t="inlineStr">
        <is>
          <t>Azzurra ha otto anni e una passione sfrenata per le scienze. Usa una sedia a rotelle elettrica, che ha affettuosamente soprannominato “Giuditta” e non vede l’ora di costruire il progetto assegnatole dalla maestra! Anche se i commenti abilisti dei suoi compagni la feriscono, troverà la via per portare a termine il compito nel modo più adatto a lei: perché ogni corpo ha il suo modo di affrontare i problemi, e questo non cambia il nostro valore.</t>
        </is>
      </c>
      <c r="M362" s="14" t="inlineStr">
        <is>
          <t>https://www.ibs.it/x/e/9788833143644</t>
        </is>
      </c>
    </row>
    <row r="363">
      <c r="A363" s="14" t="inlineStr">
        <is>
          <t>Prime letture (6-8)</t>
        </is>
      </c>
      <c r="B363" s="14" t="inlineStr">
        <is>
          <t>BeccoGiallo</t>
        </is>
      </c>
      <c r="C363" s="14" t="inlineStr">
        <is>
          <t>Le emozioni spiegate alle bambine e ai bambini</t>
        </is>
      </c>
      <c r="D363" s="14" t="inlineStr"/>
      <c r="E363" s="14" t="inlineStr">
        <is>
          <t>da 6 anni</t>
        </is>
      </c>
      <c r="F363" s="16" t="n">
        <v>16</v>
      </c>
      <c r="G363" s="14" t="inlineStr">
        <is>
          <t>9788833143958</t>
        </is>
      </c>
      <c r="H363" s="14" t="inlineStr"/>
      <c r="I363" s="14" t="inlineStr">
        <is>
          <t>Sì</t>
        </is>
      </c>
      <c r="J363" s="14" t="inlineStr">
        <is>
          <t>Kids / CriticalKids</t>
        </is>
      </c>
      <c r="K363" s="14" t="inlineStr">
        <is>
          <t>Emozioni</t>
        </is>
      </c>
      <c r="L363" s="14" t="inlineStr">
        <is>
          <t>Quante emozioni esistono? Che parole possiamo usare per descriverle? Che colore ha la rabbia? Che forma ha la felicità? E da dove viene la vergogna? Una mattina a Borgo Bislacco gli abitanti si svegliano senza ricordare più che cosa sono le emozioni. La soluzione a questo strano evento sarà altrettanto insolita, e avrà la forma di un cappello... anzi, di tantissimi cappelli diversi!</t>
        </is>
      </c>
      <c r="M363" s="14" t="inlineStr">
        <is>
          <t>https://www.ibs.it/x/e/9788833143958</t>
        </is>
      </c>
    </row>
    <row r="364">
      <c r="A364" s="14" t="inlineStr">
        <is>
          <t>Prime letture (6-8)</t>
        </is>
      </c>
      <c r="B364" s="14" t="inlineStr">
        <is>
          <t>BeccoGiallo</t>
        </is>
      </c>
      <c r="C364" s="14" t="inlineStr">
        <is>
          <t>Woman Power</t>
        </is>
      </c>
      <c r="D364" s="14" t="inlineStr"/>
      <c r="E364" s="14" t="inlineStr">
        <is>
          <t>da 6 anni</t>
        </is>
      </c>
      <c r="F364" s="16" t="n">
        <v>19.5</v>
      </c>
      <c r="G364" s="14" t="inlineStr">
        <is>
          <t>9788833143460</t>
        </is>
      </c>
      <c r="H364" s="14" t="inlineStr"/>
      <c r="I364" s="14" t="inlineStr">
        <is>
          <t>Sì</t>
        </is>
      </c>
      <c r="J364" s="14" t="inlineStr">
        <is>
          <t>Kids / CriticalKids</t>
        </is>
      </c>
      <c r="K364" s="14" t="inlineStr">
        <is>
          <t>Donne e parità</t>
        </is>
      </c>
      <c r="L364" s="14" t="inlineStr">
        <is>
          <t>Nel corso della storia, le proteste delle donne sono riuscite a rendere il mondo un posto migliore. A Londra, le sarte di una fabbrica della Ford spinsero il Regno Unito ad adottare la parità salariale; le donne saudite ebbero il coraggio di prendere il volante nonostante il divieto di guidare nel loro paese; le Guerrilla Girls si mascherarono da gorilla per dare uno scossone al mondo dell’arte e rivendicare la presenza femminile nei musei… Quando donne coraggiose difendono ciò in cui credono accadono cose incredibili!</t>
        </is>
      </c>
      <c r="M364" s="14" t="inlineStr">
        <is>
          <t>https://www.ibs.it/x/e/9788833143460</t>
        </is>
      </c>
    </row>
  </sheetData>
  <autoFilter ref="A1:M3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7"/>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4" t="inlineStr">
        <is>
          <t>Riepilogo: catalogo completo raccolto (tutte le righe). Nel flipbook entra solo la selezione: colonna 'Nel flipbook' = Sì</t>
        </is>
      </c>
    </row>
    <row r="3" ht="42" customHeight="1">
      <c r="A3" s="5" t="inlineStr">
        <is>
          <t>Fascia</t>
        </is>
      </c>
      <c r="B3" s="6" t="inlineStr">
        <is>
          <t>Settenove</t>
        </is>
      </c>
      <c r="C3" s="6" t="inlineStr">
        <is>
          <t>Uovonero</t>
        </is>
      </c>
      <c r="D3" s="6" t="inlineStr">
        <is>
          <t>Terre di Mezzo</t>
        </is>
      </c>
      <c r="E3" s="6" t="inlineStr">
        <is>
          <t>Camelozampa</t>
        </is>
      </c>
      <c r="F3" s="6" t="inlineStr">
        <is>
          <t>La Meridiana</t>
        </is>
      </c>
      <c r="G3" s="6" t="inlineStr">
        <is>
          <t>Gallucci</t>
        </is>
      </c>
      <c r="H3" s="6" t="inlineStr">
        <is>
          <t>Pelledoca</t>
        </is>
      </c>
      <c r="I3" s="6" t="inlineStr">
        <is>
          <t>Momo Edizioni</t>
        </is>
      </c>
      <c r="J3" s="6" t="inlineStr">
        <is>
          <t>Tunuè</t>
        </is>
      </c>
      <c r="K3" s="6" t="inlineStr">
        <is>
          <t>Cronache Ribelli</t>
        </is>
      </c>
      <c r="L3" s="6" t="inlineStr">
        <is>
          <t>Dalia Edizioni</t>
        </is>
      </c>
      <c r="M3" s="6" t="inlineStr">
        <is>
          <t>Edizioni Corsare</t>
        </is>
      </c>
      <c r="N3" s="6" t="inlineStr">
        <is>
          <t>Minibombo</t>
        </is>
      </c>
      <c r="O3" s="6" t="inlineStr">
        <is>
          <t>People</t>
        </is>
      </c>
      <c r="P3" s="6" t="inlineStr">
        <is>
          <t>Nero Latte</t>
        </is>
      </c>
      <c r="Q3" s="6" t="inlineStr">
        <is>
          <t>Logos</t>
        </is>
      </c>
      <c r="R3" s="6" t="inlineStr">
        <is>
          <t>Lapis</t>
        </is>
      </c>
      <c r="S3" s="6" t="inlineStr">
        <is>
          <t>L'Ippocampo</t>
        </is>
      </c>
      <c r="T3" s="6" t="inlineStr">
        <is>
          <t>Neo Edizioni</t>
        </is>
      </c>
      <c r="U3" s="6" t="inlineStr">
        <is>
          <t>Tetra Edizioni</t>
        </is>
      </c>
      <c r="V3" s="6" t="inlineStr">
        <is>
          <t>effequ</t>
        </is>
      </c>
      <c r="W3" s="6" t="inlineStr">
        <is>
          <t>BeccoGiallo</t>
        </is>
      </c>
      <c r="X3" s="5" t="inlineStr">
        <is>
          <t>Totale</t>
        </is>
      </c>
    </row>
    <row r="4">
      <c r="A4" s="7" t="inlineStr">
        <is>
          <t>0-3 anni</t>
        </is>
      </c>
      <c r="B4" s="8">
        <f>COUNTIFS('Tutti i titoli'!$A$2:$A$1301,B$3,'Tutti i titoli'!$F$2:$F$1301,$A4)</f>
        <v/>
      </c>
      <c r="C4" s="8">
        <f>COUNTIFS('Tutti i titoli'!$A$2:$A$1301,C$3,'Tutti i titoli'!$F$2:$F$1301,$A4)</f>
        <v/>
      </c>
      <c r="D4" s="8">
        <f>COUNTIFS('Tutti i titoli'!$A$2:$A$1301,D$3,'Tutti i titoli'!$F$2:$F$1301,$A4)</f>
        <v/>
      </c>
      <c r="E4" s="8">
        <f>COUNTIFS('Tutti i titoli'!$A$2:$A$1301,E$3,'Tutti i titoli'!$F$2:$F$1301,$A4)</f>
        <v/>
      </c>
      <c r="F4" s="8">
        <f>COUNTIFS('Tutti i titoli'!$A$2:$A$1301,F$3,'Tutti i titoli'!$F$2:$F$1301,$A4)</f>
        <v/>
      </c>
      <c r="G4" s="8">
        <f>COUNTIFS('Tutti i titoli'!$A$2:$A$1301,G$3,'Tutti i titoli'!$F$2:$F$1301,$A4)</f>
        <v/>
      </c>
      <c r="H4" s="8">
        <f>COUNTIFS('Tutti i titoli'!$A$2:$A$1301,H$3,'Tutti i titoli'!$F$2:$F$1301,$A4)</f>
        <v/>
      </c>
      <c r="I4" s="8">
        <f>COUNTIFS('Tutti i titoli'!$A$2:$A$1301,I$3,'Tutti i titoli'!$F$2:$F$1301,$A4)</f>
        <v/>
      </c>
      <c r="J4" s="8">
        <f>COUNTIFS('Tutti i titoli'!$A$2:$A$1301,J$3,'Tutti i titoli'!$F$2:$F$1301,$A4)</f>
        <v/>
      </c>
      <c r="K4" s="8">
        <f>COUNTIFS('Tutti i titoli'!$A$2:$A$1301,K$3,'Tutti i titoli'!$F$2:$F$1301,$A4)</f>
        <v/>
      </c>
      <c r="L4" s="8">
        <f>COUNTIFS('Tutti i titoli'!$A$2:$A$1301,L$3,'Tutti i titoli'!$F$2:$F$1301,$A4)</f>
        <v/>
      </c>
      <c r="M4" s="8">
        <f>COUNTIFS('Tutti i titoli'!$A$2:$A$1301,M$3,'Tutti i titoli'!$F$2:$F$1301,$A4)</f>
        <v/>
      </c>
      <c r="N4" s="8">
        <f>COUNTIFS('Tutti i titoli'!$A$2:$A$1301,N$3,'Tutti i titoli'!$F$2:$F$1301,$A4)</f>
        <v/>
      </c>
      <c r="O4" s="8">
        <f>COUNTIFS('Tutti i titoli'!$A$2:$A$1301,O$3,'Tutti i titoli'!$F$2:$F$1301,$A4)</f>
        <v/>
      </c>
      <c r="P4" s="8">
        <f>COUNTIFS('Tutti i titoli'!$A$2:$A$1301,P$3,'Tutti i titoli'!$F$2:$F$1301,$A4)</f>
        <v/>
      </c>
      <c r="Q4" s="8">
        <f>COUNTIFS('Tutti i titoli'!$A$2:$A$1301,Q$3,'Tutti i titoli'!$F$2:$F$1301,$A4)</f>
        <v/>
      </c>
      <c r="R4" s="8">
        <f>COUNTIFS('Tutti i titoli'!$A$2:$A$1301,R$3,'Tutti i titoli'!$F$2:$F$1301,$A4)</f>
        <v/>
      </c>
      <c r="S4" s="8">
        <f>COUNTIFS('Tutti i titoli'!$A$2:$A$1301,S$3,'Tutti i titoli'!$F$2:$F$1301,$A4)</f>
        <v/>
      </c>
      <c r="T4" s="8">
        <f>COUNTIFS('Tutti i titoli'!$A$2:$A$1301,T$3,'Tutti i titoli'!$F$2:$F$1301,$A4)</f>
        <v/>
      </c>
      <c r="U4" s="8">
        <f>COUNTIFS('Tutti i titoli'!$A$2:$A$1301,U$3,'Tutti i titoli'!$F$2:$F$1301,$A4)</f>
        <v/>
      </c>
      <c r="V4" s="8">
        <f>COUNTIFS('Tutti i titoli'!$A$2:$A$1301,V$3,'Tutti i titoli'!$F$2:$F$1301,$A4)</f>
        <v/>
      </c>
      <c r="W4" s="8">
        <f>COUNTIFS('Tutti i titoli'!$A$2:$A$1301,W$3,'Tutti i titoli'!$F$2:$F$1301,$A4)</f>
        <v/>
      </c>
      <c r="X4" s="9">
        <f>SUM(B4:W4)</f>
        <v/>
      </c>
    </row>
    <row r="5">
      <c r="A5" s="7" t="inlineStr">
        <is>
          <t>3-6 anni</t>
        </is>
      </c>
      <c r="B5" s="8">
        <f>COUNTIFS('Tutti i titoli'!$A$2:$A$1301,B$3,'Tutti i titoli'!$F$2:$F$1301,$A5)</f>
        <v/>
      </c>
      <c r="C5" s="8">
        <f>COUNTIFS('Tutti i titoli'!$A$2:$A$1301,C$3,'Tutti i titoli'!$F$2:$F$1301,$A5)</f>
        <v/>
      </c>
      <c r="D5" s="8">
        <f>COUNTIFS('Tutti i titoli'!$A$2:$A$1301,D$3,'Tutti i titoli'!$F$2:$F$1301,$A5)</f>
        <v/>
      </c>
      <c r="E5" s="8">
        <f>COUNTIFS('Tutti i titoli'!$A$2:$A$1301,E$3,'Tutti i titoli'!$F$2:$F$1301,$A5)</f>
        <v/>
      </c>
      <c r="F5" s="8">
        <f>COUNTIFS('Tutti i titoli'!$A$2:$A$1301,F$3,'Tutti i titoli'!$F$2:$F$1301,$A5)</f>
        <v/>
      </c>
      <c r="G5" s="8">
        <f>COUNTIFS('Tutti i titoli'!$A$2:$A$1301,G$3,'Tutti i titoli'!$F$2:$F$1301,$A5)</f>
        <v/>
      </c>
      <c r="H5" s="8">
        <f>COUNTIFS('Tutti i titoli'!$A$2:$A$1301,H$3,'Tutti i titoli'!$F$2:$F$1301,$A5)</f>
        <v/>
      </c>
      <c r="I5" s="8">
        <f>COUNTIFS('Tutti i titoli'!$A$2:$A$1301,I$3,'Tutti i titoli'!$F$2:$F$1301,$A5)</f>
        <v/>
      </c>
      <c r="J5" s="8">
        <f>COUNTIFS('Tutti i titoli'!$A$2:$A$1301,J$3,'Tutti i titoli'!$F$2:$F$1301,$A5)</f>
        <v/>
      </c>
      <c r="K5" s="8">
        <f>COUNTIFS('Tutti i titoli'!$A$2:$A$1301,K$3,'Tutti i titoli'!$F$2:$F$1301,$A5)</f>
        <v/>
      </c>
      <c r="L5" s="8">
        <f>COUNTIFS('Tutti i titoli'!$A$2:$A$1301,L$3,'Tutti i titoli'!$F$2:$F$1301,$A5)</f>
        <v/>
      </c>
      <c r="M5" s="8">
        <f>COUNTIFS('Tutti i titoli'!$A$2:$A$1301,M$3,'Tutti i titoli'!$F$2:$F$1301,$A5)</f>
        <v/>
      </c>
      <c r="N5" s="8">
        <f>COUNTIFS('Tutti i titoli'!$A$2:$A$1301,N$3,'Tutti i titoli'!$F$2:$F$1301,$A5)</f>
        <v/>
      </c>
      <c r="O5" s="8">
        <f>COUNTIFS('Tutti i titoli'!$A$2:$A$1301,O$3,'Tutti i titoli'!$F$2:$F$1301,$A5)</f>
        <v/>
      </c>
      <c r="P5" s="8">
        <f>COUNTIFS('Tutti i titoli'!$A$2:$A$1301,P$3,'Tutti i titoli'!$F$2:$F$1301,$A5)</f>
        <v/>
      </c>
      <c r="Q5" s="8">
        <f>COUNTIFS('Tutti i titoli'!$A$2:$A$1301,Q$3,'Tutti i titoli'!$F$2:$F$1301,$A5)</f>
        <v/>
      </c>
      <c r="R5" s="8">
        <f>COUNTIFS('Tutti i titoli'!$A$2:$A$1301,R$3,'Tutti i titoli'!$F$2:$F$1301,$A5)</f>
        <v/>
      </c>
      <c r="S5" s="8">
        <f>COUNTIFS('Tutti i titoli'!$A$2:$A$1301,S$3,'Tutti i titoli'!$F$2:$F$1301,$A5)</f>
        <v/>
      </c>
      <c r="T5" s="8">
        <f>COUNTIFS('Tutti i titoli'!$A$2:$A$1301,T$3,'Tutti i titoli'!$F$2:$F$1301,$A5)</f>
        <v/>
      </c>
      <c r="U5" s="8">
        <f>COUNTIFS('Tutti i titoli'!$A$2:$A$1301,U$3,'Tutti i titoli'!$F$2:$F$1301,$A5)</f>
        <v/>
      </c>
      <c r="V5" s="8">
        <f>COUNTIFS('Tutti i titoli'!$A$2:$A$1301,V$3,'Tutti i titoli'!$F$2:$F$1301,$A5)</f>
        <v/>
      </c>
      <c r="W5" s="8">
        <f>COUNTIFS('Tutti i titoli'!$A$2:$A$1301,W$3,'Tutti i titoli'!$F$2:$F$1301,$A5)</f>
        <v/>
      </c>
      <c r="X5" s="9">
        <f>SUM(B5:W5)</f>
        <v/>
      </c>
    </row>
    <row r="6">
      <c r="A6" s="7" t="inlineStr">
        <is>
          <t>Prime letture (6-8)</t>
        </is>
      </c>
      <c r="B6" s="8">
        <f>COUNTIFS('Tutti i titoli'!$A$2:$A$1301,B$3,'Tutti i titoli'!$F$2:$F$1301,$A6)</f>
        <v/>
      </c>
      <c r="C6" s="8">
        <f>COUNTIFS('Tutti i titoli'!$A$2:$A$1301,C$3,'Tutti i titoli'!$F$2:$F$1301,$A6)</f>
        <v/>
      </c>
      <c r="D6" s="8">
        <f>COUNTIFS('Tutti i titoli'!$A$2:$A$1301,D$3,'Tutti i titoli'!$F$2:$F$1301,$A6)</f>
        <v/>
      </c>
      <c r="E6" s="8">
        <f>COUNTIFS('Tutti i titoli'!$A$2:$A$1301,E$3,'Tutti i titoli'!$F$2:$F$1301,$A6)</f>
        <v/>
      </c>
      <c r="F6" s="8">
        <f>COUNTIFS('Tutti i titoli'!$A$2:$A$1301,F$3,'Tutti i titoli'!$F$2:$F$1301,$A6)</f>
        <v/>
      </c>
      <c r="G6" s="8">
        <f>COUNTIFS('Tutti i titoli'!$A$2:$A$1301,G$3,'Tutti i titoli'!$F$2:$F$1301,$A6)</f>
        <v/>
      </c>
      <c r="H6" s="8">
        <f>COUNTIFS('Tutti i titoli'!$A$2:$A$1301,H$3,'Tutti i titoli'!$F$2:$F$1301,$A6)</f>
        <v/>
      </c>
      <c r="I6" s="8">
        <f>COUNTIFS('Tutti i titoli'!$A$2:$A$1301,I$3,'Tutti i titoli'!$F$2:$F$1301,$A6)</f>
        <v/>
      </c>
      <c r="J6" s="8">
        <f>COUNTIFS('Tutti i titoli'!$A$2:$A$1301,J$3,'Tutti i titoli'!$F$2:$F$1301,$A6)</f>
        <v/>
      </c>
      <c r="K6" s="8">
        <f>COUNTIFS('Tutti i titoli'!$A$2:$A$1301,K$3,'Tutti i titoli'!$F$2:$F$1301,$A6)</f>
        <v/>
      </c>
      <c r="L6" s="8">
        <f>COUNTIFS('Tutti i titoli'!$A$2:$A$1301,L$3,'Tutti i titoli'!$F$2:$F$1301,$A6)</f>
        <v/>
      </c>
      <c r="M6" s="8">
        <f>COUNTIFS('Tutti i titoli'!$A$2:$A$1301,M$3,'Tutti i titoli'!$F$2:$F$1301,$A6)</f>
        <v/>
      </c>
      <c r="N6" s="8">
        <f>COUNTIFS('Tutti i titoli'!$A$2:$A$1301,N$3,'Tutti i titoli'!$F$2:$F$1301,$A6)</f>
        <v/>
      </c>
      <c r="O6" s="8">
        <f>COUNTIFS('Tutti i titoli'!$A$2:$A$1301,O$3,'Tutti i titoli'!$F$2:$F$1301,$A6)</f>
        <v/>
      </c>
      <c r="P6" s="8">
        <f>COUNTIFS('Tutti i titoli'!$A$2:$A$1301,P$3,'Tutti i titoli'!$F$2:$F$1301,$A6)</f>
        <v/>
      </c>
      <c r="Q6" s="8">
        <f>COUNTIFS('Tutti i titoli'!$A$2:$A$1301,Q$3,'Tutti i titoli'!$F$2:$F$1301,$A6)</f>
        <v/>
      </c>
      <c r="R6" s="8">
        <f>COUNTIFS('Tutti i titoli'!$A$2:$A$1301,R$3,'Tutti i titoli'!$F$2:$F$1301,$A6)</f>
        <v/>
      </c>
      <c r="S6" s="8">
        <f>COUNTIFS('Tutti i titoli'!$A$2:$A$1301,S$3,'Tutti i titoli'!$F$2:$F$1301,$A6)</f>
        <v/>
      </c>
      <c r="T6" s="8">
        <f>COUNTIFS('Tutti i titoli'!$A$2:$A$1301,T$3,'Tutti i titoli'!$F$2:$F$1301,$A6)</f>
        <v/>
      </c>
      <c r="U6" s="8">
        <f>COUNTIFS('Tutti i titoli'!$A$2:$A$1301,U$3,'Tutti i titoli'!$F$2:$F$1301,$A6)</f>
        <v/>
      </c>
      <c r="V6" s="8">
        <f>COUNTIFS('Tutti i titoli'!$A$2:$A$1301,V$3,'Tutti i titoli'!$F$2:$F$1301,$A6)</f>
        <v/>
      </c>
      <c r="W6" s="8">
        <f>COUNTIFS('Tutti i titoli'!$A$2:$A$1301,W$3,'Tutti i titoli'!$F$2:$F$1301,$A6)</f>
        <v/>
      </c>
      <c r="X6" s="9">
        <f>SUM(B6:W6)</f>
        <v/>
      </c>
    </row>
    <row r="7">
      <c r="A7" s="7" t="inlineStr">
        <is>
          <t>8+</t>
        </is>
      </c>
      <c r="B7" s="8">
        <f>COUNTIFS('Tutti i titoli'!$A$2:$A$1301,B$3,'Tutti i titoli'!$F$2:$F$1301,$A7)</f>
        <v/>
      </c>
      <c r="C7" s="8">
        <f>COUNTIFS('Tutti i titoli'!$A$2:$A$1301,C$3,'Tutti i titoli'!$F$2:$F$1301,$A7)</f>
        <v/>
      </c>
      <c r="D7" s="8">
        <f>COUNTIFS('Tutti i titoli'!$A$2:$A$1301,D$3,'Tutti i titoli'!$F$2:$F$1301,$A7)</f>
        <v/>
      </c>
      <c r="E7" s="8">
        <f>COUNTIFS('Tutti i titoli'!$A$2:$A$1301,E$3,'Tutti i titoli'!$F$2:$F$1301,$A7)</f>
        <v/>
      </c>
      <c r="F7" s="8">
        <f>COUNTIFS('Tutti i titoli'!$A$2:$A$1301,F$3,'Tutti i titoli'!$F$2:$F$1301,$A7)</f>
        <v/>
      </c>
      <c r="G7" s="8">
        <f>COUNTIFS('Tutti i titoli'!$A$2:$A$1301,G$3,'Tutti i titoli'!$F$2:$F$1301,$A7)</f>
        <v/>
      </c>
      <c r="H7" s="8">
        <f>COUNTIFS('Tutti i titoli'!$A$2:$A$1301,H$3,'Tutti i titoli'!$F$2:$F$1301,$A7)</f>
        <v/>
      </c>
      <c r="I7" s="8">
        <f>COUNTIFS('Tutti i titoli'!$A$2:$A$1301,I$3,'Tutti i titoli'!$F$2:$F$1301,$A7)</f>
        <v/>
      </c>
      <c r="J7" s="8">
        <f>COUNTIFS('Tutti i titoli'!$A$2:$A$1301,J$3,'Tutti i titoli'!$F$2:$F$1301,$A7)</f>
        <v/>
      </c>
      <c r="K7" s="8">
        <f>COUNTIFS('Tutti i titoli'!$A$2:$A$1301,K$3,'Tutti i titoli'!$F$2:$F$1301,$A7)</f>
        <v/>
      </c>
      <c r="L7" s="8">
        <f>COUNTIFS('Tutti i titoli'!$A$2:$A$1301,L$3,'Tutti i titoli'!$F$2:$F$1301,$A7)</f>
        <v/>
      </c>
      <c r="M7" s="8">
        <f>COUNTIFS('Tutti i titoli'!$A$2:$A$1301,M$3,'Tutti i titoli'!$F$2:$F$1301,$A7)</f>
        <v/>
      </c>
      <c r="N7" s="8">
        <f>COUNTIFS('Tutti i titoli'!$A$2:$A$1301,N$3,'Tutti i titoli'!$F$2:$F$1301,$A7)</f>
        <v/>
      </c>
      <c r="O7" s="8">
        <f>COUNTIFS('Tutti i titoli'!$A$2:$A$1301,O$3,'Tutti i titoli'!$F$2:$F$1301,$A7)</f>
        <v/>
      </c>
      <c r="P7" s="8">
        <f>COUNTIFS('Tutti i titoli'!$A$2:$A$1301,P$3,'Tutti i titoli'!$F$2:$F$1301,$A7)</f>
        <v/>
      </c>
      <c r="Q7" s="8">
        <f>COUNTIFS('Tutti i titoli'!$A$2:$A$1301,Q$3,'Tutti i titoli'!$F$2:$F$1301,$A7)</f>
        <v/>
      </c>
      <c r="R7" s="8">
        <f>COUNTIFS('Tutti i titoli'!$A$2:$A$1301,R$3,'Tutti i titoli'!$F$2:$F$1301,$A7)</f>
        <v/>
      </c>
      <c r="S7" s="8">
        <f>COUNTIFS('Tutti i titoli'!$A$2:$A$1301,S$3,'Tutti i titoli'!$F$2:$F$1301,$A7)</f>
        <v/>
      </c>
      <c r="T7" s="8">
        <f>COUNTIFS('Tutti i titoli'!$A$2:$A$1301,T$3,'Tutti i titoli'!$F$2:$F$1301,$A7)</f>
        <v/>
      </c>
      <c r="U7" s="8">
        <f>COUNTIFS('Tutti i titoli'!$A$2:$A$1301,U$3,'Tutti i titoli'!$F$2:$F$1301,$A7)</f>
        <v/>
      </c>
      <c r="V7" s="8">
        <f>COUNTIFS('Tutti i titoli'!$A$2:$A$1301,V$3,'Tutti i titoli'!$F$2:$F$1301,$A7)</f>
        <v/>
      </c>
      <c r="W7" s="8">
        <f>COUNTIFS('Tutti i titoli'!$A$2:$A$1301,W$3,'Tutti i titoli'!$F$2:$F$1301,$A7)</f>
        <v/>
      </c>
      <c r="X7" s="9">
        <f>SUM(B7:W7)</f>
        <v/>
      </c>
    </row>
    <row r="8">
      <c r="A8" s="7" t="inlineStr">
        <is>
          <t>9+</t>
        </is>
      </c>
      <c r="B8" s="8">
        <f>COUNTIFS('Tutti i titoli'!$A$2:$A$1301,B$3,'Tutti i titoli'!$F$2:$F$1301,$A8)</f>
        <v/>
      </c>
      <c r="C8" s="8">
        <f>COUNTIFS('Tutti i titoli'!$A$2:$A$1301,C$3,'Tutti i titoli'!$F$2:$F$1301,$A8)</f>
        <v/>
      </c>
      <c r="D8" s="8">
        <f>COUNTIFS('Tutti i titoli'!$A$2:$A$1301,D$3,'Tutti i titoli'!$F$2:$F$1301,$A8)</f>
        <v/>
      </c>
      <c r="E8" s="8">
        <f>COUNTIFS('Tutti i titoli'!$A$2:$A$1301,E$3,'Tutti i titoli'!$F$2:$F$1301,$A8)</f>
        <v/>
      </c>
      <c r="F8" s="8">
        <f>COUNTIFS('Tutti i titoli'!$A$2:$A$1301,F$3,'Tutti i titoli'!$F$2:$F$1301,$A8)</f>
        <v/>
      </c>
      <c r="G8" s="8">
        <f>COUNTIFS('Tutti i titoli'!$A$2:$A$1301,G$3,'Tutti i titoli'!$F$2:$F$1301,$A8)</f>
        <v/>
      </c>
      <c r="H8" s="8">
        <f>COUNTIFS('Tutti i titoli'!$A$2:$A$1301,H$3,'Tutti i titoli'!$F$2:$F$1301,$A8)</f>
        <v/>
      </c>
      <c r="I8" s="8">
        <f>COUNTIFS('Tutti i titoli'!$A$2:$A$1301,I$3,'Tutti i titoli'!$F$2:$F$1301,$A8)</f>
        <v/>
      </c>
      <c r="J8" s="8">
        <f>COUNTIFS('Tutti i titoli'!$A$2:$A$1301,J$3,'Tutti i titoli'!$F$2:$F$1301,$A8)</f>
        <v/>
      </c>
      <c r="K8" s="8">
        <f>COUNTIFS('Tutti i titoli'!$A$2:$A$1301,K$3,'Tutti i titoli'!$F$2:$F$1301,$A8)</f>
        <v/>
      </c>
      <c r="L8" s="8">
        <f>COUNTIFS('Tutti i titoli'!$A$2:$A$1301,L$3,'Tutti i titoli'!$F$2:$F$1301,$A8)</f>
        <v/>
      </c>
      <c r="M8" s="8">
        <f>COUNTIFS('Tutti i titoli'!$A$2:$A$1301,M$3,'Tutti i titoli'!$F$2:$F$1301,$A8)</f>
        <v/>
      </c>
      <c r="N8" s="8">
        <f>COUNTIFS('Tutti i titoli'!$A$2:$A$1301,N$3,'Tutti i titoli'!$F$2:$F$1301,$A8)</f>
        <v/>
      </c>
      <c r="O8" s="8">
        <f>COUNTIFS('Tutti i titoli'!$A$2:$A$1301,O$3,'Tutti i titoli'!$F$2:$F$1301,$A8)</f>
        <v/>
      </c>
      <c r="P8" s="8">
        <f>COUNTIFS('Tutti i titoli'!$A$2:$A$1301,P$3,'Tutti i titoli'!$F$2:$F$1301,$A8)</f>
        <v/>
      </c>
      <c r="Q8" s="8">
        <f>COUNTIFS('Tutti i titoli'!$A$2:$A$1301,Q$3,'Tutti i titoli'!$F$2:$F$1301,$A8)</f>
        <v/>
      </c>
      <c r="R8" s="8">
        <f>COUNTIFS('Tutti i titoli'!$A$2:$A$1301,R$3,'Tutti i titoli'!$F$2:$F$1301,$A8)</f>
        <v/>
      </c>
      <c r="S8" s="8">
        <f>COUNTIFS('Tutti i titoli'!$A$2:$A$1301,S$3,'Tutti i titoli'!$F$2:$F$1301,$A8)</f>
        <v/>
      </c>
      <c r="T8" s="8">
        <f>COUNTIFS('Tutti i titoli'!$A$2:$A$1301,T$3,'Tutti i titoli'!$F$2:$F$1301,$A8)</f>
        <v/>
      </c>
      <c r="U8" s="8">
        <f>COUNTIFS('Tutti i titoli'!$A$2:$A$1301,U$3,'Tutti i titoli'!$F$2:$F$1301,$A8)</f>
        <v/>
      </c>
      <c r="V8" s="8">
        <f>COUNTIFS('Tutti i titoli'!$A$2:$A$1301,V$3,'Tutti i titoli'!$F$2:$F$1301,$A8)</f>
        <v/>
      </c>
      <c r="W8" s="8">
        <f>COUNTIFS('Tutti i titoli'!$A$2:$A$1301,W$3,'Tutti i titoli'!$F$2:$F$1301,$A8)</f>
        <v/>
      </c>
      <c r="X8" s="9">
        <f>SUM(B8:W8)</f>
        <v/>
      </c>
    </row>
    <row r="9">
      <c r="A9" s="7" t="inlineStr">
        <is>
          <t>10+</t>
        </is>
      </c>
      <c r="B9" s="8">
        <f>COUNTIFS('Tutti i titoli'!$A$2:$A$1301,B$3,'Tutti i titoli'!$F$2:$F$1301,$A9)</f>
        <v/>
      </c>
      <c r="C9" s="8">
        <f>COUNTIFS('Tutti i titoli'!$A$2:$A$1301,C$3,'Tutti i titoli'!$F$2:$F$1301,$A9)</f>
        <v/>
      </c>
      <c r="D9" s="8">
        <f>COUNTIFS('Tutti i titoli'!$A$2:$A$1301,D$3,'Tutti i titoli'!$F$2:$F$1301,$A9)</f>
        <v/>
      </c>
      <c r="E9" s="8">
        <f>COUNTIFS('Tutti i titoli'!$A$2:$A$1301,E$3,'Tutti i titoli'!$F$2:$F$1301,$A9)</f>
        <v/>
      </c>
      <c r="F9" s="8">
        <f>COUNTIFS('Tutti i titoli'!$A$2:$A$1301,F$3,'Tutti i titoli'!$F$2:$F$1301,$A9)</f>
        <v/>
      </c>
      <c r="G9" s="8">
        <f>COUNTIFS('Tutti i titoli'!$A$2:$A$1301,G$3,'Tutti i titoli'!$F$2:$F$1301,$A9)</f>
        <v/>
      </c>
      <c r="H9" s="8">
        <f>COUNTIFS('Tutti i titoli'!$A$2:$A$1301,H$3,'Tutti i titoli'!$F$2:$F$1301,$A9)</f>
        <v/>
      </c>
      <c r="I9" s="8">
        <f>COUNTIFS('Tutti i titoli'!$A$2:$A$1301,I$3,'Tutti i titoli'!$F$2:$F$1301,$A9)</f>
        <v/>
      </c>
      <c r="J9" s="8">
        <f>COUNTIFS('Tutti i titoli'!$A$2:$A$1301,J$3,'Tutti i titoli'!$F$2:$F$1301,$A9)</f>
        <v/>
      </c>
      <c r="K9" s="8">
        <f>COUNTIFS('Tutti i titoli'!$A$2:$A$1301,K$3,'Tutti i titoli'!$F$2:$F$1301,$A9)</f>
        <v/>
      </c>
      <c r="L9" s="8">
        <f>COUNTIFS('Tutti i titoli'!$A$2:$A$1301,L$3,'Tutti i titoli'!$F$2:$F$1301,$A9)</f>
        <v/>
      </c>
      <c r="M9" s="8">
        <f>COUNTIFS('Tutti i titoli'!$A$2:$A$1301,M$3,'Tutti i titoli'!$F$2:$F$1301,$A9)</f>
        <v/>
      </c>
      <c r="N9" s="8">
        <f>COUNTIFS('Tutti i titoli'!$A$2:$A$1301,N$3,'Tutti i titoli'!$F$2:$F$1301,$A9)</f>
        <v/>
      </c>
      <c r="O9" s="8">
        <f>COUNTIFS('Tutti i titoli'!$A$2:$A$1301,O$3,'Tutti i titoli'!$F$2:$F$1301,$A9)</f>
        <v/>
      </c>
      <c r="P9" s="8">
        <f>COUNTIFS('Tutti i titoli'!$A$2:$A$1301,P$3,'Tutti i titoli'!$F$2:$F$1301,$A9)</f>
        <v/>
      </c>
      <c r="Q9" s="8">
        <f>COUNTIFS('Tutti i titoli'!$A$2:$A$1301,Q$3,'Tutti i titoli'!$F$2:$F$1301,$A9)</f>
        <v/>
      </c>
      <c r="R9" s="8">
        <f>COUNTIFS('Tutti i titoli'!$A$2:$A$1301,R$3,'Tutti i titoli'!$F$2:$F$1301,$A9)</f>
        <v/>
      </c>
      <c r="S9" s="8">
        <f>COUNTIFS('Tutti i titoli'!$A$2:$A$1301,S$3,'Tutti i titoli'!$F$2:$F$1301,$A9)</f>
        <v/>
      </c>
      <c r="T9" s="8">
        <f>COUNTIFS('Tutti i titoli'!$A$2:$A$1301,T$3,'Tutti i titoli'!$F$2:$F$1301,$A9)</f>
        <v/>
      </c>
      <c r="U9" s="8">
        <f>COUNTIFS('Tutti i titoli'!$A$2:$A$1301,U$3,'Tutti i titoli'!$F$2:$F$1301,$A9)</f>
        <v/>
      </c>
      <c r="V9" s="8">
        <f>COUNTIFS('Tutti i titoli'!$A$2:$A$1301,V$3,'Tutti i titoli'!$F$2:$F$1301,$A9)</f>
        <v/>
      </c>
      <c r="W9" s="8">
        <f>COUNTIFS('Tutti i titoli'!$A$2:$A$1301,W$3,'Tutti i titoli'!$F$2:$F$1301,$A9)</f>
        <v/>
      </c>
      <c r="X9" s="9">
        <f>SUM(B9:W9)</f>
        <v/>
      </c>
    </row>
    <row r="10">
      <c r="A10" s="7" t="inlineStr">
        <is>
          <t>Scuola media (11-13)</t>
        </is>
      </c>
      <c r="B10" s="8">
        <f>COUNTIFS('Tutti i titoli'!$A$2:$A$1301,B$3,'Tutti i titoli'!$F$2:$F$1301,$A10)</f>
        <v/>
      </c>
      <c r="C10" s="8">
        <f>COUNTIFS('Tutti i titoli'!$A$2:$A$1301,C$3,'Tutti i titoli'!$F$2:$F$1301,$A10)</f>
        <v/>
      </c>
      <c r="D10" s="8">
        <f>COUNTIFS('Tutti i titoli'!$A$2:$A$1301,D$3,'Tutti i titoli'!$F$2:$F$1301,$A10)</f>
        <v/>
      </c>
      <c r="E10" s="8">
        <f>COUNTIFS('Tutti i titoli'!$A$2:$A$1301,E$3,'Tutti i titoli'!$F$2:$F$1301,$A10)</f>
        <v/>
      </c>
      <c r="F10" s="8">
        <f>COUNTIFS('Tutti i titoli'!$A$2:$A$1301,F$3,'Tutti i titoli'!$F$2:$F$1301,$A10)</f>
        <v/>
      </c>
      <c r="G10" s="8">
        <f>COUNTIFS('Tutti i titoli'!$A$2:$A$1301,G$3,'Tutti i titoli'!$F$2:$F$1301,$A10)</f>
        <v/>
      </c>
      <c r="H10" s="8">
        <f>COUNTIFS('Tutti i titoli'!$A$2:$A$1301,H$3,'Tutti i titoli'!$F$2:$F$1301,$A10)</f>
        <v/>
      </c>
      <c r="I10" s="8">
        <f>COUNTIFS('Tutti i titoli'!$A$2:$A$1301,I$3,'Tutti i titoli'!$F$2:$F$1301,$A10)</f>
        <v/>
      </c>
      <c r="J10" s="8">
        <f>COUNTIFS('Tutti i titoli'!$A$2:$A$1301,J$3,'Tutti i titoli'!$F$2:$F$1301,$A10)</f>
        <v/>
      </c>
      <c r="K10" s="8">
        <f>COUNTIFS('Tutti i titoli'!$A$2:$A$1301,K$3,'Tutti i titoli'!$F$2:$F$1301,$A10)</f>
        <v/>
      </c>
      <c r="L10" s="8">
        <f>COUNTIFS('Tutti i titoli'!$A$2:$A$1301,L$3,'Tutti i titoli'!$F$2:$F$1301,$A10)</f>
        <v/>
      </c>
      <c r="M10" s="8">
        <f>COUNTIFS('Tutti i titoli'!$A$2:$A$1301,M$3,'Tutti i titoli'!$F$2:$F$1301,$A10)</f>
        <v/>
      </c>
      <c r="N10" s="8">
        <f>COUNTIFS('Tutti i titoli'!$A$2:$A$1301,N$3,'Tutti i titoli'!$F$2:$F$1301,$A10)</f>
        <v/>
      </c>
      <c r="O10" s="8">
        <f>COUNTIFS('Tutti i titoli'!$A$2:$A$1301,O$3,'Tutti i titoli'!$F$2:$F$1301,$A10)</f>
        <v/>
      </c>
      <c r="P10" s="8">
        <f>COUNTIFS('Tutti i titoli'!$A$2:$A$1301,P$3,'Tutti i titoli'!$F$2:$F$1301,$A10)</f>
        <v/>
      </c>
      <c r="Q10" s="8">
        <f>COUNTIFS('Tutti i titoli'!$A$2:$A$1301,Q$3,'Tutti i titoli'!$F$2:$F$1301,$A10)</f>
        <v/>
      </c>
      <c r="R10" s="8">
        <f>COUNTIFS('Tutti i titoli'!$A$2:$A$1301,R$3,'Tutti i titoli'!$F$2:$F$1301,$A10)</f>
        <v/>
      </c>
      <c r="S10" s="8">
        <f>COUNTIFS('Tutti i titoli'!$A$2:$A$1301,S$3,'Tutti i titoli'!$F$2:$F$1301,$A10)</f>
        <v/>
      </c>
      <c r="T10" s="8">
        <f>COUNTIFS('Tutti i titoli'!$A$2:$A$1301,T$3,'Tutti i titoli'!$F$2:$F$1301,$A10)</f>
        <v/>
      </c>
      <c r="U10" s="8">
        <f>COUNTIFS('Tutti i titoli'!$A$2:$A$1301,U$3,'Tutti i titoli'!$F$2:$F$1301,$A10)</f>
        <v/>
      </c>
      <c r="V10" s="8">
        <f>COUNTIFS('Tutti i titoli'!$A$2:$A$1301,V$3,'Tutti i titoli'!$F$2:$F$1301,$A10)</f>
        <v/>
      </c>
      <c r="W10" s="8">
        <f>COUNTIFS('Tutti i titoli'!$A$2:$A$1301,W$3,'Tutti i titoli'!$F$2:$F$1301,$A10)</f>
        <v/>
      </c>
      <c r="X10" s="9">
        <f>SUM(B10:W10)</f>
        <v/>
      </c>
    </row>
    <row r="11">
      <c r="A11" s="7" t="inlineStr">
        <is>
          <t>Adolescenza (14+)</t>
        </is>
      </c>
      <c r="B11" s="8">
        <f>COUNTIFS('Tutti i titoli'!$A$2:$A$1301,B$3,'Tutti i titoli'!$F$2:$F$1301,$A11)</f>
        <v/>
      </c>
      <c r="C11" s="8">
        <f>COUNTIFS('Tutti i titoli'!$A$2:$A$1301,C$3,'Tutti i titoli'!$F$2:$F$1301,$A11)</f>
        <v/>
      </c>
      <c r="D11" s="8">
        <f>COUNTIFS('Tutti i titoli'!$A$2:$A$1301,D$3,'Tutti i titoli'!$F$2:$F$1301,$A11)</f>
        <v/>
      </c>
      <c r="E11" s="8">
        <f>COUNTIFS('Tutti i titoli'!$A$2:$A$1301,E$3,'Tutti i titoli'!$F$2:$F$1301,$A11)</f>
        <v/>
      </c>
      <c r="F11" s="8">
        <f>COUNTIFS('Tutti i titoli'!$A$2:$A$1301,F$3,'Tutti i titoli'!$F$2:$F$1301,$A11)</f>
        <v/>
      </c>
      <c r="G11" s="8">
        <f>COUNTIFS('Tutti i titoli'!$A$2:$A$1301,G$3,'Tutti i titoli'!$F$2:$F$1301,$A11)</f>
        <v/>
      </c>
      <c r="H11" s="8">
        <f>COUNTIFS('Tutti i titoli'!$A$2:$A$1301,H$3,'Tutti i titoli'!$F$2:$F$1301,$A11)</f>
        <v/>
      </c>
      <c r="I11" s="8">
        <f>COUNTIFS('Tutti i titoli'!$A$2:$A$1301,I$3,'Tutti i titoli'!$F$2:$F$1301,$A11)</f>
        <v/>
      </c>
      <c r="J11" s="8">
        <f>COUNTIFS('Tutti i titoli'!$A$2:$A$1301,J$3,'Tutti i titoli'!$F$2:$F$1301,$A11)</f>
        <v/>
      </c>
      <c r="K11" s="8">
        <f>COUNTIFS('Tutti i titoli'!$A$2:$A$1301,K$3,'Tutti i titoli'!$F$2:$F$1301,$A11)</f>
        <v/>
      </c>
      <c r="L11" s="8">
        <f>COUNTIFS('Tutti i titoli'!$A$2:$A$1301,L$3,'Tutti i titoli'!$F$2:$F$1301,$A11)</f>
        <v/>
      </c>
      <c r="M11" s="8">
        <f>COUNTIFS('Tutti i titoli'!$A$2:$A$1301,M$3,'Tutti i titoli'!$F$2:$F$1301,$A11)</f>
        <v/>
      </c>
      <c r="N11" s="8">
        <f>COUNTIFS('Tutti i titoli'!$A$2:$A$1301,N$3,'Tutti i titoli'!$F$2:$F$1301,$A11)</f>
        <v/>
      </c>
      <c r="O11" s="8">
        <f>COUNTIFS('Tutti i titoli'!$A$2:$A$1301,O$3,'Tutti i titoli'!$F$2:$F$1301,$A11)</f>
        <v/>
      </c>
      <c r="P11" s="8">
        <f>COUNTIFS('Tutti i titoli'!$A$2:$A$1301,P$3,'Tutti i titoli'!$F$2:$F$1301,$A11)</f>
        <v/>
      </c>
      <c r="Q11" s="8">
        <f>COUNTIFS('Tutti i titoli'!$A$2:$A$1301,Q$3,'Tutti i titoli'!$F$2:$F$1301,$A11)</f>
        <v/>
      </c>
      <c r="R11" s="8">
        <f>COUNTIFS('Tutti i titoli'!$A$2:$A$1301,R$3,'Tutti i titoli'!$F$2:$F$1301,$A11)</f>
        <v/>
      </c>
      <c r="S11" s="8">
        <f>COUNTIFS('Tutti i titoli'!$A$2:$A$1301,S$3,'Tutti i titoli'!$F$2:$F$1301,$A11)</f>
        <v/>
      </c>
      <c r="T11" s="8">
        <f>COUNTIFS('Tutti i titoli'!$A$2:$A$1301,T$3,'Tutti i titoli'!$F$2:$F$1301,$A11)</f>
        <v/>
      </c>
      <c r="U11" s="8">
        <f>COUNTIFS('Tutti i titoli'!$A$2:$A$1301,U$3,'Tutti i titoli'!$F$2:$F$1301,$A11)</f>
        <v/>
      </c>
      <c r="V11" s="8">
        <f>COUNTIFS('Tutti i titoli'!$A$2:$A$1301,V$3,'Tutti i titoli'!$F$2:$F$1301,$A11)</f>
        <v/>
      </c>
      <c r="W11" s="8">
        <f>COUNTIFS('Tutti i titoli'!$A$2:$A$1301,W$3,'Tutti i titoli'!$F$2:$F$1301,$A11)</f>
        <v/>
      </c>
      <c r="X11" s="9">
        <f>SUM(B11:W11)</f>
        <v/>
      </c>
    </row>
    <row r="12">
      <c r="A12" s="7" t="inlineStr">
        <is>
          <t>n.d. / tutte le età</t>
        </is>
      </c>
      <c r="B12" s="8">
        <f>COUNTIFS('Tutti i titoli'!$A$2:$A$1301,B$3,'Tutti i titoli'!$F$2:$F$1301,$A12)</f>
        <v/>
      </c>
      <c r="C12" s="8">
        <f>COUNTIFS('Tutti i titoli'!$A$2:$A$1301,C$3,'Tutti i titoli'!$F$2:$F$1301,$A12)</f>
        <v/>
      </c>
      <c r="D12" s="8">
        <f>COUNTIFS('Tutti i titoli'!$A$2:$A$1301,D$3,'Tutti i titoli'!$F$2:$F$1301,$A12)</f>
        <v/>
      </c>
      <c r="E12" s="8">
        <f>COUNTIFS('Tutti i titoli'!$A$2:$A$1301,E$3,'Tutti i titoli'!$F$2:$F$1301,$A12)</f>
        <v/>
      </c>
      <c r="F12" s="8">
        <f>COUNTIFS('Tutti i titoli'!$A$2:$A$1301,F$3,'Tutti i titoli'!$F$2:$F$1301,$A12)</f>
        <v/>
      </c>
      <c r="G12" s="8">
        <f>COUNTIFS('Tutti i titoli'!$A$2:$A$1301,G$3,'Tutti i titoli'!$F$2:$F$1301,$A12)</f>
        <v/>
      </c>
      <c r="H12" s="8">
        <f>COUNTIFS('Tutti i titoli'!$A$2:$A$1301,H$3,'Tutti i titoli'!$F$2:$F$1301,$A12)</f>
        <v/>
      </c>
      <c r="I12" s="8">
        <f>COUNTIFS('Tutti i titoli'!$A$2:$A$1301,I$3,'Tutti i titoli'!$F$2:$F$1301,$A12)</f>
        <v/>
      </c>
      <c r="J12" s="8">
        <f>COUNTIFS('Tutti i titoli'!$A$2:$A$1301,J$3,'Tutti i titoli'!$F$2:$F$1301,$A12)</f>
        <v/>
      </c>
      <c r="K12" s="8">
        <f>COUNTIFS('Tutti i titoli'!$A$2:$A$1301,K$3,'Tutti i titoli'!$F$2:$F$1301,$A12)</f>
        <v/>
      </c>
      <c r="L12" s="8">
        <f>COUNTIFS('Tutti i titoli'!$A$2:$A$1301,L$3,'Tutti i titoli'!$F$2:$F$1301,$A12)</f>
        <v/>
      </c>
      <c r="M12" s="8">
        <f>COUNTIFS('Tutti i titoli'!$A$2:$A$1301,M$3,'Tutti i titoli'!$F$2:$F$1301,$A12)</f>
        <v/>
      </c>
      <c r="N12" s="8">
        <f>COUNTIFS('Tutti i titoli'!$A$2:$A$1301,N$3,'Tutti i titoli'!$F$2:$F$1301,$A12)</f>
        <v/>
      </c>
      <c r="O12" s="8">
        <f>COUNTIFS('Tutti i titoli'!$A$2:$A$1301,O$3,'Tutti i titoli'!$F$2:$F$1301,$A12)</f>
        <v/>
      </c>
      <c r="P12" s="8">
        <f>COUNTIFS('Tutti i titoli'!$A$2:$A$1301,P$3,'Tutti i titoli'!$F$2:$F$1301,$A12)</f>
        <v/>
      </c>
      <c r="Q12" s="8">
        <f>COUNTIFS('Tutti i titoli'!$A$2:$A$1301,Q$3,'Tutti i titoli'!$F$2:$F$1301,$A12)</f>
        <v/>
      </c>
      <c r="R12" s="8">
        <f>COUNTIFS('Tutti i titoli'!$A$2:$A$1301,R$3,'Tutti i titoli'!$F$2:$F$1301,$A12)</f>
        <v/>
      </c>
      <c r="S12" s="8">
        <f>COUNTIFS('Tutti i titoli'!$A$2:$A$1301,S$3,'Tutti i titoli'!$F$2:$F$1301,$A12)</f>
        <v/>
      </c>
      <c r="T12" s="8">
        <f>COUNTIFS('Tutti i titoli'!$A$2:$A$1301,T$3,'Tutti i titoli'!$F$2:$F$1301,$A12)</f>
        <v/>
      </c>
      <c r="U12" s="8">
        <f>COUNTIFS('Tutti i titoli'!$A$2:$A$1301,U$3,'Tutti i titoli'!$F$2:$F$1301,$A12)</f>
        <v/>
      </c>
      <c r="V12" s="8">
        <f>COUNTIFS('Tutti i titoli'!$A$2:$A$1301,V$3,'Tutti i titoli'!$F$2:$F$1301,$A12)</f>
        <v/>
      </c>
      <c r="W12" s="8">
        <f>COUNTIFS('Tutti i titoli'!$A$2:$A$1301,W$3,'Tutti i titoli'!$F$2:$F$1301,$A12)</f>
        <v/>
      </c>
      <c r="X12" s="9">
        <f>SUM(B12:W12)</f>
        <v/>
      </c>
    </row>
    <row r="13">
      <c r="A13" s="9" t="inlineStr">
        <is>
          <t>Totale titoli</t>
        </is>
      </c>
      <c r="B13" s="10">
        <f>SUM(B4:B12)</f>
        <v/>
      </c>
      <c r="C13" s="10">
        <f>SUM(C4:C12)</f>
        <v/>
      </c>
      <c r="D13" s="10">
        <f>SUM(D4:D12)</f>
        <v/>
      </c>
      <c r="E13" s="10">
        <f>SUM(E4:E12)</f>
        <v/>
      </c>
      <c r="F13" s="10">
        <f>SUM(F4:F12)</f>
        <v/>
      </c>
      <c r="G13" s="10">
        <f>SUM(G4:G12)</f>
        <v/>
      </c>
      <c r="H13" s="10">
        <f>SUM(H4:H12)</f>
        <v/>
      </c>
      <c r="I13" s="10">
        <f>SUM(I4:I12)</f>
        <v/>
      </c>
      <c r="J13" s="10">
        <f>SUM(J4:J12)</f>
        <v/>
      </c>
      <c r="K13" s="10">
        <f>SUM(K4:K12)</f>
        <v/>
      </c>
      <c r="L13" s="10">
        <f>SUM(L4:L12)</f>
        <v/>
      </c>
      <c r="M13" s="10">
        <f>SUM(M4:M12)</f>
        <v/>
      </c>
      <c r="N13" s="10">
        <f>SUM(N4:N12)</f>
        <v/>
      </c>
      <c r="O13" s="10">
        <f>SUM(O4:O12)</f>
        <v/>
      </c>
      <c r="P13" s="10">
        <f>SUM(P4:P12)</f>
        <v/>
      </c>
      <c r="Q13" s="10">
        <f>SUM(Q4:Q12)</f>
        <v/>
      </c>
      <c r="R13" s="10">
        <f>SUM(R4:R12)</f>
        <v/>
      </c>
      <c r="S13" s="10">
        <f>SUM(S4:S12)</f>
        <v/>
      </c>
      <c r="T13" s="10">
        <f>SUM(T4:T12)</f>
        <v/>
      </c>
      <c r="U13" s="10">
        <f>SUM(U4:U12)</f>
        <v/>
      </c>
      <c r="V13" s="10">
        <f>SUM(V4:V12)</f>
        <v/>
      </c>
      <c r="W13" s="10">
        <f>SUM(W4:W12)</f>
        <v/>
      </c>
      <c r="X13" s="9">
        <f>SUM(B13:W13)</f>
        <v/>
      </c>
    </row>
    <row r="14">
      <c r="A14" s="9" t="inlineStr">
        <is>
          <t>di cui in CAA / simboli</t>
        </is>
      </c>
      <c r="B14" s="10">
        <f>COUNTIFS('Tutti i titoli'!$A$2:$A$1301,B$3,'Tutti i titoli'!$I$2:$I$1301,"Sì")</f>
        <v/>
      </c>
      <c r="C14" s="10">
        <f>COUNTIFS('Tutti i titoli'!$A$2:$A$1301,C$3,'Tutti i titoli'!$I$2:$I$1301,"Sì")</f>
        <v/>
      </c>
      <c r="D14" s="10">
        <f>COUNTIFS('Tutti i titoli'!$A$2:$A$1301,D$3,'Tutti i titoli'!$I$2:$I$1301,"Sì")</f>
        <v/>
      </c>
      <c r="E14" s="10">
        <f>COUNTIFS('Tutti i titoli'!$A$2:$A$1301,E$3,'Tutti i titoli'!$I$2:$I$1301,"Sì")</f>
        <v/>
      </c>
      <c r="F14" s="10">
        <f>COUNTIFS('Tutti i titoli'!$A$2:$A$1301,F$3,'Tutti i titoli'!$I$2:$I$1301,"Sì")</f>
        <v/>
      </c>
      <c r="G14" s="10">
        <f>COUNTIFS('Tutti i titoli'!$A$2:$A$1301,G$3,'Tutti i titoli'!$I$2:$I$1301,"Sì")</f>
        <v/>
      </c>
      <c r="H14" s="10">
        <f>COUNTIFS('Tutti i titoli'!$A$2:$A$1301,H$3,'Tutti i titoli'!$I$2:$I$1301,"Sì")</f>
        <v/>
      </c>
      <c r="I14" s="10">
        <f>COUNTIFS('Tutti i titoli'!$A$2:$A$1301,I$3,'Tutti i titoli'!$I$2:$I$1301,"Sì")</f>
        <v/>
      </c>
      <c r="J14" s="10">
        <f>COUNTIFS('Tutti i titoli'!$A$2:$A$1301,J$3,'Tutti i titoli'!$I$2:$I$1301,"Sì")</f>
        <v/>
      </c>
      <c r="K14" s="10">
        <f>COUNTIFS('Tutti i titoli'!$A$2:$A$1301,K$3,'Tutti i titoli'!$I$2:$I$1301,"Sì")</f>
        <v/>
      </c>
      <c r="L14" s="10">
        <f>COUNTIFS('Tutti i titoli'!$A$2:$A$1301,L$3,'Tutti i titoli'!$I$2:$I$1301,"Sì")</f>
        <v/>
      </c>
      <c r="M14" s="10">
        <f>COUNTIFS('Tutti i titoli'!$A$2:$A$1301,M$3,'Tutti i titoli'!$I$2:$I$1301,"Sì")</f>
        <v/>
      </c>
      <c r="N14" s="10">
        <f>COUNTIFS('Tutti i titoli'!$A$2:$A$1301,N$3,'Tutti i titoli'!$I$2:$I$1301,"Sì")</f>
        <v/>
      </c>
      <c r="O14" s="10">
        <f>COUNTIFS('Tutti i titoli'!$A$2:$A$1301,O$3,'Tutti i titoli'!$I$2:$I$1301,"Sì")</f>
        <v/>
      </c>
      <c r="P14" s="10">
        <f>COUNTIFS('Tutti i titoli'!$A$2:$A$1301,P$3,'Tutti i titoli'!$I$2:$I$1301,"Sì")</f>
        <v/>
      </c>
      <c r="Q14" s="10">
        <f>COUNTIFS('Tutti i titoli'!$A$2:$A$1301,Q$3,'Tutti i titoli'!$I$2:$I$1301,"Sì")</f>
        <v/>
      </c>
      <c r="R14" s="10">
        <f>COUNTIFS('Tutti i titoli'!$A$2:$A$1301,R$3,'Tutti i titoli'!$I$2:$I$1301,"Sì")</f>
        <v/>
      </c>
      <c r="S14" s="10">
        <f>COUNTIFS('Tutti i titoli'!$A$2:$A$1301,S$3,'Tutti i titoli'!$I$2:$I$1301,"Sì")</f>
        <v/>
      </c>
      <c r="T14" s="10">
        <f>COUNTIFS('Tutti i titoli'!$A$2:$A$1301,T$3,'Tutti i titoli'!$I$2:$I$1301,"Sì")</f>
        <v/>
      </c>
      <c r="U14" s="10">
        <f>COUNTIFS('Tutti i titoli'!$A$2:$A$1301,U$3,'Tutti i titoli'!$I$2:$I$1301,"Sì")</f>
        <v/>
      </c>
      <c r="V14" s="10">
        <f>COUNTIFS('Tutti i titoli'!$A$2:$A$1301,V$3,'Tutti i titoli'!$I$2:$I$1301,"Sì")</f>
        <v/>
      </c>
      <c r="W14" s="10">
        <f>COUNTIFS('Tutti i titoli'!$A$2:$A$1301,W$3,'Tutti i titoli'!$I$2:$I$1301,"Sì")</f>
        <v/>
      </c>
      <c r="X14" s="9">
        <f>SUM(B14:W14)</f>
        <v/>
      </c>
    </row>
    <row r="15">
      <c r="A15" s="9" t="inlineStr">
        <is>
          <t>di cui con tema sociale</t>
        </is>
      </c>
      <c r="B15" s="10">
        <f>COUNTIFS('Tutti i titoli'!$A$2:$A$1301,B$3,'Tutti i titoli'!$H$2:$H$1301,"&lt;&gt;")</f>
        <v/>
      </c>
      <c r="C15" s="10">
        <f>COUNTIFS('Tutti i titoli'!$A$2:$A$1301,C$3,'Tutti i titoli'!$H$2:$H$1301,"&lt;&gt;")</f>
        <v/>
      </c>
      <c r="D15" s="10">
        <f>COUNTIFS('Tutti i titoli'!$A$2:$A$1301,D$3,'Tutti i titoli'!$H$2:$H$1301,"&lt;&gt;")</f>
        <v/>
      </c>
      <c r="E15" s="10">
        <f>COUNTIFS('Tutti i titoli'!$A$2:$A$1301,E$3,'Tutti i titoli'!$H$2:$H$1301,"&lt;&gt;")</f>
        <v/>
      </c>
      <c r="F15" s="10">
        <f>COUNTIFS('Tutti i titoli'!$A$2:$A$1301,F$3,'Tutti i titoli'!$H$2:$H$1301,"&lt;&gt;")</f>
        <v/>
      </c>
      <c r="G15" s="10">
        <f>COUNTIFS('Tutti i titoli'!$A$2:$A$1301,G$3,'Tutti i titoli'!$H$2:$H$1301,"&lt;&gt;")</f>
        <v/>
      </c>
      <c r="H15" s="10">
        <f>COUNTIFS('Tutti i titoli'!$A$2:$A$1301,H$3,'Tutti i titoli'!$H$2:$H$1301,"&lt;&gt;")</f>
        <v/>
      </c>
      <c r="I15" s="10">
        <f>COUNTIFS('Tutti i titoli'!$A$2:$A$1301,I$3,'Tutti i titoli'!$H$2:$H$1301,"&lt;&gt;")</f>
        <v/>
      </c>
      <c r="J15" s="10">
        <f>COUNTIFS('Tutti i titoli'!$A$2:$A$1301,J$3,'Tutti i titoli'!$H$2:$H$1301,"&lt;&gt;")</f>
        <v/>
      </c>
      <c r="K15" s="10">
        <f>COUNTIFS('Tutti i titoli'!$A$2:$A$1301,K$3,'Tutti i titoli'!$H$2:$H$1301,"&lt;&gt;")</f>
        <v/>
      </c>
      <c r="L15" s="10">
        <f>COUNTIFS('Tutti i titoli'!$A$2:$A$1301,L$3,'Tutti i titoli'!$H$2:$H$1301,"&lt;&gt;")</f>
        <v/>
      </c>
      <c r="M15" s="10">
        <f>COUNTIFS('Tutti i titoli'!$A$2:$A$1301,M$3,'Tutti i titoli'!$H$2:$H$1301,"&lt;&gt;")</f>
        <v/>
      </c>
      <c r="N15" s="10">
        <f>COUNTIFS('Tutti i titoli'!$A$2:$A$1301,N$3,'Tutti i titoli'!$H$2:$H$1301,"&lt;&gt;")</f>
        <v/>
      </c>
      <c r="O15" s="10">
        <f>COUNTIFS('Tutti i titoli'!$A$2:$A$1301,O$3,'Tutti i titoli'!$H$2:$H$1301,"&lt;&gt;")</f>
        <v/>
      </c>
      <c r="P15" s="10">
        <f>COUNTIFS('Tutti i titoli'!$A$2:$A$1301,P$3,'Tutti i titoli'!$H$2:$H$1301,"&lt;&gt;")</f>
        <v/>
      </c>
      <c r="Q15" s="10">
        <f>COUNTIFS('Tutti i titoli'!$A$2:$A$1301,Q$3,'Tutti i titoli'!$H$2:$H$1301,"&lt;&gt;")</f>
        <v/>
      </c>
      <c r="R15" s="10">
        <f>COUNTIFS('Tutti i titoli'!$A$2:$A$1301,R$3,'Tutti i titoli'!$H$2:$H$1301,"&lt;&gt;")</f>
        <v/>
      </c>
      <c r="S15" s="10">
        <f>COUNTIFS('Tutti i titoli'!$A$2:$A$1301,S$3,'Tutti i titoli'!$H$2:$H$1301,"&lt;&gt;")</f>
        <v/>
      </c>
      <c r="T15" s="10">
        <f>COUNTIFS('Tutti i titoli'!$A$2:$A$1301,T$3,'Tutti i titoli'!$H$2:$H$1301,"&lt;&gt;")</f>
        <v/>
      </c>
      <c r="U15" s="10">
        <f>COUNTIFS('Tutti i titoli'!$A$2:$A$1301,U$3,'Tutti i titoli'!$H$2:$H$1301,"&lt;&gt;")</f>
        <v/>
      </c>
      <c r="V15" s="10">
        <f>COUNTIFS('Tutti i titoli'!$A$2:$A$1301,V$3,'Tutti i titoli'!$H$2:$H$1301,"&lt;&gt;")</f>
        <v/>
      </c>
      <c r="W15" s="10">
        <f>COUNTIFS('Tutti i titoli'!$A$2:$A$1301,W$3,'Tutti i titoli'!$H$2:$H$1301,"&lt;&gt;")</f>
        <v/>
      </c>
      <c r="X15" s="9">
        <f>SUM(B15:W15)</f>
        <v/>
      </c>
    </row>
    <row r="17">
      <c r="A17" s="11" t="inlineStr">
        <is>
          <t>Nota: le righe segnaposto (es. 'Nessun titolo per ragazzi trovato', 'Fasce d'età del catalogo') sono contate come 'n.d.' e non sono libri.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10" customWidth="1" min="1" max="1"/>
    <col width="12" customWidth="1" min="2" max="2"/>
  </cols>
  <sheetData>
    <row r="1">
      <c r="A1" s="4" t="inlineStr">
        <is>
          <t>Parametri per il calcolo del prezzo netto a libreria</t>
        </is>
      </c>
    </row>
    <row r="2">
      <c r="A2" s="7" t="inlineStr">
        <is>
          <t>Sconto libreria ipotizzato (modifica questa cella)</t>
        </is>
      </c>
      <c r="B2" s="12" t="n">
        <v>0.3</v>
      </c>
    </row>
    <row r="4">
      <c r="A4" s="2" t="inlineStr">
        <is>
          <t>Il 30% è un valore tipico per le librerie indipendenti, solo indicativo: lo sconto reale lo decide ogni editore o distributore.</t>
        </is>
      </c>
    </row>
    <row r="5">
      <c r="A5" s="2" t="inlineStr">
        <is>
          <t>Sostituiscilo con lo sconto concordato: la colonna 'Prezzo netto a libreria (€)' di tutti i fogli si aggiorna da sola.</t>
        </is>
      </c>
    </row>
    <row r="6">
      <c r="A6" s="2" t="inlineStr">
        <is>
          <t>Prezzi di copertina: inseriti solo dove ho trovato un prezzo verificabile (fonte in colonna 'Fonte prezzo'). Le celle gialle sono da compilare con il listino dell'editore.</t>
        </is>
      </c>
    </row>
    <row r="7">
      <c r="A7" s="2" t="inlineStr">
        <is>
          <t>Per il conto vendita (deposito) i tempi di rendiconto, la resa e lo sconto vanno concordati per iscritto con ciascun editore.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38" customWidth="1" min="2" max="2"/>
    <col width="28" customWidth="1" min="3" max="3"/>
    <col width="42" customWidth="1" min="4" max="4"/>
    <col width="20" customWidth="1" min="5" max="5"/>
    <col width="30" customWidth="1" min="6" max="6"/>
    <col width="44" customWidth="1" min="7" max="7"/>
    <col width="44" customWidth="1" min="8" max="8"/>
    <col width="44" customWidth="1" min="9" max="9"/>
    <col width="50" customWidth="1" min="10" max="10"/>
  </cols>
  <sheetData>
    <row r="1">
      <c r="A1" s="13" t="inlineStr">
        <is>
          <t>Casa editrice</t>
        </is>
      </c>
      <c r="B1" s="13" t="inlineStr">
        <is>
          <t>Sede</t>
        </is>
      </c>
      <c r="C1" s="13" t="inlineStr">
        <is>
          <t>Email generale</t>
        </is>
      </c>
      <c r="D1" s="13" t="inlineStr">
        <is>
          <t>Email commerciale / ordini / librerie</t>
        </is>
      </c>
      <c r="E1" s="13" t="inlineStr">
        <is>
          <t>Telefono</t>
        </is>
      </c>
      <c r="F1" s="13" t="inlineStr">
        <is>
          <t>Sito</t>
        </is>
      </c>
      <c r="G1" s="13" t="inlineStr">
        <is>
          <t>Distribuzione / promozione per le librerie</t>
        </is>
      </c>
      <c r="H1" s="13" t="inlineStr">
        <is>
          <t>Note su condizioni di vendita</t>
        </is>
      </c>
      <c r="I1" s="13" t="inlineStr">
        <is>
          <t>Aggancio per la mail</t>
        </is>
      </c>
      <c r="J1" s="13" t="inlineStr">
        <is>
          <t>Fonte (URL)</t>
        </is>
      </c>
    </row>
    <row r="2">
      <c r="A2" s="14" t="inlineStr">
        <is>
          <t>Settenove</t>
        </is>
      </c>
      <c r="B2" s="14" t="inlineStr">
        <is>
          <t>Via don Minzoni 44/e, 61043 Cagli (PU)</t>
        </is>
      </c>
      <c r="C2" s="14" t="inlineStr">
        <is>
          <t>ordini@settenove.it</t>
        </is>
      </c>
      <c r="D2" s="14" t="inlineStr">
        <is>
          <t>ordini@settenove.it</t>
        </is>
      </c>
      <c r="E2" s="15" t="inlineStr">
        <is>
          <t>n.d.</t>
        </is>
      </c>
      <c r="F2" s="14" t="inlineStr">
        <is>
          <t>https://www.settenove.it</t>
        </is>
      </c>
      <c r="G2" s="14" t="inlineStr">
        <is>
          <t>Promozione: Emme Promozione (info@emmepromozione.it), tel. 02 45771. Distribuzione: Messaggerie Libri (meli.dirgen@meli.it, numero verde librerie 800 804 900)</t>
        </is>
      </c>
      <c r="H2" s="14" t="inlineStr">
        <is>
          <t>Nessuna condizione di conto vendita trovata: da chiedere.</t>
        </is>
      </c>
      <c r="I2" s="14" t="inlineStr">
        <is>
          <t>i vostri libri contro stereotipi e violenza di genere, e il progetto Leggere senza stereotipi</t>
        </is>
      </c>
      <c r="J2" s="14" t="inlineStr">
        <is>
          <t>https://www.settenove.it/spazio-librerie</t>
        </is>
      </c>
    </row>
    <row r="3">
      <c r="A3" s="14" t="inlineStr">
        <is>
          <t>Uovonero</t>
        </is>
      </c>
      <c r="B3" s="14" t="inlineStr">
        <is>
          <t>Via Marazzi 12, 26013 Crema (CR)</t>
        </is>
      </c>
      <c r="C3" s="14" t="inlineStr">
        <is>
          <t>libri@uovonero.com</t>
        </is>
      </c>
      <c r="D3" s="14" t="inlineStr">
        <is>
          <t>libri@uovonero.com</t>
        </is>
      </c>
      <c r="E3" s="14" t="inlineStr">
        <is>
          <t>0373 500 622</t>
        </is>
      </c>
      <c r="F3" s="14" t="inlineStr">
        <is>
          <t>https://www.uovonero.com</t>
        </is>
      </c>
      <c r="G3" s="14" t="inlineStr">
        <is>
          <t>Promozione: Emme Promozione (info@emmepromozione.it). Distribuzione: Messaggerie Libri (meli.dirgen@meli.it, numero verde librerie 800 804 900)</t>
        </is>
      </c>
      <c r="H3" s="15" t="inlineStr">
        <is>
          <t>Da chiedere.</t>
        </is>
      </c>
      <c r="I3" s="14" t="inlineStr">
        <is>
          <t>i libri in simboli (CAA) e i titoli su autismo, DSA e disabilità</t>
        </is>
      </c>
      <c r="J3" s="14" t="inlineStr">
        <is>
          <t>https://www.uovonero.com/</t>
        </is>
      </c>
    </row>
    <row r="4">
      <c r="A4" s="14" t="inlineStr">
        <is>
          <t>Terre di Mezzo</t>
        </is>
      </c>
      <c r="B4" s="14" t="inlineStr">
        <is>
          <t>Via Calatafimi 10, 20122 Milano</t>
        </is>
      </c>
      <c r="C4" s="14" t="inlineStr">
        <is>
          <t>segreteria@terre.it</t>
        </is>
      </c>
      <c r="D4" s="14" t="inlineStr">
        <is>
          <t>Referente librerie: Stefania Falbo (email sulla pagina Contatti del sito); scuole: Sabina Eleonori</t>
        </is>
      </c>
      <c r="E4" s="14" t="inlineStr">
        <is>
          <t>02 83242426</t>
        </is>
      </c>
      <c r="F4" s="14" t="inlineStr">
        <is>
          <t>https://www.terre.it</t>
        </is>
      </c>
      <c r="G4" s="14" t="inlineStr">
        <is>
          <t>Distribuzione: Messaggerie Libri (800 804 900, info@meli.it). Promozione: Emme Promozione (02 458741, segreteria@emmepromozione.it)</t>
        </is>
      </c>
      <c r="H4" s="14" t="inlineStr">
        <is>
          <t>Da chiedere. Ha un referente dedicato alle scuole.</t>
        </is>
      </c>
      <c r="I4" s="14" t="inlineStr">
        <is>
          <t>la collana L'Acchiappastorie per bambini e ragazzi, tra albi illustrati e narrativa</t>
        </is>
      </c>
      <c r="J4" s="14" t="inlineStr">
        <is>
          <t>https://www.terre.it/contatti/</t>
        </is>
      </c>
    </row>
    <row r="5">
      <c r="A5" s="14" t="inlineStr">
        <is>
          <t>Camelozampa</t>
        </is>
      </c>
      <c r="B5" s="14" t="inlineStr">
        <is>
          <t>Via F.lli Cervi 39, 35043 Monselice (PD)</t>
        </is>
      </c>
      <c r="C5" s="14" t="inlineStr">
        <is>
          <t>info@camelozampa.com</t>
        </is>
      </c>
      <c r="D5" s="14" t="inlineStr">
        <is>
          <t>ordini@camelozampa.com (scuole e biblioteche, sconti per la PA); promozione@camelozampa.com (eventi)</t>
        </is>
      </c>
      <c r="E5" s="14" t="inlineStr">
        <is>
          <t>0429 536477</t>
        </is>
      </c>
      <c r="F5" s="14" t="inlineStr">
        <is>
          <t>https://www.camelozampa.com</t>
        </is>
      </c>
      <c r="G5" s="14" t="inlineStr">
        <is>
          <t>Distribuzione: Messaggerie Libri (meli.dirgen@meli.it, numero verde librerie 800 804 900). Promozione: Emme Promozione (info@emmepromozione.it)</t>
        </is>
      </c>
      <c r="H5" s="14" t="inlineStr">
        <is>
          <t>Per le librerie passare da distributore o promotore; vendita diretta con sconti solo per enti pubblici.</t>
        </is>
      </c>
      <c r="I5" s="14" t="inlineStr">
        <is>
          <t>i vostri romanzi e albi su salute mentale, famiglie, identità e diritti</t>
        </is>
      </c>
      <c r="J5" s="14" t="inlineStr">
        <is>
          <t>https://www.camelozampa.com/contatti/</t>
        </is>
      </c>
    </row>
    <row r="6">
      <c r="A6" s="14" t="inlineStr">
        <is>
          <t>La Meridiana</t>
        </is>
      </c>
      <c r="B6" s="14" t="inlineStr">
        <is>
          <t>Via Sergio Fontana 10/C, 70056 Molfetta (BA)</t>
        </is>
      </c>
      <c r="C6" s="14" t="inlineStr">
        <is>
          <t>info@lameridiana.it</t>
        </is>
      </c>
      <c r="D6" s="14" t="inlineStr">
        <is>
          <t>info@lameridiana.it</t>
        </is>
      </c>
      <c r="E6" s="14" t="inlineStr">
        <is>
          <t>080 3971945</t>
        </is>
      </c>
      <c r="F6" s="14" t="inlineStr">
        <is>
          <t>https://www.lameridiana.it</t>
        </is>
      </c>
      <c r="G6" s="14" t="inlineStr">
        <is>
          <t>Vedi la pagina 'Per le librerie' sul sito</t>
        </is>
      </c>
      <c r="H6" s="15" t="inlineStr">
        <is>
          <t>Da chiedere.</t>
        </is>
      </c>
      <c r="I6" s="14" t="inlineStr">
        <is>
          <t>la collezione 'Per una cultura accessibile' con libri in CAA e simboli</t>
        </is>
      </c>
      <c r="J6" s="14" t="inlineStr">
        <is>
          <t>https://www.lameridiana.it/</t>
        </is>
      </c>
    </row>
    <row r="7">
      <c r="A7" s="14" t="inlineStr">
        <is>
          <t>Gallucci</t>
        </is>
      </c>
      <c r="B7" s="14" t="inlineStr">
        <is>
          <t>Via Liberiana 17, 00185 Roma</t>
        </is>
      </c>
      <c r="C7" s="14" t="inlineStr">
        <is>
          <t>info@galluccieditore.com</t>
        </is>
      </c>
      <c r="D7" s="14" t="inlineStr">
        <is>
          <t>biz@galluccieditore.com (ordini, tel. 06 84130332)</t>
        </is>
      </c>
      <c r="E7" s="14" t="inlineStr">
        <is>
          <t>06 8413033</t>
        </is>
      </c>
      <c r="F7" s="14" t="inlineStr">
        <is>
          <t>https://www.galluccieditore.com</t>
        </is>
      </c>
      <c r="G7" s="14" t="inlineStr">
        <is>
          <t>Promozione: PDE (direzione@pde.it, 02 7529151). Distribuzione: Messaggerie Libri (customer.service@meli.it)</t>
        </is>
      </c>
      <c r="H7" s="15" t="inlineStr">
        <is>
          <t>Da chiedere.</t>
        </is>
      </c>
      <c r="I7" s="14" t="inlineStr">
        <is>
          <t>il vostro catalogo per fasce d'età, da 0 a Young Adult</t>
        </is>
      </c>
      <c r="J7" s="14" t="inlineStr">
        <is>
          <t>https://www.galluccieditore.com/it/contatti</t>
        </is>
      </c>
    </row>
    <row r="8">
      <c r="A8" s="14" t="inlineStr">
        <is>
          <t>Pelledoca</t>
        </is>
      </c>
      <c r="B8" s="14" t="inlineStr">
        <is>
          <t>Redazione: Via Voghera 25, 20144 Milano; sede legale: Via Corridoni 11, 20122 Milano</t>
        </is>
      </c>
      <c r="C8" s="14" t="inlineStr">
        <is>
          <t>info@pelledocaeditore.it</t>
        </is>
      </c>
      <c r="D8" s="14" t="inlineStr">
        <is>
          <t>info@pelledocaeditore.it</t>
        </is>
      </c>
      <c r="E8" s="15" t="inlineStr">
        <is>
          <t>n.d.</t>
        </is>
      </c>
      <c r="F8" s="14" t="inlineStr">
        <is>
          <t>https://pelledocaeditore.it</t>
        </is>
      </c>
      <c r="G8" s="14" t="inlineStr">
        <is>
          <t>Distribuzione: A.L.I. Agenzia Libraria Internazionale (alilibri.it). Ufficio stampa: ufficiostampa@pelledocaeditore.it</t>
        </is>
      </c>
      <c r="H8" s="15" t="inlineStr">
        <is>
          <t>Da chiedere.</t>
        </is>
      </c>
      <c r="I8" s="14" t="inlineStr">
        <is>
          <t>i vostri gialli e thriller per ragazzi, che avvicinano alla lettura anche i lettori più riluttanti</t>
        </is>
      </c>
      <c r="J8" s="14" t="inlineStr">
        <is>
          <t>https://pelledocaeditore.it/chi-siamo/</t>
        </is>
      </c>
    </row>
    <row r="9">
      <c r="A9" s="14" t="inlineStr">
        <is>
          <t>Momo Edizioni</t>
        </is>
      </c>
      <c r="B9" s="14" t="inlineStr">
        <is>
          <t>Viale Londra 47, 00142 Roma (indirizzo da privacy policy)</t>
        </is>
      </c>
      <c r="C9" s="14" t="inlineStr">
        <is>
          <t>direzione@momoedizioni.it</t>
        </is>
      </c>
      <c r="D9" s="14" t="inlineStr">
        <is>
          <t>direzione@momoedizioni.it</t>
        </is>
      </c>
      <c r="E9" s="15" t="inlineStr">
        <is>
          <t>n.d.</t>
        </is>
      </c>
      <c r="F9" s="14" t="inlineStr">
        <is>
          <t>https://momoedizioni.it</t>
        </is>
      </c>
      <c r="G9" s="14" t="inlineStr">
        <is>
          <t>n.d.: sul sito invitano a chiedere i libri al libraio</t>
        </is>
      </c>
      <c r="H9" s="15" t="inlineStr">
        <is>
          <t>Da chiedere.</t>
        </is>
      </c>
      <c r="I9" s="14" t="inlineStr">
        <is>
          <t>LibriMonelli e Bollicina, il libro in CAA scritto da persone con disabilità</t>
        </is>
      </c>
      <c r="J9" s="14" t="inlineStr">
        <is>
          <t>https://momoedizioni.it/policy/</t>
        </is>
      </c>
    </row>
    <row r="10">
      <c r="A10" s="14" t="inlineStr">
        <is>
          <t>Tunuè</t>
        </is>
      </c>
      <c r="B10" s="14" t="inlineStr">
        <is>
          <t>Via Giovanni Cena 4, 04100 Latina</t>
        </is>
      </c>
      <c r="C10" s="14" t="inlineStr">
        <is>
          <t>info@tunue.com</t>
        </is>
      </c>
      <c r="D10" s="14" t="inlineStr">
        <is>
          <t>commerciale@tunue.com</t>
        </is>
      </c>
      <c r="E10" s="14" t="inlineStr">
        <is>
          <t>0773 661760; 351 9192281</t>
        </is>
      </c>
      <c r="F10" s="14" t="inlineStr">
        <is>
          <t>https://www.tunue.com</t>
        </is>
      </c>
      <c r="G10" s="15" t="inlineStr">
        <is>
          <t>n.d.</t>
        </is>
      </c>
      <c r="H10" s="15" t="inlineStr">
        <is>
          <t>Da chiedere.</t>
        </is>
      </c>
      <c r="I10" s="14" t="inlineStr">
        <is>
          <t>i vostri fumetti per ragazzi, da Kids a Young Adult, e il titolo contro il bullismo American Born Chinese</t>
        </is>
      </c>
      <c r="J10" s="14" t="inlineStr">
        <is>
          <t>https://www.tunue.com/contatti/</t>
        </is>
      </c>
    </row>
    <row r="11">
      <c r="A11" s="14" t="inlineStr">
        <is>
          <t>Cronache Ribelli</t>
        </is>
      </c>
      <c r="B11" s="15" t="inlineStr">
        <is>
          <t>n.d.</t>
        </is>
      </c>
      <c r="C11" s="14" t="inlineStr">
        <is>
          <t>info@cronacheribelli.it</t>
        </is>
      </c>
      <c r="D11" s="14" t="inlineStr">
        <is>
          <t>ordini@cronacheribelli.it (WhatsApp ordini: 348 175 0434)</t>
        </is>
      </c>
      <c r="E11" s="15" t="inlineStr">
        <is>
          <t>n.d.</t>
        </is>
      </c>
      <c r="F11" s="14" t="inlineStr">
        <is>
          <t>https://cronacheribelli.it</t>
        </is>
      </c>
      <c r="G11" s="14" t="inlineStr">
        <is>
          <t>Vendita diretta</t>
        </is>
      </c>
      <c r="H11" s="14" t="inlineStr">
        <is>
          <t>Spediscono solo a librerie del circuito indipendente, SOLO in conto assoluto e con minimo 5 libri: il conto vendita non è previsto.</t>
        </is>
      </c>
      <c r="I11" s="14" t="inlineStr">
        <is>
          <t>C'era una (ri)volta e i vostri libri di storia dal basso per bambini</t>
        </is>
      </c>
      <c r="J11" s="14" t="inlineStr">
        <is>
          <t>https://cronacheribelli.it/pages/distribuzione</t>
        </is>
      </c>
    </row>
    <row r="12">
      <c r="A12" s="14" t="inlineStr">
        <is>
          <t>Dalia Edizioni</t>
        </is>
      </c>
      <c r="B12" s="14" t="inlineStr">
        <is>
          <t>Via XX Settembre 39, 05100 Terni</t>
        </is>
      </c>
      <c r="C12" s="14" t="inlineStr">
        <is>
          <t>info@daliaedizioni.it</t>
        </is>
      </c>
      <c r="D12" s="14" t="inlineStr">
        <is>
          <t>amministrazione@daliaedizioni.it (ordini e fatturazione)</t>
        </is>
      </c>
      <c r="E12" s="14" t="inlineStr">
        <is>
          <t>nessun telefono: solo email</t>
        </is>
      </c>
      <c r="F12" s="14" t="inlineStr">
        <is>
          <t>https://www.daliaedizioni.it</t>
        </is>
      </c>
      <c r="G12" s="14" t="inlineStr">
        <is>
          <t>Mediali Diffusione (ordini@medialibridiffusione.it, 06 6627304), Fastbook, distributori regionali</t>
        </is>
      </c>
      <c r="H12" s="14" t="inlineStr">
        <is>
          <t>Contatto solo via email. Gestiscono direttamente alcune librerie.</t>
        </is>
      </c>
      <c r="I12" s="14" t="inlineStr">
        <is>
          <t>Dalia Ragazzi e le vostre storie illustrate; siamo tra realtà indipendenti vicine al territorio</t>
        </is>
      </c>
      <c r="J12" s="14" t="inlineStr">
        <is>
          <t>https://www.daliaedizioni.it/contatti/</t>
        </is>
      </c>
    </row>
    <row r="13">
      <c r="A13" s="14" t="inlineStr">
        <is>
          <t>Edizioni Corsare</t>
        </is>
      </c>
      <c r="B13" s="14" t="inlineStr">
        <is>
          <t>Via Ambrosi 15, 06125 Perugia</t>
        </is>
      </c>
      <c r="C13" s="14" t="inlineStr">
        <is>
          <t>edizionicorsare@gmail.com</t>
        </is>
      </c>
      <c r="D13" s="14" t="inlineStr">
        <is>
          <t>edizionicorsare@gmail.com (WhatsApp 347 2264702)</t>
        </is>
      </c>
      <c r="E13" s="14" t="inlineStr">
        <is>
          <t>075 5847055</t>
        </is>
      </c>
      <c r="F13" s="14" t="inlineStr">
        <is>
          <t>https://www.edizionicorsare.it</t>
        </is>
      </c>
      <c r="G13" s="14" t="inlineStr">
        <is>
          <t>Distribuzione: Messaggerie Libri. Promozione: PDE</t>
        </is>
      </c>
      <c r="H13" s="15" t="inlineStr">
        <is>
          <t>Da chiedere.</t>
        </is>
      </c>
      <c r="I13" s="14" t="inlineStr">
        <is>
          <t>Storie corsare, La collanina e la narrativa YA</t>
        </is>
      </c>
      <c r="J13" s="14" t="inlineStr">
        <is>
          <t>https://www.umbrialibri.com/editori/edizioni-corsare/</t>
        </is>
      </c>
    </row>
    <row r="14">
      <c r="A14" s="14" t="inlineStr">
        <is>
          <t>Minibombo</t>
        </is>
      </c>
      <c r="B14" s="14" t="inlineStr">
        <is>
          <t>Viale Piave 4h, 42121 Reggio Emilia</t>
        </is>
      </c>
      <c r="C14" s="14" t="inlineStr">
        <is>
          <t>info@minibombo.it</t>
        </is>
      </c>
      <c r="D14" s="14" t="inlineStr">
        <is>
          <t>info@minibombo.it</t>
        </is>
      </c>
      <c r="E14" s="14" t="inlineStr">
        <is>
          <t>0522 749356</t>
        </is>
      </c>
      <c r="F14" s="14" t="inlineStr">
        <is>
          <t>https://www.minibombo.it</t>
        </is>
      </c>
      <c r="G14" s="14" t="inlineStr">
        <is>
          <t>Promozione: PDE Promozione (Via de’ Giudei 4, Bologna, 051 352704). Distribuzione: Messaggerie Libri (02 457741)</t>
        </is>
      </c>
      <c r="H14" s="15" t="inlineStr">
        <is>
          <t>Da chiedere.</t>
        </is>
      </c>
      <c r="I14" s="14" t="inlineStr">
        <is>
          <t>i vostri libri 0-6 anni e le versioni in simboli di alcuni vostri titoli</t>
        </is>
      </c>
      <c r="J14" s="14" t="inlineStr">
        <is>
          <t>https://www.minibombo.it/</t>
        </is>
      </c>
    </row>
    <row r="15">
      <c r="A15" s="14" t="inlineStr">
        <is>
          <t>People</t>
        </is>
      </c>
      <c r="B15" s="14" t="inlineStr">
        <is>
          <t>Via Einaudi 3, 21052 Busto Arsizio (VA)</t>
        </is>
      </c>
      <c r="C15" s="14" t="inlineStr">
        <is>
          <t>info@peoplepub.it</t>
        </is>
      </c>
      <c r="D15" s="14" t="inlineStr">
        <is>
          <t>amministrazione@peoplepub.it (rapporti con le librerie); ordini@peoplepub.it</t>
        </is>
      </c>
      <c r="E15" s="14" t="inlineStr">
        <is>
          <t>0331 1629312</t>
        </is>
      </c>
      <c r="F15" s="14" t="inlineStr">
        <is>
          <t>https://www.peoplepub.it</t>
        </is>
      </c>
      <c r="G15" s="15" t="inlineStr">
        <is>
          <t>n.d.</t>
        </is>
      </c>
      <c r="H15" s="14" t="inlineStr">
        <is>
          <t>Catalogo prevalentemente per adulti; la linea Kids è piccola.</t>
        </is>
      </c>
      <c r="I15" s="14" t="inlineStr">
        <is>
          <t>la vostra linea Kids</t>
        </is>
      </c>
      <c r="J15" s="14" t="inlineStr">
        <is>
          <t>https://www.peoplepub.it/contatti</t>
        </is>
      </c>
    </row>
    <row r="16">
      <c r="A16" s="14" t="inlineStr">
        <is>
          <t>Nero Latte</t>
        </is>
      </c>
      <c r="B16" s="14" t="inlineStr">
        <is>
          <t>Via Pastena 1, Veroli (FR)</t>
        </is>
      </c>
      <c r="C16" s="14" t="inlineStr">
        <is>
          <t>nerolatteedizioni@gmail.com</t>
        </is>
      </c>
      <c r="D16" s="14" t="inlineStr">
        <is>
          <t>nerolatteedizioni@gmail.com</t>
        </is>
      </c>
      <c r="E16" s="15" t="inlineStr">
        <is>
          <t>n.d.</t>
        </is>
      </c>
      <c r="F16" s="14" t="inlineStr">
        <is>
          <t>https://nerolatteedizioni.com</t>
        </is>
      </c>
      <c r="G16" s="14" t="inlineStr">
        <is>
          <t>Rapporto diretto con librerie indipendenti (circa 30)</t>
        </is>
      </c>
      <c r="H16" s="14" t="inlineStr">
        <is>
          <t>Molto probabilmente disponibile al dialogo diretto; da chiedere.</t>
        </is>
      </c>
      <c r="I16" s="14" t="inlineStr">
        <is>
          <t>i vostri albi illustrati e la poesia</t>
        </is>
      </c>
      <c r="J16" s="14" t="inlineStr">
        <is>
          <t>https://www.facebook.com/p/nerolatteedizioni-61570596786466/</t>
        </is>
      </c>
    </row>
    <row r="17">
      <c r="A17" s="14" t="inlineStr">
        <is>
          <t>Logos</t>
        </is>
      </c>
      <c r="B17" s="14" t="inlineStr">
        <is>
          <t>Strada Curtatona 5/2, 41126 Modena</t>
        </is>
      </c>
      <c r="C17" s="14" t="inlineStr">
        <is>
          <t>commerciale@libri.it</t>
        </is>
      </c>
      <c r="D17" s="14" t="inlineStr">
        <is>
          <t>commerciale@libri.it</t>
        </is>
      </c>
      <c r="E17" s="14" t="inlineStr">
        <is>
          <t>059 412648</t>
        </is>
      </c>
      <c r="F17" s="14" t="inlineStr">
        <is>
          <t>https://www.libri.it</t>
        </is>
      </c>
      <c r="G17" s="14" t="inlineStr">
        <is>
          <t>Sul sito sezione 'Distribuzione per librerie e fumetterie'</t>
        </is>
      </c>
      <c r="H17" s="14" t="inlineStr">
        <is>
          <t>CASA EDITRICE IN CHIUSURA: lista titoli 2026 con prezzi (PVP) ricevuta dall'editore; quantità e condizioni di acquisto dello stock da concordare con commerciale@libri.it.</t>
        </is>
      </c>
      <c r="I17" s="14" t="inlineStr">
        <is>
          <t>il vostro catalogo di albi, fumetti e narrativa illustrata ancora disponibile</t>
        </is>
      </c>
      <c r="J17" s="14" t="inlineStr">
        <is>
          <t>https://www.salonelibro.it/elenco-espositori/logosedizioni/SL62296214</t>
        </is>
      </c>
    </row>
    <row r="18">
      <c r="A18" s="14" t="inlineStr">
        <is>
          <t>Lapis</t>
        </is>
      </c>
      <c r="B18" s="14" t="inlineStr">
        <is>
          <t>Via Francesco Ferrara 50, 00191 Roma</t>
        </is>
      </c>
      <c r="C18" s="14" t="inlineStr">
        <is>
          <t>lapis@edizionilapis.it</t>
        </is>
      </c>
      <c r="D18" s="14" t="inlineStr">
        <is>
          <t>commerciale.lapis@edizionilapis.it</t>
        </is>
      </c>
      <c r="E18" s="14" t="inlineStr">
        <is>
          <t>06 3295935</t>
        </is>
      </c>
      <c r="F18" s="14" t="inlineStr">
        <is>
          <t>https://www.edizionilapis.it</t>
        </is>
      </c>
      <c r="G18" s="14" t="inlineStr">
        <is>
          <t>Rete vendita: PDE (051 352 704). Distribuzione: Messaggerie Libri (800 804 900)</t>
        </is>
      </c>
      <c r="H18" s="15" t="inlineStr">
        <is>
          <t>Da chiedere.</t>
        </is>
      </c>
      <c r="I18" s="14" t="inlineStr">
        <is>
          <t>il vostro catalogo da 1 a 13 anni, dai cartonati alla narrativa</t>
        </is>
      </c>
      <c r="J18" s="14" t="inlineStr">
        <is>
          <t>https://www.edizionilapis.it/contatti</t>
        </is>
      </c>
    </row>
    <row r="19">
      <c r="A19" s="14" t="inlineStr">
        <is>
          <t>L'Ippocampo</t>
        </is>
      </c>
      <c r="B19" s="14" t="inlineStr">
        <is>
          <t>Via Petrarca 18, 20123 Milano (altre fonti indicano Corso Magenta 69)</t>
        </is>
      </c>
      <c r="C19" s="14" t="inlineStr">
        <is>
          <t>info@ippocampoedizioni.it</t>
        </is>
      </c>
      <c r="D19" s="14" t="inlineStr">
        <is>
          <t>commerciale@ippocampoedizioni.it; ordini@ippocampoedizioni.it</t>
        </is>
      </c>
      <c r="E19" s="14" t="inlineStr">
        <is>
          <t>02 48513735</t>
        </is>
      </c>
      <c r="F19" s="14" t="inlineStr">
        <is>
          <t>https://www.ippocampoedizioni.it</t>
        </is>
      </c>
      <c r="G19" s="14" t="inlineStr">
        <is>
          <t>Rapporto diretto con le librerie: gestiscono loro promozione e fatturazione</t>
        </is>
      </c>
      <c r="H19" s="14" t="inlineStr">
        <is>
          <t>Condizioni di vendita da chiedere al commerciale.</t>
        </is>
      </c>
      <c r="I19" s="14" t="inlineStr">
        <is>
          <t>L'Ippocampo Ragazzi e la narrativa per ragazzi</t>
        </is>
      </c>
      <c r="J19" s="14" t="inlineStr">
        <is>
          <t>https://www.ippocampoedizioni.it/contatti/per-librai-e-rivenditori</t>
        </is>
      </c>
    </row>
    <row r="20">
      <c r="A20" s="14" t="inlineStr">
        <is>
          <t>Neo Edizioni</t>
        </is>
      </c>
      <c r="B20" s="14" t="inlineStr">
        <is>
          <t>Via Giardini del Rio 15, 67031 Castel di Sangro (AQ)</t>
        </is>
      </c>
      <c r="C20" s="14" t="inlineStr">
        <is>
          <t>info@neoedizioni.it</t>
        </is>
      </c>
      <c r="D20" s="14" t="inlineStr">
        <is>
          <t>info@neoedizioni.it</t>
        </is>
      </c>
      <c r="E20" s="15" t="inlineStr">
        <is>
          <t>n.d.</t>
        </is>
      </c>
      <c r="F20" s="14" t="inlineStr">
        <is>
          <t>https://www.neoedizioni.it/neo/</t>
        </is>
      </c>
      <c r="G20" s="14" t="inlineStr">
        <is>
          <t>Pagina 'Distribuzione' e 'Librerie di fiducia' sul sito</t>
        </is>
      </c>
      <c r="H20" s="14" t="inlineStr">
        <is>
          <t>Catalogo per adulti.</t>
        </is>
      </c>
      <c r="I20" s="14" t="inlineStr">
        <is>
          <t>i titoli di narrativa adatti ai ragazzi più grandi</t>
        </is>
      </c>
      <c r="J20" s="14" t="inlineStr">
        <is>
          <t>https://www.neoedizioni.it/neo/</t>
        </is>
      </c>
    </row>
    <row r="21">
      <c r="A21" s="14" t="inlineStr">
        <is>
          <t>Tetra Edizioni</t>
        </is>
      </c>
      <c r="B21" s="14" t="inlineStr">
        <is>
          <t>Via Genova 88, 01100 Viterbo</t>
        </is>
      </c>
      <c r="C21" s="14" t="inlineStr">
        <is>
          <t>n.d. (vedi pagina Contatti)</t>
        </is>
      </c>
      <c r="D21" s="15" t="inlineStr">
        <is>
          <t>n.d.</t>
        </is>
      </c>
      <c r="E21" s="15" t="inlineStr">
        <is>
          <t>n.d.</t>
        </is>
      </c>
      <c r="F21" s="14" t="inlineStr">
        <is>
          <t>https://www.tetraedizioni.com</t>
        </is>
      </c>
      <c r="G21" s="15" t="inlineStr">
        <is>
          <t>n.d.</t>
        </is>
      </c>
      <c r="H21" s="14" t="inlineStr">
        <is>
          <t>Catalogo per adulti (racconti): probabilmente non pertinente.</t>
        </is>
      </c>
      <c r="I21" s="14" t="inlineStr">
        <is>
          <t>—</t>
        </is>
      </c>
      <c r="J21" s="14" t="inlineStr">
        <is>
          <t>https://www.tetraedizioni.com/</t>
        </is>
      </c>
    </row>
    <row r="22">
      <c r="A22" s="14" t="inlineStr">
        <is>
          <t>effequ</t>
        </is>
      </c>
      <c r="B22" s="15" t="inlineStr">
        <is>
          <t>n.d.</t>
        </is>
      </c>
      <c r="C22" s="14" t="inlineStr">
        <is>
          <t>effequ@effequ.it</t>
        </is>
      </c>
      <c r="D22" s="14" t="inlineStr">
        <is>
          <t>commerciale@effequ.it; librerie@effequ.it (incontri in libreria)</t>
        </is>
      </c>
      <c r="E22" s="14" t="inlineStr">
        <is>
          <t>06 90232210</t>
        </is>
      </c>
      <c r="F22" s="14" t="inlineStr">
        <is>
          <t>https://www.effequ.it</t>
        </is>
      </c>
      <c r="G22" s="14" t="inlineStr">
        <is>
          <t>Promossa da LYR e distribuita da ALI, in tutte le librerie d'Italia</t>
        </is>
      </c>
      <c r="H22" s="14" t="inlineStr">
        <is>
          <t>Per esigenze specifiche scrivere al commerciale.</t>
        </is>
      </c>
      <c r="I22" s="14" t="inlineStr">
        <is>
          <t>la collana Scatoline per bambini dai 5 anni</t>
        </is>
      </c>
      <c r="J22" s="14" t="inlineStr">
        <is>
          <t>https://www.effequ.it/contatti/</t>
        </is>
      </c>
    </row>
    <row r="23">
      <c r="A23" s="14" t="inlineStr">
        <is>
          <t>BeccoGiallo</t>
        </is>
      </c>
      <c r="B23" s="14" t="inlineStr">
        <is>
          <t>Via Rolando da Piazzola 9, 35139 Padova</t>
        </is>
      </c>
      <c r="C23" s="14" t="inlineStr">
        <is>
          <t>info@beccogiallo.it</t>
        </is>
      </c>
      <c r="D23" s="14" t="inlineStr">
        <is>
          <t>commerciale.beccogiallo@gmail.com (acquisti diretti di librerie, associazioni, enti)</t>
        </is>
      </c>
      <c r="E23" s="14" t="inlineStr">
        <is>
          <t>346 5455244</t>
        </is>
      </c>
      <c r="F23" s="14" t="inlineStr">
        <is>
          <t>https://www.beccogiallo.it</t>
        </is>
      </c>
      <c r="G23" s="14" t="inlineStr">
        <is>
          <t>Distribuzione: Messaggerie Libri</t>
        </is>
      </c>
      <c r="H23" s="14" t="inlineStr">
        <is>
          <t>Acquisto diretto possibile per librerie, associazioni ed enti.</t>
        </is>
      </c>
      <c r="I23" s="14" t="inlineStr">
        <is>
          <t>i vostri libri 'spiegati ai bambini' (bullismo, Costituzione, disabilità)</t>
        </is>
      </c>
      <c r="J23" s="14" t="inlineStr">
        <is>
          <t>https://www.beccogiallo.it/contatti/</t>
        </is>
      </c>
    </row>
  </sheetData>
  <autoFilter ref="A1:J2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30" customWidth="1" min="1" max="1"/>
  </cols>
  <sheetData>
    <row r="1">
      <c r="A1" s="4" t="inlineStr">
        <is>
          <t>Modello di email per proporre il conto vendita (compila le parti tra parentesi quadre)</t>
        </is>
      </c>
    </row>
    <row r="3" ht="520" customHeight="1">
      <c r="A3" s="2" t="inlineStr">
        <is>
          <t xml:space="preserve">OGGETTO: Proposta di collaborazione: la microlibreria sociale di Bottegart e il vostro catalogo
Gentile [Nome / Ufficio commerciale],
mi chiamo [Nome Cognome] e scrivo a nome di [Nome microlibreria], la microlibreria dell'associazione Bottegart, a [Comune].
Bottegart lavora con continuità sul nostro territorio [dal ANNO, con attività: laboratori, incontri, ...]. La microlibreria è nata con una finalità sociale: portare libri belli, inclusivi e accessibili a bambine, bambini e ragazzi, comprese le famiglie che faticano ad arrivarci. Con il supporto dei servizi sociali sosteniamo lo studio: contribuiamo all'acquisto di materiale scolastico per tutti i bambini in difficoltà socio-economiche del nostro territorio. [Se confermato: una quota del ricavato delle vendite è destinata a questo progetto.]
Scriviamo proprio a voi perché il vostro catalogo è tra quelli che vogliamo sugli scaffali: [AGGANCIO PERSONALIZZATO, vedi foglio "Contatti editori"]. Per noi questi libri sono strumenti concreti di inclusione, e li accompagniamo con letture e incontri per le famiglie e le scuole.
Sappiamo che una libreria piccola come la nostra può sembrare un rischio. Per questo proponiamo un percorso graduale e trasparente:
1. Primo ordine in conto assoluto, selezionato (circa [N] titoli), pagato entro [30] giorni dalla fattura.
2. Una seconda fornitura in conto vendita di [N] titoli per ampliare l'assortimento, a condizioni che tutelano voi:
   - rendiconto scritto ogni [60/90] giorni e saldo delle copie vendute entro [15/30] giorni dal rendiconto;
   - copie conservate con cura, esposte in uno spazio dedicato e presentate negli eventi;
   - restituzione delle copie invendute in buono stato, con spese di spedizione a nostro carico;
   - un unico referente e documentazione fiscale in regola ([C.F./P.IVA]);
   - una breve scrittura firmata con quantità, sconto e tempi concordati.
Se il conto vendita non rientra nelle vostre politiche, vi chiediamo comunque di dirci a quali condizioni potremmo lavorare insieme.
Per valutare la proposta, potete inviarci il catalogo e il listino aggiornato, le condizioni di sconto e di resa, e il nome della persona con cui parlare?
Saremmo felici di costruire con voi un rapporto stabile e di portare i vostri libri a chi, sul nostro territorio, ne ha più bisogno.
Grazie per l'attenzione. Cordiali saluti,
[Nome Cognome]
[Ruolo] - [Nome microlibreria] / Associazione Bottegart
[Indirizzo] - [Telefono] - [Email] - [Sito / social]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3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Settenove</t>
        </is>
      </c>
      <c r="B2" s="14" t="inlineStr">
        <is>
          <t>Ada al contrario</t>
        </is>
      </c>
      <c r="C2" s="14" t="inlineStr">
        <is>
          <t>Guia Risari; ill. Francesca Buonanno</t>
        </is>
      </c>
      <c r="D2" s="14" t="inlineStr">
        <is>
          <t>Albi illustrati / Narrativa / Educazione al genere</t>
        </is>
      </c>
      <c r="E2" s="14" t="inlineStr">
        <is>
          <t>da 4 anni</t>
        </is>
      </c>
      <c r="F2" s="14" t="inlineStr">
        <is>
          <t>3-6 anni</t>
        </is>
      </c>
      <c r="G2" s="14" t="inlineStr">
        <is>
          <t>Albo illustrato</t>
        </is>
      </c>
      <c r="H2" s="14" t="inlineStr">
        <is>
          <t>Autismo (Asperger) e diritto alla diversità</t>
        </is>
      </c>
      <c r="I2" s="14" t="inlineStr">
        <is>
          <t>No</t>
        </is>
      </c>
      <c r="J2" s="14" t="inlineStr">
        <is>
          <t>Catalogo</t>
        </is>
      </c>
      <c r="K2" s="14" t="inlineStr">
        <is>
          <t>3-6 anni</t>
        </is>
      </c>
      <c r="L2" s="14" t="inlineStr">
        <is>
          <t>https://www.ibs.it/ada-al-contrario-ediz-a-libro-guia-risari/e/9788898947423</t>
        </is>
      </c>
      <c r="M2" s="16" t="n">
        <v>16.5</v>
      </c>
      <c r="N2" s="14" t="inlineStr">
        <is>
          <t>Sito Settenove (prezzo di copertina)</t>
        </is>
      </c>
      <c r="O2" s="16">
        <f>IF(ISNUMBER(M2),ROUND(M2*(1-Condizioni!$B$2),2),"")</f>
        <v/>
      </c>
      <c r="P2" s="17" t="inlineStr">
        <is>
          <t>Sì</t>
        </is>
      </c>
    </row>
    <row r="3">
      <c r="A3" s="14" t="inlineStr">
        <is>
          <t>Settenove</t>
        </is>
      </c>
      <c r="B3" s="14" t="inlineStr">
        <is>
          <t>Beaver, come Castoro</t>
        </is>
      </c>
      <c r="C3" s="14" t="inlineStr">
        <is>
          <t>Serena Ballista; ill. Martina Paderni</t>
        </is>
      </c>
      <c r="D3" s="14" t="inlineStr">
        <is>
          <t>Albi illustrati / Narrativa / Educazione al genere</t>
        </is>
      </c>
      <c r="E3" s="14" t="inlineStr">
        <is>
          <t>da 4 anni</t>
        </is>
      </c>
      <c r="F3" s="14" t="inlineStr">
        <is>
          <t>3-6 anni</t>
        </is>
      </c>
      <c r="G3" s="14" t="inlineStr">
        <is>
          <t>Albo illustrato</t>
        </is>
      </c>
      <c r="H3" s="14" t="inlineStr">
        <is>
          <t>Identità</t>
        </is>
      </c>
      <c r="I3" s="14" t="inlineStr">
        <is>
          <t>No</t>
        </is>
      </c>
      <c r="J3" s="14" t="inlineStr">
        <is>
          <t>Catalogo</t>
        </is>
      </c>
      <c r="K3" s="14" t="inlineStr">
        <is>
          <t>3-6 anni</t>
        </is>
      </c>
      <c r="L3" s="14" t="inlineStr">
        <is>
          <t>https://www.settenove.it/catalogo/narrativa/5</t>
        </is>
      </c>
      <c r="M3" s="16" t="n">
        <v>14</v>
      </c>
      <c r="N3" s="14" t="inlineStr">
        <is>
          <t>Sito Settenove (prezzo di copertina)</t>
        </is>
      </c>
      <c r="O3" s="16">
        <f>IF(ISNUMBER(M3),ROUND(M3*(1-Condizioni!$B$2),2),"")</f>
        <v/>
      </c>
      <c r="P3" s="17" t="inlineStr">
        <is>
          <t>Sì</t>
        </is>
      </c>
    </row>
    <row r="4">
      <c r="A4" s="14" t="inlineStr">
        <is>
          <t>Settenove</t>
        </is>
      </c>
      <c r="B4" s="14" t="inlineStr">
        <is>
          <t>C'è qualcosa di più noioso che essere una principessa rosa?</t>
        </is>
      </c>
      <c r="C4" s="14" t="inlineStr">
        <is>
          <t>Raquel Díaz Reguera</t>
        </is>
      </c>
      <c r="D4" s="14" t="inlineStr">
        <is>
          <t>Albi illustrati / Narrativa / Educazione al genere</t>
        </is>
      </c>
      <c r="E4" s="14" t="inlineStr">
        <is>
          <t>da 4 anni</t>
        </is>
      </c>
      <c r="F4" s="14" t="inlineStr">
        <is>
          <t>3-6 anni</t>
        </is>
      </c>
      <c r="G4" s="14" t="inlineStr">
        <is>
          <t>Albo illustrato</t>
        </is>
      </c>
      <c r="H4" s="14" t="inlineStr">
        <is>
          <t>Stereotipi di genere</t>
        </is>
      </c>
      <c r="I4" s="14" t="inlineStr">
        <is>
          <t>No</t>
        </is>
      </c>
      <c r="J4" s="14" t="inlineStr">
        <is>
          <t>Catalogo</t>
        </is>
      </c>
      <c r="K4" s="14" t="inlineStr">
        <is>
          <t>3-6 anni</t>
        </is>
      </c>
      <c r="L4" s="14" t="inlineStr">
        <is>
          <t>https://www.informafamiglie.it/bibliografia-e-filmografia/bibliografia/identita-e-stereotipi-di-genere</t>
        </is>
      </c>
      <c r="M4" s="16" t="n">
        <v>16.5</v>
      </c>
      <c r="N4" s="14" t="inlineStr">
        <is>
          <t>Sito Settenove (prezzo di copertina)</t>
        </is>
      </c>
      <c r="O4" s="16">
        <f>IF(ISNUMBER(M4),ROUND(M4*(1-Condizioni!$B$2),2),"")</f>
        <v/>
      </c>
      <c r="P4" s="17" t="inlineStr">
        <is>
          <t>Sì</t>
        </is>
      </c>
    </row>
    <row r="5">
      <c r="A5" s="14" t="inlineStr">
        <is>
          <t>Settenove</t>
        </is>
      </c>
      <c r="B5" s="14" t="inlineStr">
        <is>
          <t>Ettore. L'uomo straordinariamente forte</t>
        </is>
      </c>
      <c r="C5" s="14" t="inlineStr">
        <is>
          <t>Magali Le Huche</t>
        </is>
      </c>
      <c r="D5" s="14" t="inlineStr">
        <is>
          <t>Albi illustrati / Narrativa / Educazione al genere</t>
        </is>
      </c>
      <c r="E5" s="14" t="inlineStr">
        <is>
          <t>5 anni</t>
        </is>
      </c>
      <c r="F5" s="14" t="inlineStr">
        <is>
          <t>3-6 anni</t>
        </is>
      </c>
      <c r="G5" s="14" t="inlineStr">
        <is>
          <t>Albo illustrato</t>
        </is>
      </c>
      <c r="H5" s="14" t="inlineStr">
        <is>
          <t>Stereotipi di genere</t>
        </is>
      </c>
      <c r="I5" s="14" t="inlineStr">
        <is>
          <t>No</t>
        </is>
      </c>
      <c r="J5" s="14" t="inlineStr">
        <is>
          <t>Catalogo</t>
        </is>
      </c>
      <c r="K5" s="14" t="inlineStr">
        <is>
          <t>3-6 anni</t>
        </is>
      </c>
      <c r="L5" s="14" t="inlineStr">
        <is>
          <t>https://www.informafamiglie.it/bibliografia-e-filmografia/bibliografia/identita-e-stereotipi-di-genere</t>
        </is>
      </c>
      <c r="M5" s="16" t="n">
        <v>16.5</v>
      </c>
      <c r="N5" s="14" t="inlineStr">
        <is>
          <t>Sito Settenove (prezzo di copertina)</t>
        </is>
      </c>
      <c r="O5" s="16">
        <f>IF(ISNUMBER(M5),ROUND(M5*(1-Condizioni!$B$2),2),"")</f>
        <v/>
      </c>
      <c r="P5" s="17" t="inlineStr">
        <is>
          <t>Sì</t>
        </is>
      </c>
    </row>
    <row r="6">
      <c r="A6" s="14" t="inlineStr">
        <is>
          <t>Settenove</t>
        </is>
      </c>
      <c r="B6" s="14" t="inlineStr">
        <is>
          <t>Giorgia e Giorgio. W i nonni!</t>
        </is>
      </c>
      <c r="C6" s="14" t="inlineStr">
        <is>
          <t>C. Obber; ill. S. Vinciguerra</t>
        </is>
      </c>
      <c r="D6" s="14" t="inlineStr">
        <is>
          <t>Albi illustrati / Narrativa / Educazione al genere</t>
        </is>
      </c>
      <c r="E6" s="14" t="inlineStr">
        <is>
          <t>da 3 anni</t>
        </is>
      </c>
      <c r="F6" s="14" t="inlineStr">
        <is>
          <t>3-6 anni</t>
        </is>
      </c>
      <c r="G6" s="14" t="inlineStr">
        <is>
          <t>Albo illustrato</t>
        </is>
      </c>
      <c r="H6" s="14" t="inlineStr">
        <is>
          <t>Parità e famiglia (serie Giorgia e Giorgio)</t>
        </is>
      </c>
      <c r="I6" s="14" t="inlineStr">
        <is>
          <t>No</t>
        </is>
      </c>
      <c r="J6" s="14" t="inlineStr">
        <is>
          <t>Catalogo</t>
        </is>
      </c>
      <c r="K6" s="14" t="inlineStr">
        <is>
          <t>3-6 anni</t>
        </is>
      </c>
      <c r="L6" s="14" t="inlineStr">
        <is>
          <t>https://www.settenove.it/catalogo/narrativa/5</t>
        </is>
      </c>
      <c r="M6" s="16" t="n">
        <v>13.5</v>
      </c>
      <c r="N6" s="14" t="inlineStr">
        <is>
          <t>Sito Settenove (prezzo di copertina)</t>
        </is>
      </c>
      <c r="O6" s="16">
        <f>IF(ISNUMBER(M6),ROUND(M6*(1-Condizioni!$B$2),2),"")</f>
        <v/>
      </c>
      <c r="P6" s="17" t="inlineStr">
        <is>
          <t>Sì</t>
        </is>
      </c>
    </row>
    <row r="7">
      <c r="A7" s="14" t="inlineStr">
        <is>
          <t>Settenove</t>
        </is>
      </c>
      <c r="B7" s="14" t="inlineStr">
        <is>
          <t>Il bosco in casa</t>
        </is>
      </c>
      <c r="C7" s="14" t="inlineStr">
        <is>
          <t>Sarah Vegna; ill. Astrid Tolke</t>
        </is>
      </c>
      <c r="D7" s="14" t="inlineStr">
        <is>
          <t>Albi illustrati / Narrativa / Educazione al genere</t>
        </is>
      </c>
      <c r="E7" s="14" t="inlineStr">
        <is>
          <t>da 4 anni</t>
        </is>
      </c>
      <c r="F7" s="14" t="inlineStr">
        <is>
          <t>3-6 anni</t>
        </is>
      </c>
      <c r="G7" s="14" t="inlineStr">
        <is>
          <t>Albo illustrato</t>
        </is>
      </c>
      <c r="H7" s="14" t="inlineStr">
        <is>
          <t>Famiglie omogenitoriali, riciclo e natura</t>
        </is>
      </c>
      <c r="I7" s="14" t="inlineStr">
        <is>
          <t>No</t>
        </is>
      </c>
      <c r="J7" s="14" t="inlineStr">
        <is>
          <t>Catalogo</t>
        </is>
      </c>
      <c r="K7" s="14" t="inlineStr">
        <is>
          <t>3-6 anni</t>
        </is>
      </c>
      <c r="L7" s="14" t="inlineStr">
        <is>
          <t>https://www.ibs.it/bosco-in-casa-ediz-a-libro-sarah-vegna/e/9788898947355</t>
        </is>
      </c>
      <c r="M7" s="16" t="n">
        <v>14</v>
      </c>
      <c r="N7" s="14" t="inlineStr">
        <is>
          <t>Sito Settenove (prezzo di copertina)</t>
        </is>
      </c>
      <c r="O7" s="16">
        <f>IF(ISNUMBER(M7),ROUND(M7*(1-Condizioni!$B$2),2),"")</f>
        <v/>
      </c>
      <c r="P7" s="17" t="inlineStr">
        <is>
          <t>Sì</t>
        </is>
      </c>
    </row>
    <row r="8">
      <c r="A8" s="14" t="inlineStr">
        <is>
          <t>Settenove</t>
        </is>
      </c>
      <c r="B8" s="14" t="inlineStr">
        <is>
          <t>Il piccolo giardiniere</t>
        </is>
      </c>
      <c r="C8" s="14" t="inlineStr">
        <is>
          <t>Emily Hughes</t>
        </is>
      </c>
      <c r="D8" s="14" t="inlineStr">
        <is>
          <t>Albi illustrati / Narrativa / Educazione al genere</t>
        </is>
      </c>
      <c r="E8" s="14" t="inlineStr">
        <is>
          <t>da 4 anni</t>
        </is>
      </c>
      <c r="F8" s="14" t="inlineStr">
        <is>
          <t>3-6 anni</t>
        </is>
      </c>
      <c r="G8" s="14" t="inlineStr">
        <is>
          <t>Albo illustrato</t>
        </is>
      </c>
      <c r="H8" s="14" t="inlineStr">
        <is>
          <t>Libertà e identità</t>
        </is>
      </c>
      <c r="I8" s="14" t="inlineStr">
        <is>
          <t>No</t>
        </is>
      </c>
      <c r="J8" s="14" t="inlineStr">
        <is>
          <t>Catalogo</t>
        </is>
      </c>
      <c r="K8" s="14" t="inlineStr">
        <is>
          <t>3-6 anni</t>
        </is>
      </c>
      <c r="L8" s="14" t="inlineStr">
        <is>
          <t>https://www.settenove.it/catalogo/narrativa/5</t>
        </is>
      </c>
      <c r="M8" s="16" t="n">
        <v>18</v>
      </c>
      <c r="N8" s="14" t="inlineStr">
        <is>
          <t>Sito Settenove (prezzo di copertina)</t>
        </is>
      </c>
      <c r="O8" s="16">
        <f>IF(ISNUMBER(M8),ROUND(M8*(1-Condizioni!$B$2),2),"")</f>
        <v/>
      </c>
      <c r="P8" s="17" t="inlineStr">
        <is>
          <t>Sì</t>
        </is>
      </c>
    </row>
    <row r="9">
      <c r="A9" s="14" t="inlineStr">
        <is>
          <t>Settenove</t>
        </is>
      </c>
      <c r="B9" s="14" t="inlineStr">
        <is>
          <t>In famiglia!</t>
        </is>
      </c>
      <c r="C9" s="14" t="inlineStr">
        <is>
          <t>A. Maxeiner; ill. A. Kuhl</t>
        </is>
      </c>
      <c r="D9" s="14" t="inlineStr">
        <is>
          <t>Albi illustrati / Narrativa / Educazione al genere</t>
        </is>
      </c>
      <c r="E9" s="14" t="inlineStr">
        <is>
          <t>da 4 anni</t>
        </is>
      </c>
      <c r="F9" s="14" t="inlineStr">
        <is>
          <t>3-6 anni</t>
        </is>
      </c>
      <c r="G9" s="14" t="inlineStr">
        <is>
          <t>Albo illustrato</t>
        </is>
      </c>
      <c r="H9" s="14" t="inlineStr">
        <is>
          <t>Famiglie ricomposte</t>
        </is>
      </c>
      <c r="I9" s="14" t="inlineStr">
        <is>
          <t>No</t>
        </is>
      </c>
      <c r="J9" s="14" t="inlineStr">
        <is>
          <t>Catalogo</t>
        </is>
      </c>
      <c r="K9" s="14" t="inlineStr">
        <is>
          <t>3-6 anni</t>
        </is>
      </c>
      <c r="L9" s="14" t="inlineStr">
        <is>
          <t>https://www.settenove.it/catalogo/narrativa/5</t>
        </is>
      </c>
      <c r="M9" s="16" t="n">
        <v>16</v>
      </c>
      <c r="N9" s="14" t="inlineStr">
        <is>
          <t>Sito Settenove (prezzo di copertina)</t>
        </is>
      </c>
      <c r="O9" s="16">
        <f>IF(ISNUMBER(M9),ROUND(M9*(1-Condizioni!$B$2),2),"")</f>
        <v/>
      </c>
      <c r="P9" s="17" t="inlineStr">
        <is>
          <t>Sì</t>
        </is>
      </c>
    </row>
    <row r="10">
      <c r="A10" s="14" t="inlineStr">
        <is>
          <t>Settenove</t>
        </is>
      </c>
      <c r="B10" s="14" t="inlineStr">
        <is>
          <t>Io sono così</t>
        </is>
      </c>
      <c r="C10" s="14" t="inlineStr">
        <is>
          <t>F. Degl'Innocenti, A. Ferrara</t>
        </is>
      </c>
      <c r="D10" s="14" t="inlineStr">
        <is>
          <t>Albi illustrati / Narrativa / Educazione al genere</t>
        </is>
      </c>
      <c r="E10" s="14" t="inlineStr">
        <is>
          <t>4 anni</t>
        </is>
      </c>
      <c r="F10" s="14" t="inlineStr">
        <is>
          <t>3-6 anni</t>
        </is>
      </c>
      <c r="G10" s="14" t="inlineStr">
        <is>
          <t>Albo illustrato</t>
        </is>
      </c>
      <c r="H10" s="14" t="inlineStr">
        <is>
          <t>Identità e stereotipi di genere</t>
        </is>
      </c>
      <c r="I10" s="14" t="inlineStr">
        <is>
          <t>No</t>
        </is>
      </c>
      <c r="J10" s="14" t="inlineStr">
        <is>
          <t>Catalogo</t>
        </is>
      </c>
      <c r="K10" s="14" t="inlineStr">
        <is>
          <t>3-6 anni</t>
        </is>
      </c>
      <c r="L10" s="14" t="inlineStr">
        <is>
          <t>https://www.informafamiglie.it/bibliografia-e-filmografia/bibliografia/identita-e-stereotipi-di-genere</t>
        </is>
      </c>
      <c r="M10" s="16" t="n">
        <v>14</v>
      </c>
      <c r="N10" s="14" t="inlineStr">
        <is>
          <t>Sito Settenove (prezzo di copertina)</t>
        </is>
      </c>
      <c r="O10" s="16">
        <f>IF(ISNUMBER(M10),ROUND(M10*(1-Condizioni!$B$2),2),"")</f>
        <v/>
      </c>
      <c r="P10" s="17" t="inlineStr">
        <is>
          <t>Sì</t>
        </is>
      </c>
    </row>
    <row r="11">
      <c r="A11" s="14" t="inlineStr">
        <is>
          <t>Settenove</t>
        </is>
      </c>
      <c r="B11" s="14" t="inlineStr">
        <is>
          <t>Mi piace Spiderman... e allora?</t>
        </is>
      </c>
      <c r="C11" s="14" t="inlineStr">
        <is>
          <t>G. Vezzoli, M. Di Lauro</t>
        </is>
      </c>
      <c r="D11" s="14" t="inlineStr">
        <is>
          <t>Albi illustrati / Narrativa / Educazione al genere</t>
        </is>
      </c>
      <c r="E11" s="14" t="inlineStr">
        <is>
          <t>da 5 anni</t>
        </is>
      </c>
      <c r="F11" s="14" t="inlineStr">
        <is>
          <t>3-6 anni</t>
        </is>
      </c>
      <c r="G11" s="14" t="inlineStr">
        <is>
          <t>Albo illustrato</t>
        </is>
      </c>
      <c r="H11" s="14" t="inlineStr">
        <is>
          <t>Stereotipi di genere</t>
        </is>
      </c>
      <c r="I11" s="14" t="inlineStr">
        <is>
          <t>No</t>
        </is>
      </c>
      <c r="J11" s="14" t="inlineStr">
        <is>
          <t>Catalogo</t>
        </is>
      </c>
      <c r="K11" s="14" t="inlineStr">
        <is>
          <t>3-6 anni</t>
        </is>
      </c>
      <c r="L11" s="14" t="inlineStr">
        <is>
          <t>https://www.informafamiglie.it/bibliografia-e-filmografia/bibliografia/identita-e-stereotipi-di-genere</t>
        </is>
      </c>
      <c r="M11" s="16" t="n">
        <v>13</v>
      </c>
      <c r="N11" s="14" t="inlineStr">
        <is>
          <t>Sito Settenove (prezzo di copertina)</t>
        </is>
      </c>
      <c r="O11" s="16">
        <f>IF(ISNUMBER(M11),ROUND(M11*(1-Condizioni!$B$2),2),"")</f>
        <v/>
      </c>
      <c r="P11" s="17" t="inlineStr">
        <is>
          <t>Sì</t>
        </is>
      </c>
    </row>
    <row r="12">
      <c r="A12" s="14" t="inlineStr">
        <is>
          <t>Settenove</t>
        </is>
      </c>
      <c r="B12" s="14" t="inlineStr">
        <is>
          <t>Se un bambino</t>
        </is>
      </c>
      <c r="C12" s="14" t="inlineStr">
        <is>
          <t>Davide Musso; ill. Anna Forlati</t>
        </is>
      </c>
      <c r="D12" s="14" t="inlineStr">
        <is>
          <t>Albi illustrati / Narrativa / Educazione al genere</t>
        </is>
      </c>
      <c r="E12" s="14" t="inlineStr">
        <is>
          <t>da 4 anni</t>
        </is>
      </c>
      <c r="F12" s="14" t="inlineStr">
        <is>
          <t>3-6 anni</t>
        </is>
      </c>
      <c r="G12" s="14" t="inlineStr">
        <is>
          <t>Albo illustrato</t>
        </is>
      </c>
      <c r="H12" s="14" t="inlineStr">
        <is>
          <t>Diritti dell'infanzia</t>
        </is>
      </c>
      <c r="I12" s="14" t="inlineStr">
        <is>
          <t>No</t>
        </is>
      </c>
      <c r="J12" s="14" t="inlineStr">
        <is>
          <t>Catalogo</t>
        </is>
      </c>
      <c r="K12" s="14" t="inlineStr">
        <is>
          <t>3-6 anni</t>
        </is>
      </c>
      <c r="L12" s="14" t="inlineStr">
        <is>
          <t>https://www.settenove.it/catalogo/narrativa/5</t>
        </is>
      </c>
      <c r="M12" s="16" t="n">
        <v>17</v>
      </c>
      <c r="N12" s="14" t="inlineStr">
        <is>
          <t>Sito Settenove (prezzo di copertina)</t>
        </is>
      </c>
      <c r="O12" s="16">
        <f>IF(ISNUMBER(M12),ROUND(M12*(1-Condizioni!$B$2),2),"")</f>
        <v/>
      </c>
      <c r="P12" s="17" t="inlineStr">
        <is>
          <t>Sì</t>
        </is>
      </c>
    </row>
    <row r="13">
      <c r="A13" s="14" t="inlineStr">
        <is>
          <t>Settenove</t>
        </is>
      </c>
      <c r="B13" s="14" t="inlineStr">
        <is>
          <t>Una damigella NON in pericolo!</t>
        </is>
      </c>
      <c r="C13" s="14" t="inlineStr">
        <is>
          <t>Bethan Stevens</t>
        </is>
      </c>
      <c r="D13" s="14" t="inlineStr">
        <is>
          <t>Albi illustrati / Narrativa / Educazione al genere</t>
        </is>
      </c>
      <c r="E13" s="14" t="inlineStr">
        <is>
          <t>da 5 anni</t>
        </is>
      </c>
      <c r="F13" s="14" t="inlineStr">
        <is>
          <t>3-6 anni</t>
        </is>
      </c>
      <c r="G13" s="14" t="inlineStr">
        <is>
          <t>Albo illustrato</t>
        </is>
      </c>
      <c r="H13" s="14" t="inlineStr">
        <is>
          <t>Stereotipi nelle fiabe</t>
        </is>
      </c>
      <c r="I13" s="14" t="inlineStr">
        <is>
          <t>No</t>
        </is>
      </c>
      <c r="J13" s="14" t="inlineStr">
        <is>
          <t>Catalogo</t>
        </is>
      </c>
      <c r="K13" s="14" t="inlineStr">
        <is>
          <t>3-6 anni</t>
        </is>
      </c>
      <c r="L13" s="14" t="inlineStr">
        <is>
          <t>https://www.settenove.it/catalogo/narrativa/5</t>
        </is>
      </c>
      <c r="M13" s="16" t="n">
        <v>19</v>
      </c>
      <c r="N13" s="14" t="inlineStr">
        <is>
          <t>Sito Settenove (prezzo di copertina)</t>
        </is>
      </c>
      <c r="O13" s="16">
        <f>IF(ISNUMBER(M13),ROUND(M13*(1-Condizioni!$B$2),2),"")</f>
        <v/>
      </c>
      <c r="P13" s="17" t="inlineStr">
        <is>
          <t>Sì</t>
        </is>
      </c>
    </row>
    <row r="14">
      <c r="A14" s="14" t="inlineStr">
        <is>
          <t>Settenove</t>
        </is>
      </c>
      <c r="B14" s="14" t="inlineStr">
        <is>
          <t>Una stanza tutta per me</t>
        </is>
      </c>
      <c r="C14" s="14" t="inlineStr">
        <is>
          <t>Serena Ballista; ill. Chiara Carrer</t>
        </is>
      </c>
      <c r="D14" s="14" t="inlineStr">
        <is>
          <t>Albi illustrati / Narrativa / Educazione al genere</t>
        </is>
      </c>
      <c r="E14" s="14" t="inlineStr">
        <is>
          <t>da 3 anni</t>
        </is>
      </c>
      <c r="F14" s="14" t="inlineStr">
        <is>
          <t>3-6 anni</t>
        </is>
      </c>
      <c r="G14" s="14" t="inlineStr">
        <is>
          <t>Albo illustrato</t>
        </is>
      </c>
      <c r="H14" s="14" t="inlineStr">
        <is>
          <t>Autonomia delle donne (da Virginia Woolf)</t>
        </is>
      </c>
      <c r="I14" s="14" t="inlineStr">
        <is>
          <t>No</t>
        </is>
      </c>
      <c r="J14" s="14" t="inlineStr">
        <is>
          <t>Catalogo</t>
        </is>
      </c>
      <c r="K14" s="14" t="inlineStr">
        <is>
          <t>3-6 anni</t>
        </is>
      </c>
      <c r="L14" s="14" t="inlineStr">
        <is>
          <t>https://www.settenove.it/catalogo/narrativa/5</t>
        </is>
      </c>
      <c r="M14" s="16" t="n">
        <v>15</v>
      </c>
      <c r="N14" s="14" t="inlineStr">
        <is>
          <t>Sito Settenove (prezzo di copertina)</t>
        </is>
      </c>
      <c r="O14" s="16">
        <f>IF(ISNUMBER(M14),ROUND(M14*(1-Condizioni!$B$2),2),"")</f>
        <v/>
      </c>
      <c r="P14" s="17" t="inlineStr">
        <is>
          <t>Sì</t>
        </is>
      </c>
    </row>
    <row r="15">
      <c r="A15" s="14" t="inlineStr">
        <is>
          <t>Settenove</t>
        </is>
      </c>
      <c r="B15" s="14" t="inlineStr">
        <is>
          <t>Greta e le altre. Un pianeta da salvare</t>
        </is>
      </c>
      <c r="C15" s="14" t="inlineStr">
        <is>
          <t>F. Degl'Innocenti; ill. F. Rizzato</t>
        </is>
      </c>
      <c r="D15" s="14" t="inlineStr">
        <is>
          <t>Albi illustrati / Narrativa / Educazione al genere</t>
        </is>
      </c>
      <c r="E15" s="14" t="inlineStr">
        <is>
          <t>da 6 anni</t>
        </is>
      </c>
      <c r="F15" s="14" t="inlineStr">
        <is>
          <t>Prime letture (6-8)</t>
        </is>
      </c>
      <c r="G15" s="14" t="inlineStr">
        <is>
          <t>Albo illustrato</t>
        </is>
      </c>
      <c r="H15" s="14" t="inlineStr">
        <is>
          <t>Ambiente e attivismo giovanile</t>
        </is>
      </c>
      <c r="I15" s="14" t="inlineStr">
        <is>
          <t>No</t>
        </is>
      </c>
      <c r="J15" s="14" t="inlineStr">
        <is>
          <t>Catalogo</t>
        </is>
      </c>
      <c r="K15" s="14" t="inlineStr">
        <is>
          <t>prime letture</t>
        </is>
      </c>
      <c r="L15" s="14" t="inlineStr">
        <is>
          <t>https://www.settenove.it/catalogo/narrativa/5</t>
        </is>
      </c>
      <c r="M15" s="16" t="n">
        <v>12</v>
      </c>
      <c r="N15" s="14" t="inlineStr">
        <is>
          <t>Sito Settenove (prezzo di copertina)</t>
        </is>
      </c>
      <c r="O15" s="16">
        <f>IF(ISNUMBER(M15),ROUND(M15*(1-Condizioni!$B$2),2),"")</f>
        <v/>
      </c>
      <c r="P15" s="17" t="inlineStr">
        <is>
          <t>Sì</t>
        </is>
      </c>
    </row>
    <row r="16">
      <c r="A16" s="14" t="inlineStr">
        <is>
          <t>Settenove</t>
        </is>
      </c>
      <c r="B16" s="14" t="inlineStr">
        <is>
          <t>Io sono Adila. Storia illustrata di Malala Yousafzai</t>
        </is>
      </c>
      <c r="C16" s="14" t="inlineStr">
        <is>
          <t>F. Degl'Innocenti; ill. A. Forlati</t>
        </is>
      </c>
      <c r="D16" s="14" t="inlineStr">
        <is>
          <t>Albi illustrati / Narrativa / Educazione al genere</t>
        </is>
      </c>
      <c r="E16" s="14" t="inlineStr">
        <is>
          <t>da 6 anni</t>
        </is>
      </c>
      <c r="F16" s="14" t="inlineStr">
        <is>
          <t>Prime letture (6-8)</t>
        </is>
      </c>
      <c r="G16" s="14" t="inlineStr">
        <is>
          <t>Albo illustrato</t>
        </is>
      </c>
      <c r="H16" s="14" t="inlineStr">
        <is>
          <t>Diritto all'istruzione</t>
        </is>
      </c>
      <c r="I16" s="14" t="inlineStr">
        <is>
          <t>No</t>
        </is>
      </c>
      <c r="J16" s="14" t="inlineStr">
        <is>
          <t>Catalogo</t>
        </is>
      </c>
      <c r="K16" s="14" t="inlineStr">
        <is>
          <t>prime letture</t>
        </is>
      </c>
      <c r="L16" s="14" t="inlineStr">
        <is>
          <t>https://www.settenove.it/catalogo/narrativa/5</t>
        </is>
      </c>
      <c r="M16" s="16" t="n">
        <v>17</v>
      </c>
      <c r="N16" s="14" t="inlineStr">
        <is>
          <t>Sito Settenove (prezzo di copertina)</t>
        </is>
      </c>
      <c r="O16" s="16">
        <f>IF(ISNUMBER(M16),ROUND(M16*(1-Condizioni!$B$2),2),"")</f>
        <v/>
      </c>
      <c r="P16" s="17" t="inlineStr">
        <is>
          <t>Sì</t>
        </is>
      </c>
    </row>
    <row r="17">
      <c r="A17" s="14" t="inlineStr">
        <is>
          <t>Settenove</t>
        </is>
      </c>
      <c r="B17" s="14" t="inlineStr">
        <is>
          <t>June e Lea</t>
        </is>
      </c>
      <c r="C17" s="14" t="inlineStr">
        <is>
          <t>Sandrine Bonini; ill. Sandra Desmazières</t>
        </is>
      </c>
      <c r="D17" s="14" t="inlineStr">
        <is>
          <t>Albi illustrati / Narrativa / Educazione al genere</t>
        </is>
      </c>
      <c r="E17" s="14" t="inlineStr">
        <is>
          <t>da 6 anni</t>
        </is>
      </c>
      <c r="F17" s="14" t="inlineStr">
        <is>
          <t>Prime letture (6-8)</t>
        </is>
      </c>
      <c r="G17" s="14" t="inlineStr">
        <is>
          <t>Narrativa</t>
        </is>
      </c>
      <c r="H17" s="14" t="inlineStr">
        <is>
          <t>Stereotipi di genere / passaggio all'adolescenza</t>
        </is>
      </c>
      <c r="I17" s="14" t="inlineStr">
        <is>
          <t>No</t>
        </is>
      </c>
      <c r="J17" s="14" t="inlineStr">
        <is>
          <t>Catalogo</t>
        </is>
      </c>
      <c r="K17" s="14" t="inlineStr">
        <is>
          <t>prime letture, narrativa</t>
        </is>
      </c>
      <c r="L17" s="14" t="inlineStr">
        <is>
          <t>https://www.settenove.it/articoli/june-e-lea/303</t>
        </is>
      </c>
      <c r="M17" s="16" t="n">
        <v>19</v>
      </c>
      <c r="N17" s="14" t="inlineStr">
        <is>
          <t>Sito Settenove (prezzo di copertina)</t>
        </is>
      </c>
      <c r="O17" s="16">
        <f>IF(ISNUMBER(M17),ROUND(M17*(1-Condizioni!$B$2),2),"")</f>
        <v/>
      </c>
      <c r="P17" s="17" t="inlineStr">
        <is>
          <t>Sì</t>
        </is>
      </c>
    </row>
    <row r="18">
      <c r="A18" s="14" t="inlineStr">
        <is>
          <t>Settenove</t>
        </is>
      </c>
      <c r="B18" s="14" t="inlineStr">
        <is>
          <t>Il mio super eserciziario femminista</t>
        </is>
      </c>
      <c r="C18" s="14" t="inlineStr">
        <is>
          <t>Claire Cantais</t>
        </is>
      </c>
      <c r="D18" s="14" t="inlineStr">
        <is>
          <t>Albi illustrati / Narrativa / Educazione al genere</t>
        </is>
      </c>
      <c r="E18" s="14" t="inlineStr">
        <is>
          <t>da 8 anni</t>
        </is>
      </c>
      <c r="F18" s="14" t="inlineStr">
        <is>
          <t>8+</t>
        </is>
      </c>
      <c r="G18" s="14" t="inlineStr">
        <is>
          <t>Divulgazione/Saggio</t>
        </is>
      </c>
      <c r="H18" s="14" t="inlineStr">
        <is>
          <t>Femminismo</t>
        </is>
      </c>
      <c r="I18" s="14" t="inlineStr">
        <is>
          <t>No</t>
        </is>
      </c>
      <c r="J18" s="14" t="inlineStr">
        <is>
          <t>Catalogo</t>
        </is>
      </c>
      <c r="K18" s="14" t="inlineStr">
        <is>
          <t>8+</t>
        </is>
      </c>
      <c r="L18" s="14" t="inlineStr">
        <is>
          <t>https://www.settenove.it/catalogo/narrativa/5</t>
        </is>
      </c>
      <c r="M18" s="16" t="n">
        <v>15</v>
      </c>
      <c r="N18" s="14" t="inlineStr">
        <is>
          <t>Sito Settenove (prezzo di copertina)</t>
        </is>
      </c>
      <c r="O18" s="16">
        <f>IF(ISNUMBER(M18),ROUND(M18*(1-Condizioni!$B$2),2),"")</f>
        <v/>
      </c>
      <c r="P18" s="17" t="inlineStr">
        <is>
          <t>Sì</t>
        </is>
      </c>
    </row>
    <row r="19">
      <c r="A19" s="14" t="inlineStr">
        <is>
          <t>Settenove</t>
        </is>
      </c>
      <c r="B19" s="14" t="inlineStr">
        <is>
          <t>Il mondo ha bisogno delle ragazze (di me)</t>
        </is>
      </c>
      <c r="C19" s="14" t="inlineStr">
        <is>
          <t>Alessandra Spada</t>
        </is>
      </c>
      <c r="D19" s="14" t="inlineStr">
        <is>
          <t>Albi illustrati / Narrativa / Educazione al genere</t>
        </is>
      </c>
      <c r="E19" s="14" t="inlineStr">
        <is>
          <t>da 10 anni</t>
        </is>
      </c>
      <c r="F19" s="14" t="inlineStr">
        <is>
          <t>10+</t>
        </is>
      </c>
      <c r="G19" s="14" t="inlineStr">
        <is>
          <t>Narrativa</t>
        </is>
      </c>
      <c r="H19" s="14" t="inlineStr">
        <is>
          <t>Parità di genere</t>
        </is>
      </c>
      <c r="I19" s="14" t="inlineStr">
        <is>
          <t>No</t>
        </is>
      </c>
      <c r="J19" s="14" t="inlineStr">
        <is>
          <t>Catalogo</t>
        </is>
      </c>
      <c r="K19" s="14" t="inlineStr">
        <is>
          <t>10+, narrativa</t>
        </is>
      </c>
      <c r="L19" s="14" t="inlineStr">
        <is>
          <t>https://www.settenove.it/catalogo/narrativa/5</t>
        </is>
      </c>
      <c r="M19" s="16" t="n">
        <v>14.9</v>
      </c>
      <c r="N19" s="14" t="inlineStr">
        <is>
          <t>Sito Settenove (prezzo di copertina)</t>
        </is>
      </c>
      <c r="O19" s="16">
        <f>IF(ISNUMBER(M19),ROUND(M19*(1-Condizioni!$B$2),2),"")</f>
        <v/>
      </c>
      <c r="P19" s="17" t="inlineStr">
        <is>
          <t>Sì</t>
        </is>
      </c>
    </row>
    <row r="20">
      <c r="A20" s="14" t="inlineStr">
        <is>
          <t>Settenove</t>
        </is>
      </c>
      <c r="B20" s="14" t="inlineStr">
        <is>
          <t>Il primo voto di Matilde</t>
        </is>
      </c>
      <c r="C20" s="14" t="inlineStr">
        <is>
          <t>F. Degl'Innocenti; ill. G. Marchegiani</t>
        </is>
      </c>
      <c r="D20" s="14" t="inlineStr">
        <is>
          <t>Albi illustrati / Narrativa / Educazione al genere</t>
        </is>
      </c>
      <c r="E20" s="14" t="inlineStr">
        <is>
          <t>da 10 anni</t>
        </is>
      </c>
      <c r="F20" s="14" t="inlineStr">
        <is>
          <t>10+</t>
        </is>
      </c>
      <c r="G20" s="14" t="inlineStr">
        <is>
          <t>Albo illustrato</t>
        </is>
      </c>
      <c r="H20" s="14" t="inlineStr">
        <is>
          <t>Diritto di voto delle donne</t>
        </is>
      </c>
      <c r="I20" s="14" t="inlineStr">
        <is>
          <t>No</t>
        </is>
      </c>
      <c r="J20" s="14" t="inlineStr">
        <is>
          <t>Catalogo</t>
        </is>
      </c>
      <c r="K20" s="14" t="inlineStr">
        <is>
          <t>10+</t>
        </is>
      </c>
      <c r="L20" s="14" t="inlineStr">
        <is>
          <t>https://www.settenove.it/catalogo/narrativa/5</t>
        </is>
      </c>
      <c r="M20" s="16" t="n">
        <v>15</v>
      </c>
      <c r="N20" s="14" t="inlineStr">
        <is>
          <t>Sito Settenove (prezzo di copertina)</t>
        </is>
      </c>
      <c r="O20" s="16">
        <f>IF(ISNUMBER(M20),ROUND(M20*(1-Condizioni!$B$2),2),"")</f>
        <v/>
      </c>
      <c r="P20" s="17" t="inlineStr">
        <is>
          <t>Sì</t>
        </is>
      </c>
    </row>
    <row r="21">
      <c r="A21" s="14" t="inlineStr">
        <is>
          <t>Settenove</t>
        </is>
      </c>
      <c r="B21" s="14" t="inlineStr">
        <is>
          <t>Period Girl</t>
        </is>
      </c>
      <c r="C21" s="14" t="inlineStr">
        <is>
          <t>Giorgia Vezzoli</t>
        </is>
      </c>
      <c r="D21" s="14" t="inlineStr">
        <is>
          <t>Albi illustrati / Narrativa / Educazione al genere</t>
        </is>
      </c>
      <c r="E21" s="14" t="inlineStr">
        <is>
          <t>da 10 anni</t>
        </is>
      </c>
      <c r="F21" s="14" t="inlineStr">
        <is>
          <t>10+</t>
        </is>
      </c>
      <c r="G21" s="14" t="inlineStr">
        <is>
          <t>Albo illustrato</t>
        </is>
      </c>
      <c r="H21" s="14" t="inlineStr">
        <is>
          <t>Ciclo mestruale / corpo</t>
        </is>
      </c>
      <c r="I21" s="14" t="inlineStr">
        <is>
          <t>No</t>
        </is>
      </c>
      <c r="J21" s="14" t="inlineStr">
        <is>
          <t>Catalogo</t>
        </is>
      </c>
      <c r="K21" s="14" t="inlineStr">
        <is>
          <t>10+</t>
        </is>
      </c>
      <c r="L21" s="14" t="inlineStr">
        <is>
          <t>https://www.settenove.it/catalogo/narrativa/5</t>
        </is>
      </c>
      <c r="M21" s="16" t="n">
        <v>15.5</v>
      </c>
      <c r="N21" s="14" t="inlineStr">
        <is>
          <t>Sito Settenove (prezzo di copertina)</t>
        </is>
      </c>
      <c r="O21" s="16">
        <f>IF(ISNUMBER(M21),ROUND(M21*(1-Condizioni!$B$2),2),"")</f>
        <v/>
      </c>
      <c r="P21" s="17" t="inlineStr">
        <is>
          <t>Sì</t>
        </is>
      </c>
    </row>
    <row r="22">
      <c r="A22" s="14" t="inlineStr">
        <is>
          <t>Settenove</t>
        </is>
      </c>
      <c r="B22" s="14" t="inlineStr">
        <is>
          <t>Come un fiume. Una storia chiamata femminismo</t>
        </is>
      </c>
      <c r="C22" s="14" t="inlineStr">
        <is>
          <t>Emilia Zazza, Anna Arianna Melone</t>
        </is>
      </c>
      <c r="D22" s="14" t="inlineStr">
        <is>
          <t>Albi illustrati / Narrativa / Educazione al genere</t>
        </is>
      </c>
      <c r="E22" s="14" t="inlineStr">
        <is>
          <t>da 11 anni</t>
        </is>
      </c>
      <c r="F22" s="14" t="inlineStr">
        <is>
          <t>Scuola media (11-13)</t>
        </is>
      </c>
      <c r="G22" s="14" t="inlineStr">
        <is>
          <t>Divulgazione/Saggio</t>
        </is>
      </c>
      <c r="H22" s="14" t="inlineStr">
        <is>
          <t>Storia del femminismo</t>
        </is>
      </c>
      <c r="I22" s="14" t="inlineStr">
        <is>
          <t>No</t>
        </is>
      </c>
      <c r="J22" s="14" t="inlineStr">
        <is>
          <t>Catalogo</t>
        </is>
      </c>
      <c r="K22" s="14" t="inlineStr">
        <is>
          <t>prima/seconda/terza media</t>
        </is>
      </c>
      <c r="L22" s="14" t="inlineStr">
        <is>
          <t>https://www.settenove.it/catalogo/narrativa/5</t>
        </is>
      </c>
      <c r="M22" s="16" t="n">
        <v>17</v>
      </c>
      <c r="N22" s="14" t="inlineStr">
        <is>
          <t>Sito Settenove (prezzo di copertina)</t>
        </is>
      </c>
      <c r="O22" s="16">
        <f>IF(ISNUMBER(M22),ROUND(M22*(1-Condizioni!$B$2),2),"")</f>
        <v/>
      </c>
      <c r="P22" s="17" t="inlineStr">
        <is>
          <t>Sì</t>
        </is>
      </c>
    </row>
    <row r="23">
      <c r="A23" s="14" t="inlineStr">
        <is>
          <t>Settenove</t>
        </is>
      </c>
      <c r="B23" s="14" t="inlineStr">
        <is>
          <t>Rompi le scatole! Idee e storie per fare a pezzi stereotipi e pregiudizi</t>
        </is>
      </c>
      <c r="C23" s="14" t="inlineStr">
        <is>
          <t>Pina Caporaso</t>
        </is>
      </c>
      <c r="D23" s="14" t="inlineStr">
        <is>
          <t>Albi illustrati / Narrativa / Educazione al genere</t>
        </is>
      </c>
      <c r="E23" s="14" t="inlineStr">
        <is>
          <t>da 11 anni</t>
        </is>
      </c>
      <c r="F23" s="14" t="inlineStr">
        <is>
          <t>Scuola media (11-13)</t>
        </is>
      </c>
      <c r="G23" s="14" t="inlineStr">
        <is>
          <t>Divulgazione/Saggio</t>
        </is>
      </c>
      <c r="H23" s="14" t="inlineStr">
        <is>
          <t>Stereotipi e pregiudizi</t>
        </is>
      </c>
      <c r="I23" s="14" t="inlineStr">
        <is>
          <t>No</t>
        </is>
      </c>
      <c r="J23" s="14" t="inlineStr">
        <is>
          <t>Catalogo</t>
        </is>
      </c>
      <c r="K23" s="14" t="inlineStr">
        <is>
          <t>prima/seconda/terza media</t>
        </is>
      </c>
      <c r="L23" s="14" t="inlineStr">
        <is>
          <t>https://www.ibs.it/libri/editori/settenove</t>
        </is>
      </c>
      <c r="M23" s="16" t="n">
        <v>17</v>
      </c>
      <c r="N23" s="14" t="inlineStr">
        <is>
          <t>Sito Settenove (prezzo di copertina)</t>
        </is>
      </c>
      <c r="O23" s="16">
        <f>IF(ISNUMBER(M23),ROUND(M23*(1-Condizioni!$B$2),2),"")</f>
        <v/>
      </c>
      <c r="P23" s="17" t="inlineStr">
        <is>
          <t>Sì</t>
        </is>
      </c>
    </row>
    <row r="24">
      <c r="A24" s="14" t="inlineStr">
        <is>
          <t>Settenove</t>
        </is>
      </c>
      <c r="B24" s="14" t="inlineStr">
        <is>
          <t>E io qui, nuda</t>
        </is>
      </c>
      <c r="C24" s="14" t="inlineStr">
        <is>
          <t>Cristina Obber</t>
        </is>
      </c>
      <c r="D24" s="14" t="inlineStr">
        <is>
          <t>Albi illustrati / Narrativa / Educazione al genere</t>
        </is>
      </c>
      <c r="E24" s="14" t="inlineStr">
        <is>
          <t>14+</t>
        </is>
      </c>
      <c r="F24" s="14" t="inlineStr">
        <is>
          <t>Adolescenza (14+)</t>
        </is>
      </c>
      <c r="G24" s="14" t="inlineStr">
        <is>
          <t>Narrativa</t>
        </is>
      </c>
      <c r="H24" s="14" t="inlineStr">
        <is>
          <t>Violenza e consenso</t>
        </is>
      </c>
      <c r="I24" s="14" t="inlineStr">
        <is>
          <t>No</t>
        </is>
      </c>
      <c r="J24" s="14" t="inlineStr">
        <is>
          <t>Catalogo</t>
        </is>
      </c>
      <c r="K24" s="14" t="inlineStr">
        <is>
          <t>adolescenza, narrativa</t>
        </is>
      </c>
      <c r="L24" s="14" t="inlineStr">
        <is>
          <t>https://www.settenove.it/catalogo/narrativa/5</t>
        </is>
      </c>
      <c r="M24" s="16" t="n">
        <v>16.5</v>
      </c>
      <c r="N24" s="14" t="inlineStr">
        <is>
          <t>Sito Settenove (prezzo di copertina)</t>
        </is>
      </c>
      <c r="O24" s="16">
        <f>IF(ISNUMBER(M24),ROUND(M24*(1-Condizioni!$B$2),2),"")</f>
        <v/>
      </c>
      <c r="P24" s="17" t="inlineStr">
        <is>
          <t>Sì</t>
        </is>
      </c>
    </row>
    <row r="25">
      <c r="A25" s="14" t="inlineStr">
        <is>
          <t>Settenove</t>
        </is>
      </c>
      <c r="B25" s="14" t="inlineStr">
        <is>
          <t>La nudità che male fa?</t>
        </is>
      </c>
      <c r="C25" s="14" t="inlineStr">
        <is>
          <t>Rosie Haine</t>
        </is>
      </c>
      <c r="D25" s="14" t="inlineStr">
        <is>
          <t>Albi illustrati / Narrativa / Educazione al genere</t>
        </is>
      </c>
      <c r="E25" s="14" t="inlineStr">
        <is>
          <t>da 6 anni</t>
        </is>
      </c>
      <c r="F25" s="14" t="inlineStr">
        <is>
          <t>Prime letture (6-8)</t>
        </is>
      </c>
      <c r="G25" s="14" t="inlineStr">
        <is>
          <t>Albo illustrato</t>
        </is>
      </c>
      <c r="H25" s="14" t="inlineStr">
        <is>
          <t>Corpo e nudità</t>
        </is>
      </c>
      <c r="I25" s="14" t="inlineStr">
        <is>
          <t>No</t>
        </is>
      </c>
      <c r="J25" s="14" t="inlineStr">
        <is>
          <t>Verificata (IBS / editore)</t>
        </is>
      </c>
      <c r="K25" s="14" t="inlineStr">
        <is>
          <t>prime letture</t>
        </is>
      </c>
      <c r="L25" s="14" t="inlineStr">
        <is>
          <t>https://www.settenove.it/catalogo/narrativa/5</t>
        </is>
      </c>
      <c r="M25" s="16" t="n">
        <v>18</v>
      </c>
      <c r="N25" s="14" t="inlineStr">
        <is>
          <t>Sito Settenove (prezzo di copertina)</t>
        </is>
      </c>
      <c r="O25" s="16">
        <f>IF(ISNUMBER(M25),ROUND(M25*(1-Condizioni!$B$2),2),"")</f>
        <v/>
      </c>
      <c r="P25" s="17" t="inlineStr">
        <is>
          <t>Sì</t>
        </is>
      </c>
    </row>
    <row r="26">
      <c r="A26" s="14" t="inlineStr">
        <is>
          <t>Settenove</t>
        </is>
      </c>
      <c r="B26" s="14" t="inlineStr">
        <is>
          <t>La strana storia di Cappuccetto Blu</t>
        </is>
      </c>
      <c r="C26" s="14" t="inlineStr">
        <is>
          <t>Guia Risari; ill. Clémence Pollet</t>
        </is>
      </c>
      <c r="D26" s="14" t="inlineStr">
        <is>
          <t>Albi illustrati / Narrativa / Educazione al genere</t>
        </is>
      </c>
      <c r="E26" s="14" t="inlineStr">
        <is>
          <t>da 7 anni</t>
        </is>
      </c>
      <c r="F26" s="14" t="inlineStr">
        <is>
          <t>Prime letture (6-8)</t>
        </is>
      </c>
      <c r="G26" s="14" t="inlineStr">
        <is>
          <t>Albo illustrato</t>
        </is>
      </c>
      <c r="H26" s="14" t="inlineStr">
        <is>
          <t>Stereotipi nelle fiabe</t>
        </is>
      </c>
      <c r="I26" s="14" t="inlineStr">
        <is>
          <t>No</t>
        </is>
      </c>
      <c r="J26" s="14" t="inlineStr">
        <is>
          <t>Verificata (IBS / editore)</t>
        </is>
      </c>
      <c r="K26" s="14" t="inlineStr">
        <is>
          <t>prime letture</t>
        </is>
      </c>
      <c r="L26" s="14" t="inlineStr">
        <is>
          <t>https://www.settenove.it/catalogo/narrativa/5</t>
        </is>
      </c>
      <c r="M26" s="16" t="n">
        <v>17</v>
      </c>
      <c r="N26" s="14" t="inlineStr">
        <is>
          <t>Sito Settenove (prezzo di copertina)</t>
        </is>
      </c>
      <c r="O26" s="16">
        <f>IF(ISNUMBER(M26),ROUND(M26*(1-Condizioni!$B$2),2),"")</f>
        <v/>
      </c>
      <c r="P26" s="17" t="inlineStr">
        <is>
          <t>Sì</t>
        </is>
      </c>
    </row>
    <row r="27">
      <c r="A27" s="14" t="inlineStr">
        <is>
          <t>Settenove</t>
        </is>
      </c>
      <c r="B27" s="14" t="inlineStr">
        <is>
          <t>Leggere senza stereotipi. Percorsi educativi 0-6 anni (per adulti)</t>
        </is>
      </c>
      <c r="C27" s="14" t="inlineStr">
        <is>
          <t>SCOSSE APS</t>
        </is>
      </c>
      <c r="D27" s="14" t="inlineStr">
        <is>
          <t>Albi illustrati / Narrativa / Educazione al genere</t>
        </is>
      </c>
      <c r="E27" s="14" t="inlineStr">
        <is>
          <t>0-6 (per educatori)</t>
        </is>
      </c>
      <c r="F27" s="14" t="inlineStr">
        <is>
          <t>n.d. / tutte le età</t>
        </is>
      </c>
      <c r="G27" s="14" t="inlineStr">
        <is>
          <t>Divulgazione/Saggio</t>
        </is>
      </c>
      <c r="H27" s="14" t="inlineStr">
        <is>
          <t>Educazione al genere (strumento per insegnanti)</t>
        </is>
      </c>
      <c r="I27" s="14" t="inlineStr">
        <is>
          <t>No</t>
        </is>
      </c>
      <c r="J27" s="14" t="inlineStr">
        <is>
          <t>Catalogo</t>
        </is>
      </c>
      <c r="K27" s="14" t="inlineStr"/>
      <c r="L27" s="14" t="inlineStr">
        <is>
          <t>https://www.settenove.it/articoli/leggere-senza-stereotipi/317</t>
        </is>
      </c>
      <c r="M27" s="16" t="n">
        <v>16</v>
      </c>
      <c r="N27" s="14" t="inlineStr">
        <is>
          <t>https://www.settenove.it/articoli/leggere-senza-stereotipi/317</t>
        </is>
      </c>
      <c r="O27" s="16">
        <f>IF(ISNUMBER(M27),ROUND(M27*(1-Condizioni!$B$2),2),"")</f>
        <v/>
      </c>
      <c r="P27" s="17" t="inlineStr">
        <is>
          <t>Sì</t>
        </is>
      </c>
    </row>
    <row r="28">
      <c r="A28" s="14" t="inlineStr">
        <is>
          <t>Settenove</t>
        </is>
      </c>
      <c r="B28" s="14" t="inlineStr">
        <is>
          <t>Papà aspetta un bimbo!</t>
        </is>
      </c>
      <c r="C28" s="14" t="inlineStr">
        <is>
          <t>F. Loew; ill. S.-Y. Barroux</t>
        </is>
      </c>
      <c r="D28" s="14" t="inlineStr">
        <is>
          <t>Albi illustrati / Narrativa / Educazione al genere</t>
        </is>
      </c>
      <c r="E28" s="14" t="inlineStr">
        <is>
          <t>da 4 anni</t>
        </is>
      </c>
      <c r="F28" s="14" t="inlineStr">
        <is>
          <t>3-6 anni</t>
        </is>
      </c>
      <c r="G28" s="14" t="inlineStr">
        <is>
          <t>Albo illustrato</t>
        </is>
      </c>
      <c r="H28" s="14" t="inlineStr">
        <is>
          <t>Ruoli familiari e genitorialità</t>
        </is>
      </c>
      <c r="I28" s="14" t="inlineStr">
        <is>
          <t>No</t>
        </is>
      </c>
      <c r="J28" s="14" t="inlineStr">
        <is>
          <t>Verificata (IBS / editore)</t>
        </is>
      </c>
      <c r="K28" s="14" t="inlineStr">
        <is>
          <t>3-6 anni</t>
        </is>
      </c>
      <c r="L28" s="14" t="inlineStr">
        <is>
          <t>https://www.settenove.it/catalogo/narrativa/5</t>
        </is>
      </c>
      <c r="M28" s="16" t="n">
        <v>16</v>
      </c>
      <c r="N28" s="14" t="inlineStr">
        <is>
          <t>Sito Settenove (prezzo di copertina)</t>
        </is>
      </c>
      <c r="O28" s="16">
        <f>IF(ISNUMBER(M28),ROUND(M28*(1-Condizioni!$B$2),2),"")</f>
        <v/>
      </c>
      <c r="P28" s="17" t="inlineStr">
        <is>
          <t>Sì</t>
        </is>
      </c>
    </row>
    <row r="29">
      <c r="A29" s="14" t="inlineStr">
        <is>
          <t>Settenove</t>
        </is>
      </c>
      <c r="B29" s="14" t="inlineStr">
        <is>
          <t>Selvaggia</t>
        </is>
      </c>
      <c r="C29" s="14" t="inlineStr">
        <is>
          <t>Emily Hughes</t>
        </is>
      </c>
      <c r="D29" s="14" t="inlineStr">
        <is>
          <t>Albi illustrati / Narrativa / Educazione al genere</t>
        </is>
      </c>
      <c r="E29" s="14" t="inlineStr">
        <is>
          <t>da 4 anni</t>
        </is>
      </c>
      <c r="F29" s="14" t="inlineStr">
        <is>
          <t>3-6 anni</t>
        </is>
      </c>
      <c r="G29" s="14" t="inlineStr">
        <is>
          <t>Albo illustrato</t>
        </is>
      </c>
      <c r="H29" s="14" t="inlineStr">
        <is>
          <t>Libertà e identità</t>
        </is>
      </c>
      <c r="I29" s="14" t="inlineStr">
        <is>
          <t>No</t>
        </is>
      </c>
      <c r="J29" s="14" t="inlineStr">
        <is>
          <t>Verificata (IBS / editore)</t>
        </is>
      </c>
      <c r="K29" s="14" t="inlineStr">
        <is>
          <t>3-6 anni</t>
        </is>
      </c>
      <c r="L29" s="14" t="inlineStr">
        <is>
          <t>https://www.settenove.it/catalogo/narrativa/5</t>
        </is>
      </c>
      <c r="M29" s="16" t="n">
        <v>17</v>
      </c>
      <c r="N29" s="14" t="inlineStr">
        <is>
          <t>Sito Settenove (prezzo di copertina)</t>
        </is>
      </c>
      <c r="O29" s="16">
        <f>IF(ISNUMBER(M29),ROUND(M29*(1-Condizioni!$B$2),2),"")</f>
        <v/>
      </c>
      <c r="P29" s="17" t="inlineStr">
        <is>
          <t>Sì</t>
        </is>
      </c>
    </row>
    <row r="30">
      <c r="A30" s="14" t="inlineStr">
        <is>
          <t>Settenove</t>
        </is>
      </c>
      <c r="B30" s="14" t="inlineStr">
        <is>
          <t>Storia di Giulia che aveva un'ombra da bambino</t>
        </is>
      </c>
      <c r="C30" s="14" t="inlineStr">
        <is>
          <t>C. Bruel; ill. A. Bozellec</t>
        </is>
      </c>
      <c r="D30" s="14" t="inlineStr">
        <is>
          <t>Albi illustrati / Narrativa / Educazione al genere</t>
        </is>
      </c>
      <c r="E30" s="14" t="inlineStr">
        <is>
          <t>da 7 anni</t>
        </is>
      </c>
      <c r="F30" s="14" t="inlineStr">
        <is>
          <t>Prime letture (6-8)</t>
        </is>
      </c>
      <c r="G30" s="14" t="inlineStr">
        <is>
          <t>Albo illustrato</t>
        </is>
      </c>
      <c r="H30" s="14" t="inlineStr">
        <is>
          <t>Identità di genere</t>
        </is>
      </c>
      <c r="I30" s="14" t="inlineStr">
        <is>
          <t>No</t>
        </is>
      </c>
      <c r="J30" s="14" t="inlineStr">
        <is>
          <t>Verificata (IBS / editore)</t>
        </is>
      </c>
      <c r="K30" s="14" t="inlineStr">
        <is>
          <t>prime letture</t>
        </is>
      </c>
      <c r="L30" s="14" t="inlineStr">
        <is>
          <t>https://www.settenove.it/catalogo/narrativa/5</t>
        </is>
      </c>
      <c r="M30" s="16" t="n">
        <v>17</v>
      </c>
      <c r="N30" s="14" t="inlineStr">
        <is>
          <t>Sito Settenove (prezzo di copertina)</t>
        </is>
      </c>
      <c r="O30" s="16">
        <f>IF(ISNUMBER(M30),ROUND(M30*(1-Condizioni!$B$2),2),"")</f>
        <v/>
      </c>
      <c r="P30" s="17" t="inlineStr">
        <is>
          <t>Sì</t>
        </is>
      </c>
    </row>
    <row r="31">
      <c r="A31" s="14" t="inlineStr">
        <is>
          <t>Uovonero</t>
        </is>
      </c>
      <c r="B31" s="14" t="inlineStr">
        <is>
          <t>Biancaneve</t>
        </is>
      </c>
      <c r="C31" s="14" t="inlineStr">
        <is>
          <t>a cura di E. Crivelli; ill. T. D'Incalci</t>
        </is>
      </c>
      <c r="D31" s="14" t="inlineStr">
        <is>
          <t>Pesci parlanti</t>
        </is>
      </c>
      <c r="E31" s="14" t="inlineStr">
        <is>
          <t>0/3, 3/6</t>
        </is>
      </c>
      <c r="F31" s="14" t="inlineStr">
        <is>
          <t>0-3 anni</t>
        </is>
      </c>
      <c r="G31" s="14" t="inlineStr">
        <is>
          <t>Libro in simboli (CAA)</t>
        </is>
      </c>
      <c r="H31" s="14" t="inlineStr"/>
      <c r="I31" s="18" t="inlineStr">
        <is>
          <t>Sì</t>
        </is>
      </c>
      <c r="J31" s="14" t="inlineStr">
        <is>
          <t>Catalogo</t>
        </is>
      </c>
      <c r="K31" s="14" t="inlineStr">
        <is>
          <t>0-3 anni, CAA</t>
        </is>
      </c>
      <c r="L31" s="14" t="inlineStr">
        <is>
          <t>https://www.uovonero.com/libri</t>
        </is>
      </c>
      <c r="M31" s="19" t="n"/>
      <c r="N31" s="14" t="inlineStr"/>
      <c r="O31" s="16">
        <f>IF(ISNUMBER(M31),ROUND(M31*(1-Condizioni!$B$2),2),"")</f>
        <v/>
      </c>
      <c r="P31" s="17" t="inlineStr">
        <is>
          <t>Sì</t>
        </is>
      </c>
    </row>
    <row r="32">
      <c r="A32" s="14" t="inlineStr">
        <is>
          <t>Uovonero</t>
        </is>
      </c>
      <c r="B32" s="14" t="inlineStr">
        <is>
          <t>Che rabbia!</t>
        </is>
      </c>
      <c r="C32" s="14" t="inlineStr">
        <is>
          <t>Mireille D'Allancé</t>
        </is>
      </c>
      <c r="D32" s="14" t="inlineStr">
        <is>
          <t>I libri di Camilla</t>
        </is>
      </c>
      <c r="E32" s="14" t="inlineStr">
        <is>
          <t>0/3, 3/6</t>
        </is>
      </c>
      <c r="F32" s="14" t="inlineStr">
        <is>
          <t>0-3 anni</t>
        </is>
      </c>
      <c r="G32" s="14" t="inlineStr">
        <is>
          <t>Libro in simboli (CAA)</t>
        </is>
      </c>
      <c r="H32" s="14" t="inlineStr">
        <is>
          <t>Emozioni (rabbia)</t>
        </is>
      </c>
      <c r="I32" s="18" t="inlineStr">
        <is>
          <t>Sì</t>
        </is>
      </c>
      <c r="J32" s="14" t="inlineStr">
        <is>
          <t>Catalogo</t>
        </is>
      </c>
      <c r="K32" s="14" t="inlineStr">
        <is>
          <t>0-3 anni, CAA</t>
        </is>
      </c>
      <c r="L32" s="14" t="inlineStr">
        <is>
          <t>https://www.uovonero.com/libri</t>
        </is>
      </c>
      <c r="M32" s="16" t="n">
        <v>12</v>
      </c>
      <c r="N32" s="14" t="inlineStr">
        <is>
          <t>https://www.lafeltrinelli.it/libri/editori/uovonero</t>
        </is>
      </c>
      <c r="O32" s="16">
        <f>IF(ISNUMBER(M32),ROUND(M32*(1-Condizioni!$B$2),2),"")</f>
        <v/>
      </c>
      <c r="P32" s="17" t="inlineStr">
        <is>
          <t>Sì</t>
        </is>
      </c>
    </row>
    <row r="33">
      <c r="A33" s="14" t="inlineStr">
        <is>
          <t>Uovonero</t>
        </is>
      </c>
      <c r="B33" s="14" t="inlineStr">
        <is>
          <t>Domino gli aggettivi con i simboli</t>
        </is>
      </c>
      <c r="C33" s="14" t="inlineStr">
        <is>
          <t>E. Crivelli; ill. A. Manca</t>
        </is>
      </c>
      <c r="D33" s="14" t="inlineStr">
        <is>
          <t>Altrimenti (giochi)</t>
        </is>
      </c>
      <c r="E33" s="14" t="inlineStr">
        <is>
          <t>0/3, 3/6</t>
        </is>
      </c>
      <c r="F33" s="14" t="inlineStr">
        <is>
          <t>0-3 anni</t>
        </is>
      </c>
      <c r="G33" s="14" t="inlineStr">
        <is>
          <t>Gioco/Activity book</t>
        </is>
      </c>
      <c r="H33" s="14" t="inlineStr"/>
      <c r="I33" s="18" t="inlineStr">
        <is>
          <t>Sì</t>
        </is>
      </c>
      <c r="J33" s="14" t="inlineStr">
        <is>
          <t>Catalogo</t>
        </is>
      </c>
      <c r="K33" s="14" t="inlineStr">
        <is>
          <t>0-3 anni, CAA</t>
        </is>
      </c>
      <c r="L33" s="14" t="inlineStr">
        <is>
          <t>https://www.uovonero.com/libri</t>
        </is>
      </c>
      <c r="M33" s="19" t="n"/>
      <c r="N33" s="14" t="inlineStr"/>
      <c r="O33" s="16">
        <f>IF(ISNUMBER(M33),ROUND(M33*(1-Condizioni!$B$2),2),"")</f>
        <v/>
      </c>
      <c r="P33" s="17" t="inlineStr">
        <is>
          <t>Sì</t>
        </is>
      </c>
    </row>
    <row r="34">
      <c r="A34" s="14" t="inlineStr">
        <is>
          <t>Uovonero</t>
        </is>
      </c>
      <c r="B34" s="14" t="inlineStr">
        <is>
          <t>Domino i verbi con i simboli</t>
        </is>
      </c>
      <c r="C34" s="14" t="inlineStr">
        <is>
          <t>E. Crivelli; ill. A. Manca</t>
        </is>
      </c>
      <c r="D34" s="14" t="inlineStr">
        <is>
          <t>Altrimenti (giochi)</t>
        </is>
      </c>
      <c r="E34" s="14" t="inlineStr">
        <is>
          <t>0/3, 3/6</t>
        </is>
      </c>
      <c r="F34" s="14" t="inlineStr">
        <is>
          <t>0-3 anni</t>
        </is>
      </c>
      <c r="G34" s="14" t="inlineStr">
        <is>
          <t>Gioco/Activity book</t>
        </is>
      </c>
      <c r="H34" s="14" t="inlineStr"/>
      <c r="I34" s="18" t="inlineStr">
        <is>
          <t>Sì</t>
        </is>
      </c>
      <c r="J34" s="14" t="inlineStr">
        <is>
          <t>Catalogo</t>
        </is>
      </c>
      <c r="K34" s="14" t="inlineStr">
        <is>
          <t>0-3 anni, CAA</t>
        </is>
      </c>
      <c r="L34" s="14" t="inlineStr">
        <is>
          <t>https://www.uovonero.com/libri</t>
        </is>
      </c>
      <c r="M34" s="19" t="n"/>
      <c r="N34" s="14" t="inlineStr"/>
      <c r="O34" s="16">
        <f>IF(ISNUMBER(M34),ROUND(M34*(1-Condizioni!$B$2),2),"")</f>
        <v/>
      </c>
      <c r="P34" s="17" t="inlineStr">
        <is>
          <t>Sì</t>
        </is>
      </c>
    </row>
    <row r="35">
      <c r="A35" s="14" t="inlineStr">
        <is>
          <t>Uovonero</t>
        </is>
      </c>
      <c r="B35" s="14" t="inlineStr">
        <is>
          <t>I musicanti di Brema</t>
        </is>
      </c>
      <c r="C35" s="14" t="inlineStr">
        <is>
          <t>a cura di E. Crivelli; ill. A. Manca</t>
        </is>
      </c>
      <c r="D35" s="14" t="inlineStr">
        <is>
          <t>Pesci parlanti</t>
        </is>
      </c>
      <c r="E35" s="14" t="inlineStr">
        <is>
          <t>0/3, 3/6</t>
        </is>
      </c>
      <c r="F35" s="14" t="inlineStr">
        <is>
          <t>0-3 anni</t>
        </is>
      </c>
      <c r="G35" s="14" t="inlineStr">
        <is>
          <t>Libro in simboli (CAA)</t>
        </is>
      </c>
      <c r="H35" s="14" t="inlineStr">
        <is>
          <t>Cooperazione</t>
        </is>
      </c>
      <c r="I35" s="18" t="inlineStr">
        <is>
          <t>Sì</t>
        </is>
      </c>
      <c r="J35" s="14" t="inlineStr">
        <is>
          <t>Catalogo</t>
        </is>
      </c>
      <c r="K35" s="14" t="inlineStr">
        <is>
          <t>0-3 anni, CAA</t>
        </is>
      </c>
      <c r="L35" s="14" t="inlineStr">
        <is>
          <t>https://www.uovonero.com/libri</t>
        </is>
      </c>
      <c r="M35" s="19" t="n"/>
      <c r="N35" s="14" t="inlineStr"/>
      <c r="O35" s="16">
        <f>IF(ISNUMBER(M35),ROUND(M35*(1-Condizioni!$B$2),2),"")</f>
        <v/>
      </c>
      <c r="P35" s="17" t="inlineStr">
        <is>
          <t>Sì</t>
        </is>
      </c>
    </row>
    <row r="36">
      <c r="A36" s="14" t="inlineStr">
        <is>
          <t>Uovonero</t>
        </is>
      </c>
      <c r="B36" s="14" t="inlineStr">
        <is>
          <t>Il brutto anatroccolo</t>
        </is>
      </c>
      <c r="C36" s="14" t="inlineStr">
        <is>
          <t>a cura di E. Crivelli; ill. A. Papini</t>
        </is>
      </c>
      <c r="D36" s="14" t="inlineStr">
        <is>
          <t>Pesci parlanti</t>
        </is>
      </c>
      <c r="E36" s="14" t="inlineStr">
        <is>
          <t>0/3, 3/6</t>
        </is>
      </c>
      <c r="F36" s="14" t="inlineStr">
        <is>
          <t>0-3 anni</t>
        </is>
      </c>
      <c r="G36" s="14" t="inlineStr">
        <is>
          <t>Libro in simboli (CAA)</t>
        </is>
      </c>
      <c r="H36" s="14" t="inlineStr"/>
      <c r="I36" s="18" t="inlineStr">
        <is>
          <t>Sì</t>
        </is>
      </c>
      <c r="J36" s="14" t="inlineStr">
        <is>
          <t>Catalogo</t>
        </is>
      </c>
      <c r="K36" s="14" t="inlineStr">
        <is>
          <t>0-3 anni, CAA</t>
        </is>
      </c>
      <c r="L36" s="14" t="inlineStr">
        <is>
          <t>https://www.uovonero.com/libri</t>
        </is>
      </c>
      <c r="M36" s="19" t="n"/>
      <c r="N36" s="14" t="inlineStr"/>
      <c r="O36" s="16">
        <f>IF(ISNUMBER(M36),ROUND(M36*(1-Condizioni!$B$2),2),"")</f>
        <v/>
      </c>
      <c r="P36" s="17" t="inlineStr">
        <is>
          <t>Sì</t>
        </is>
      </c>
    </row>
    <row r="37">
      <c r="A37" s="14" t="inlineStr">
        <is>
          <t>Uovonero</t>
        </is>
      </c>
      <c r="B37" s="14" t="inlineStr">
        <is>
          <t>Il gatto con gli stivali</t>
        </is>
      </c>
      <c r="C37" s="14" t="inlineStr">
        <is>
          <t>a cura di E. Crivelli; ill. R. Angeletti</t>
        </is>
      </c>
      <c r="D37" s="14" t="inlineStr">
        <is>
          <t>Pesci parlanti</t>
        </is>
      </c>
      <c r="E37" s="14" t="inlineStr">
        <is>
          <t>0/3, 3/6</t>
        </is>
      </c>
      <c r="F37" s="14" t="inlineStr">
        <is>
          <t>0-3 anni</t>
        </is>
      </c>
      <c r="G37" s="14" t="inlineStr">
        <is>
          <t>Libro in simboli (CAA)</t>
        </is>
      </c>
      <c r="H37" s="14" t="inlineStr"/>
      <c r="I37" s="18" t="inlineStr">
        <is>
          <t>Sì</t>
        </is>
      </c>
      <c r="J37" s="14" t="inlineStr">
        <is>
          <t>Catalogo</t>
        </is>
      </c>
      <c r="K37" s="14" t="inlineStr">
        <is>
          <t>0-3 anni, CAA</t>
        </is>
      </c>
      <c r="L37" s="14" t="inlineStr">
        <is>
          <t>https://www.uovonero.com/libri</t>
        </is>
      </c>
      <c r="M37" s="19" t="n"/>
      <c r="N37" s="14" t="inlineStr"/>
      <c r="O37" s="16">
        <f>IF(ISNUMBER(M37),ROUND(M37*(1-Condizioni!$B$2),2),"")</f>
        <v/>
      </c>
      <c r="P37" s="17" t="inlineStr">
        <is>
          <t>Sì</t>
        </is>
      </c>
    </row>
    <row r="38">
      <c r="A38" s="14" t="inlineStr">
        <is>
          <t>Uovonero</t>
        </is>
      </c>
      <c r="B38" s="14" t="inlineStr">
        <is>
          <t>Il lupo e i sette capretti</t>
        </is>
      </c>
      <c r="C38" s="14" t="inlineStr">
        <is>
          <t>a cura di E. Crivelli; ill. A. Alemanno</t>
        </is>
      </c>
      <c r="D38" s="14" t="inlineStr">
        <is>
          <t>Pesci parlanti</t>
        </is>
      </c>
      <c r="E38" s="14" t="inlineStr">
        <is>
          <t>0/3, 3/6</t>
        </is>
      </c>
      <c r="F38" s="14" t="inlineStr">
        <is>
          <t>0-3 anni</t>
        </is>
      </c>
      <c r="G38" s="14" t="inlineStr">
        <is>
          <t>Libro in simboli (CAA)</t>
        </is>
      </c>
      <c r="H38" s="14" t="inlineStr"/>
      <c r="I38" s="18" t="inlineStr">
        <is>
          <t>Sì</t>
        </is>
      </c>
      <c r="J38" s="14" t="inlineStr">
        <is>
          <t>Catalogo</t>
        </is>
      </c>
      <c r="K38" s="14" t="inlineStr">
        <is>
          <t>0-3 anni, CAA</t>
        </is>
      </c>
      <c r="L38" s="14" t="inlineStr">
        <is>
          <t>https://www.uovonero.com/libri</t>
        </is>
      </c>
      <c r="M38" s="19" t="n"/>
      <c r="N38" s="14" t="inlineStr"/>
      <c r="O38" s="16">
        <f>IF(ISNUMBER(M38),ROUND(M38*(1-Condizioni!$B$2),2),"")</f>
        <v/>
      </c>
      <c r="P38" s="17" t="inlineStr">
        <is>
          <t>Sì</t>
        </is>
      </c>
    </row>
    <row r="39">
      <c r="A39" s="14" t="inlineStr">
        <is>
          <t>Uovonero</t>
        </is>
      </c>
      <c r="B39" s="14" t="inlineStr">
        <is>
          <t>Il piccolo coniglio bianco</t>
        </is>
      </c>
      <c r="C39" s="14" t="inlineStr">
        <is>
          <t>Xosé Ballesteros; ill. Óscar Villán</t>
        </is>
      </c>
      <c r="D39" s="14" t="inlineStr">
        <is>
          <t>I libri di Camilla</t>
        </is>
      </c>
      <c r="E39" s="14" t="inlineStr">
        <is>
          <t>0/3, 3/6</t>
        </is>
      </c>
      <c r="F39" s="14" t="inlineStr">
        <is>
          <t>0-3 anni</t>
        </is>
      </c>
      <c r="G39" s="14" t="inlineStr">
        <is>
          <t>Libro in simboli (CAA)</t>
        </is>
      </c>
      <c r="H39" s="14" t="inlineStr"/>
      <c r="I39" s="18" t="inlineStr">
        <is>
          <t>Sì</t>
        </is>
      </c>
      <c r="J39" s="14" t="inlineStr">
        <is>
          <t>Catalogo</t>
        </is>
      </c>
      <c r="K39" s="14" t="inlineStr">
        <is>
          <t>0-3 anni, CAA</t>
        </is>
      </c>
      <c r="L39" s="14" t="inlineStr">
        <is>
          <t>https://www.uovonero.com/libri</t>
        </is>
      </c>
      <c r="M39" s="19" t="n"/>
      <c r="N39" s="14" t="inlineStr"/>
      <c r="O39" s="16">
        <f>IF(ISNUMBER(M39),ROUND(M39*(1-Condizioni!$B$2),2),"")</f>
        <v/>
      </c>
      <c r="P39" s="17" t="inlineStr">
        <is>
          <t>Sì</t>
        </is>
      </c>
    </row>
    <row r="40">
      <c r="A40" s="14" t="inlineStr">
        <is>
          <t>Uovonero</t>
        </is>
      </c>
      <c r="B40" s="14" t="inlineStr">
        <is>
          <t>Lei ci sarà sempre</t>
        </is>
      </c>
      <c r="C40" s="14" t="inlineStr">
        <is>
          <t>Thierry Lenain; ill. Manon Gauthier</t>
        </is>
      </c>
      <c r="D40" s="14" t="inlineStr">
        <is>
          <t>I libri di Camilla</t>
        </is>
      </c>
      <c r="E40" s="14" t="inlineStr">
        <is>
          <t>0/3, 3/6</t>
        </is>
      </c>
      <c r="F40" s="14" t="inlineStr">
        <is>
          <t>0-3 anni</t>
        </is>
      </c>
      <c r="G40" s="14" t="inlineStr">
        <is>
          <t>Libro in simboli (CAA)</t>
        </is>
      </c>
      <c r="H40" s="14" t="inlineStr"/>
      <c r="I40" s="18" t="inlineStr">
        <is>
          <t>Sì</t>
        </is>
      </c>
      <c r="J40" s="14" t="inlineStr">
        <is>
          <t>Catalogo</t>
        </is>
      </c>
      <c r="K40" s="14" t="inlineStr">
        <is>
          <t>0-3 anni, CAA</t>
        </is>
      </c>
      <c r="L40" s="14" t="inlineStr">
        <is>
          <t>https://www.uovonero.com/libri</t>
        </is>
      </c>
      <c r="M40" s="19" t="n"/>
      <c r="N40" s="14" t="inlineStr"/>
      <c r="O40" s="16">
        <f>IF(ISNUMBER(M40),ROUND(M40*(1-Condizioni!$B$2),2),"")</f>
        <v/>
      </c>
      <c r="P40" s="17" t="inlineStr">
        <is>
          <t>Sì</t>
        </is>
      </c>
    </row>
    <row r="41">
      <c r="A41" s="14" t="inlineStr">
        <is>
          <t>Uovonero</t>
        </is>
      </c>
      <c r="B41" s="14" t="inlineStr">
        <is>
          <t>Lindo Porcello</t>
        </is>
      </c>
      <c r="C41" s="14" t="inlineStr">
        <is>
          <t>Eric Battut</t>
        </is>
      </c>
      <c r="D41" s="14" t="inlineStr">
        <is>
          <t>I libri di Camilla</t>
        </is>
      </c>
      <c r="E41" s="14" t="inlineStr">
        <is>
          <t>0/3</t>
        </is>
      </c>
      <c r="F41" s="14" t="inlineStr">
        <is>
          <t>0-3 anni</t>
        </is>
      </c>
      <c r="G41" s="14" t="inlineStr">
        <is>
          <t>Libro in simboli (CAA)</t>
        </is>
      </c>
      <c r="H41" s="14" t="inlineStr"/>
      <c r="I41" s="18" t="inlineStr">
        <is>
          <t>Sì</t>
        </is>
      </c>
      <c r="J41" s="14" t="inlineStr">
        <is>
          <t>Catalogo</t>
        </is>
      </c>
      <c r="K41" s="14" t="inlineStr">
        <is>
          <t>0-3 anni, CAA</t>
        </is>
      </c>
      <c r="L41" s="14" t="inlineStr">
        <is>
          <t>https://www.uovonero.com/libri</t>
        </is>
      </c>
      <c r="M41" s="19" t="n"/>
      <c r="N41" s="14" t="inlineStr"/>
      <c r="O41" s="16">
        <f>IF(ISNUMBER(M41),ROUND(M41*(1-Condizioni!$B$2),2),"")</f>
        <v/>
      </c>
      <c r="P41" s="17" t="inlineStr">
        <is>
          <t>Sì</t>
        </is>
      </c>
    </row>
    <row r="42">
      <c r="A42" s="14" t="inlineStr">
        <is>
          <t>Uovonero</t>
        </is>
      </c>
      <c r="B42" s="14" t="inlineStr">
        <is>
          <t>Ninna nanna per una pecorella</t>
        </is>
      </c>
      <c r="C42" s="14" t="inlineStr">
        <is>
          <t>E. Bellini, M. Caccia</t>
        </is>
      </c>
      <c r="D42" s="14" t="inlineStr">
        <is>
          <t>I libri di Camilla</t>
        </is>
      </c>
      <c r="E42" s="14" t="inlineStr">
        <is>
          <t>0/3, 3/6</t>
        </is>
      </c>
      <c r="F42" s="14" t="inlineStr">
        <is>
          <t>0-3 anni</t>
        </is>
      </c>
      <c r="G42" s="14" t="inlineStr">
        <is>
          <t>Libro in simboli (CAA)</t>
        </is>
      </c>
      <c r="H42" s="14" t="inlineStr"/>
      <c r="I42" s="18" t="inlineStr">
        <is>
          <t>Sì</t>
        </is>
      </c>
      <c r="J42" s="14" t="inlineStr">
        <is>
          <t>Catalogo</t>
        </is>
      </c>
      <c r="K42" s="14" t="inlineStr">
        <is>
          <t>0-3 anni, CAA</t>
        </is>
      </c>
      <c r="L42" s="14" t="inlineStr">
        <is>
          <t>https://www.uovonero.com/libri</t>
        </is>
      </c>
      <c r="M42" s="19" t="n"/>
      <c r="N42" s="14" t="inlineStr"/>
      <c r="O42" s="16">
        <f>IF(ISNUMBER(M42),ROUND(M42*(1-Condizioni!$B$2),2),"")</f>
        <v/>
      </c>
      <c r="P42" s="17" t="inlineStr">
        <is>
          <t>Sì</t>
        </is>
      </c>
    </row>
    <row r="43">
      <c r="A43" s="14" t="inlineStr">
        <is>
          <t>Uovonero</t>
        </is>
      </c>
      <c r="B43" s="14" t="inlineStr">
        <is>
          <t>Piccolo Uovo</t>
        </is>
      </c>
      <c r="C43" s="14" t="inlineStr">
        <is>
          <t>Francesca Pardi; ill. Altan</t>
        </is>
      </c>
      <c r="D43" s="14" t="inlineStr">
        <is>
          <t>I libri di Camilla</t>
        </is>
      </c>
      <c r="E43" s="14" t="inlineStr">
        <is>
          <t>0/3, 3/6</t>
        </is>
      </c>
      <c r="F43" s="14" t="inlineStr">
        <is>
          <t>0-3 anni</t>
        </is>
      </c>
      <c r="G43" s="14" t="inlineStr">
        <is>
          <t>Libro in simboli (CAA)</t>
        </is>
      </c>
      <c r="H43" s="14" t="inlineStr">
        <is>
          <t>Famiglie diverse (tema noto del libro, da verificare)</t>
        </is>
      </c>
      <c r="I43" s="18" t="inlineStr">
        <is>
          <t>Sì</t>
        </is>
      </c>
      <c r="J43" s="14" t="inlineStr">
        <is>
          <t>Catalogo</t>
        </is>
      </c>
      <c r="K43" s="14" t="inlineStr">
        <is>
          <t>0-3 anni, CAA</t>
        </is>
      </c>
      <c r="L43" s="14" t="inlineStr">
        <is>
          <t>https://www.uovonero.com/libri</t>
        </is>
      </c>
      <c r="M43" s="19" t="n"/>
      <c r="N43" s="14" t="inlineStr"/>
      <c r="O43" s="16">
        <f>IF(ISNUMBER(M43),ROUND(M43*(1-Condizioni!$B$2),2),"")</f>
        <v/>
      </c>
      <c r="P43" s="17" t="inlineStr">
        <is>
          <t>Sì</t>
        </is>
      </c>
    </row>
    <row r="44">
      <c r="A44" s="14" t="inlineStr">
        <is>
          <t>Uovonero</t>
        </is>
      </c>
      <c r="B44" s="14" t="inlineStr">
        <is>
          <t>Questo posso farlo</t>
        </is>
      </c>
      <c r="C44" s="14" t="inlineStr">
        <is>
          <t>Satoe Tone</t>
        </is>
      </c>
      <c r="D44" s="14" t="inlineStr">
        <is>
          <t>I libri di Camilla</t>
        </is>
      </c>
      <c r="E44" s="14" t="inlineStr">
        <is>
          <t>0/3, 3/6</t>
        </is>
      </c>
      <c r="F44" s="14" t="inlineStr">
        <is>
          <t>0-3 anni</t>
        </is>
      </c>
      <c r="G44" s="14" t="inlineStr">
        <is>
          <t>Libro in simboli (CAA)</t>
        </is>
      </c>
      <c r="H44" s="14" t="inlineStr">
        <is>
          <t>Disabilità</t>
        </is>
      </c>
      <c r="I44" s="18" t="inlineStr">
        <is>
          <t>Sì</t>
        </is>
      </c>
      <c r="J44" s="14" t="inlineStr">
        <is>
          <t>Catalogo</t>
        </is>
      </c>
      <c r="K44" s="14" t="inlineStr">
        <is>
          <t>0-3 anni, CAA</t>
        </is>
      </c>
      <c r="L44" s="14" t="inlineStr">
        <is>
          <t>https://www.uovonero.com/libri</t>
        </is>
      </c>
      <c r="M44" s="19" t="n"/>
      <c r="N44" s="14" t="inlineStr"/>
      <c r="O44" s="16">
        <f>IF(ISNUMBER(M44),ROUND(M44*(1-Condizioni!$B$2),2),"")</f>
        <v/>
      </c>
      <c r="P44" s="17" t="inlineStr">
        <is>
          <t>Sì</t>
        </is>
      </c>
    </row>
    <row r="45">
      <c r="A45" s="14" t="inlineStr">
        <is>
          <t>Uovonero</t>
        </is>
      </c>
      <c r="B45" s="14" t="inlineStr">
        <is>
          <t>Raperonzolo</t>
        </is>
      </c>
      <c r="C45" s="14" t="inlineStr">
        <is>
          <t>a cura di E. Crivelli; ill. A. Boffa</t>
        </is>
      </c>
      <c r="D45" s="14" t="inlineStr">
        <is>
          <t>Pesci parlanti</t>
        </is>
      </c>
      <c r="E45" s="14" t="inlineStr">
        <is>
          <t>0/3, 3/6</t>
        </is>
      </c>
      <c r="F45" s="14" t="inlineStr">
        <is>
          <t>0-3 anni</t>
        </is>
      </c>
      <c r="G45" s="14" t="inlineStr">
        <is>
          <t>Libro in simboli (CAA)</t>
        </is>
      </c>
      <c r="H45" s="14" t="inlineStr"/>
      <c r="I45" s="18" t="inlineStr">
        <is>
          <t>Sì</t>
        </is>
      </c>
      <c r="J45" s="14" t="inlineStr">
        <is>
          <t>Catalogo</t>
        </is>
      </c>
      <c r="K45" s="14" t="inlineStr">
        <is>
          <t>0-3 anni, CAA</t>
        </is>
      </c>
      <c r="L45" s="14" t="inlineStr">
        <is>
          <t>https://www.uovonero.com/libri</t>
        </is>
      </c>
      <c r="M45" s="19" t="n"/>
      <c r="N45" s="14" t="inlineStr"/>
      <c r="O45" s="16">
        <f>IF(ISNUMBER(M45),ROUND(M45*(1-Condizioni!$B$2),2),"")</f>
        <v/>
      </c>
      <c r="P45" s="17" t="inlineStr">
        <is>
          <t>Sì</t>
        </is>
      </c>
    </row>
    <row r="46">
      <c r="A46" s="14" t="inlineStr">
        <is>
          <t>Uovonero</t>
        </is>
      </c>
      <c r="B46" s="14" t="inlineStr">
        <is>
          <t>Una scatola gialla</t>
        </is>
      </c>
      <c r="C46" s="14" t="inlineStr">
        <is>
          <t>Pieter Gaudesaboos</t>
        </is>
      </c>
      <c r="D46" s="14" t="inlineStr">
        <is>
          <t>I libri di Camilla</t>
        </is>
      </c>
      <c r="E46" s="14" t="inlineStr">
        <is>
          <t>0/3, 3/6</t>
        </is>
      </c>
      <c r="F46" s="14" t="inlineStr">
        <is>
          <t>0-3 anni</t>
        </is>
      </c>
      <c r="G46" s="14" t="inlineStr">
        <is>
          <t>Libro in simboli (CAA)</t>
        </is>
      </c>
      <c r="H46" s="14" t="inlineStr"/>
      <c r="I46" s="18" t="inlineStr">
        <is>
          <t>Sì</t>
        </is>
      </c>
      <c r="J46" s="14" t="inlineStr">
        <is>
          <t>Catalogo</t>
        </is>
      </c>
      <c r="K46" s="14" t="inlineStr">
        <is>
          <t>0-3 anni, CAA</t>
        </is>
      </c>
      <c r="L46" s="14" t="inlineStr">
        <is>
          <t>https://www.uovonero.com/libri</t>
        </is>
      </c>
      <c r="M46" s="19" t="n"/>
      <c r="N46" s="14" t="inlineStr"/>
      <c r="O46" s="16">
        <f>IF(ISNUMBER(M46),ROUND(M46*(1-Condizioni!$B$2),2),"")</f>
        <v/>
      </c>
      <c r="P46" s="17" t="inlineStr">
        <is>
          <t>Sì</t>
        </is>
      </c>
    </row>
    <row r="47">
      <c r="A47" s="14" t="inlineStr">
        <is>
          <t>Uovonero</t>
        </is>
      </c>
      <c r="B47" s="14" t="inlineStr">
        <is>
          <t>Ad abbracciar nessuno</t>
        </is>
      </c>
      <c r="C47" s="14" t="inlineStr">
        <is>
          <t>Arianna Papini</t>
        </is>
      </c>
      <c r="D47" s="14" t="inlineStr">
        <is>
          <t>I Geodi</t>
        </is>
      </c>
      <c r="E47" s="14" t="inlineStr">
        <is>
          <t>3/6</t>
        </is>
      </c>
      <c r="F47" s="14" t="inlineStr">
        <is>
          <t>3-6 anni</t>
        </is>
      </c>
      <c r="G47" s="14" t="inlineStr">
        <is>
          <t>Albo illustrato</t>
        </is>
      </c>
      <c r="H47" s="14" t="inlineStr">
        <is>
          <t>Autismo</t>
        </is>
      </c>
      <c r="I47" s="14" t="inlineStr">
        <is>
          <t>No</t>
        </is>
      </c>
      <c r="J47" s="14" t="inlineStr">
        <is>
          <t>Catalogo</t>
        </is>
      </c>
      <c r="K47" s="14" t="inlineStr">
        <is>
          <t>3-6 anni</t>
        </is>
      </c>
      <c r="L47" s="14" t="inlineStr">
        <is>
          <t>https://www.uovonero.com/libri</t>
        </is>
      </c>
      <c r="M47" s="16" t="n">
        <v>16</v>
      </c>
      <c r="N47" s="14" t="inlineStr">
        <is>
          <t>Catalogo Uovonero per librai</t>
        </is>
      </c>
      <c r="O47" s="16">
        <f>IF(ISNUMBER(M47),ROUND(M47*(1-Condizioni!$B$2),2),"")</f>
        <v/>
      </c>
      <c r="P47" s="17" t="inlineStr">
        <is>
          <t>Sì</t>
        </is>
      </c>
    </row>
    <row r="48">
      <c r="A48" s="14" t="inlineStr">
        <is>
          <t>Uovonero</t>
        </is>
      </c>
      <c r="B48" s="14" t="inlineStr">
        <is>
          <t>Che bambino fortunato!</t>
        </is>
      </c>
      <c r="C48" s="14" t="inlineStr">
        <is>
          <t>L. Schimel, J. C. Mayorga</t>
        </is>
      </c>
      <c r="D48" s="14" t="inlineStr">
        <is>
          <t>I Geodi</t>
        </is>
      </c>
      <c r="E48" s="14" t="inlineStr">
        <is>
          <t>3/6, 6/9</t>
        </is>
      </c>
      <c r="F48" s="14" t="inlineStr">
        <is>
          <t>3-6 anni</t>
        </is>
      </c>
      <c r="G48" s="14" t="inlineStr">
        <is>
          <t>Albo illustrato</t>
        </is>
      </c>
      <c r="H48" s="14" t="inlineStr">
        <is>
          <t>Cecità / valore della differenza</t>
        </is>
      </c>
      <c r="I48" s="14" t="inlineStr">
        <is>
          <t>No</t>
        </is>
      </c>
      <c r="J48" s="14" t="inlineStr">
        <is>
          <t>Catalogo</t>
        </is>
      </c>
      <c r="K48" s="14" t="inlineStr">
        <is>
          <t>3-6 anni</t>
        </is>
      </c>
      <c r="L48" s="14" t="inlineStr">
        <is>
          <t>https://www.uovonero.com/libri</t>
        </is>
      </c>
      <c r="M48" s="16" t="n">
        <v>14.5</v>
      </c>
      <c r="N48" s="14" t="inlineStr">
        <is>
          <t>Catalogo Uovonero per librai</t>
        </is>
      </c>
      <c r="O48" s="16">
        <f>IF(ISNUMBER(M48),ROUND(M48*(1-Condizioni!$B$2),2),"")</f>
        <v/>
      </c>
      <c r="P48" s="17" t="inlineStr">
        <is>
          <t>Sì</t>
        </is>
      </c>
    </row>
    <row r="49">
      <c r="A49" s="14" t="inlineStr">
        <is>
          <t>Uovonero</t>
        </is>
      </c>
      <c r="B49" s="14" t="inlineStr">
        <is>
          <t>Che cos'è una sindrome?</t>
        </is>
      </c>
      <c r="C49" s="14" t="inlineStr">
        <is>
          <t>Giovanni Colaneri</t>
        </is>
      </c>
      <c r="D49" s="14" t="inlineStr">
        <is>
          <t>I Geodi</t>
        </is>
      </c>
      <c r="E49" s="14" t="inlineStr">
        <is>
          <t>3/6, 6/9</t>
        </is>
      </c>
      <c r="F49" s="14" t="inlineStr">
        <is>
          <t>3-6 anni</t>
        </is>
      </c>
      <c r="G49" s="14" t="inlineStr">
        <is>
          <t>Albo illustrato</t>
        </is>
      </c>
      <c r="H49" s="14" t="inlineStr">
        <is>
          <t>Disabilità</t>
        </is>
      </c>
      <c r="I49" s="14" t="inlineStr">
        <is>
          <t>No</t>
        </is>
      </c>
      <c r="J49" s="14" t="inlineStr">
        <is>
          <t>Catalogo</t>
        </is>
      </c>
      <c r="K49" s="14" t="inlineStr">
        <is>
          <t>3-6 anni</t>
        </is>
      </c>
      <c r="L49" s="14" t="inlineStr">
        <is>
          <t>https://www.uovonero.com/libri</t>
        </is>
      </c>
      <c r="M49" s="16" t="n">
        <v>18</v>
      </c>
      <c r="N49" s="14" t="inlineStr">
        <is>
          <t>Catalogo Uovonero per librai</t>
        </is>
      </c>
      <c r="O49" s="16">
        <f>IF(ISNUMBER(M49),ROUND(M49*(1-Condizioni!$B$2),2),"")</f>
        <v/>
      </c>
      <c r="P49" s="17" t="inlineStr">
        <is>
          <t>Sì</t>
        </is>
      </c>
    </row>
    <row r="50">
      <c r="A50" s="14" t="inlineStr">
        <is>
          <t>Uovonero</t>
        </is>
      </c>
      <c r="B50" s="14" t="inlineStr">
        <is>
          <t>Dove sei, piccolo Giulio?</t>
        </is>
      </c>
      <c r="C50" s="14" t="inlineStr">
        <is>
          <t>Giovanni Colaneri</t>
        </is>
      </c>
      <c r="D50" s="14" t="inlineStr">
        <is>
          <t>I Geodi</t>
        </is>
      </c>
      <c r="E50" s="14" t="inlineStr">
        <is>
          <t>3/6, 6/9</t>
        </is>
      </c>
      <c r="F50" s="14" t="inlineStr">
        <is>
          <t>3-6 anni</t>
        </is>
      </c>
      <c r="G50" s="14" t="inlineStr">
        <is>
          <t>Albo illustrato</t>
        </is>
      </c>
      <c r="H50" s="14" t="inlineStr">
        <is>
          <t>Autismo</t>
        </is>
      </c>
      <c r="I50" s="14" t="inlineStr">
        <is>
          <t>No</t>
        </is>
      </c>
      <c r="J50" s="14" t="inlineStr">
        <is>
          <t>Catalogo</t>
        </is>
      </c>
      <c r="K50" s="14" t="inlineStr">
        <is>
          <t>3-6 anni</t>
        </is>
      </c>
      <c r="L50" s="14" t="inlineStr">
        <is>
          <t>https://www.uovonero.com/libri</t>
        </is>
      </c>
      <c r="M50" s="16" t="n">
        <v>18</v>
      </c>
      <c r="N50" s="14" t="inlineStr">
        <is>
          <t>Catalogo Uovonero per librai</t>
        </is>
      </c>
      <c r="O50" s="16">
        <f>IF(ISNUMBER(M50),ROUND(M50*(1-Condizioni!$B$2),2),"")</f>
        <v/>
      </c>
      <c r="P50" s="17" t="inlineStr">
        <is>
          <t>Sì</t>
        </is>
      </c>
    </row>
    <row r="51">
      <c r="A51" s="14" t="inlineStr">
        <is>
          <t>Uovonero</t>
        </is>
      </c>
      <c r="B51" s="14" t="inlineStr">
        <is>
          <t>I vestiti nuovi dell'imperatore</t>
        </is>
      </c>
      <c r="C51" s="14" t="inlineStr">
        <is>
          <t>a cura di E. Crivelli; ill. N. Corfini</t>
        </is>
      </c>
      <c r="D51" s="14" t="inlineStr">
        <is>
          <t>Pesci parlanti</t>
        </is>
      </c>
      <c r="E51" s="14" t="inlineStr">
        <is>
          <t>3/6</t>
        </is>
      </c>
      <c r="F51" s="14" t="inlineStr">
        <is>
          <t>3-6 anni</t>
        </is>
      </c>
      <c r="G51" s="14" t="inlineStr">
        <is>
          <t>Libro in simboli (CAA)</t>
        </is>
      </c>
      <c r="H51" s="14" t="inlineStr"/>
      <c r="I51" s="18" t="inlineStr">
        <is>
          <t>Sì</t>
        </is>
      </c>
      <c r="J51" s="14" t="inlineStr">
        <is>
          <t>Catalogo</t>
        </is>
      </c>
      <c r="K51" s="14" t="inlineStr">
        <is>
          <t>3-6 anni, CAA</t>
        </is>
      </c>
      <c r="L51" s="14" t="inlineStr">
        <is>
          <t>https://www.uovonero.com/libri</t>
        </is>
      </c>
      <c r="M51" s="19" t="n"/>
      <c r="N51" s="14" t="inlineStr"/>
      <c r="O51" s="16">
        <f>IF(ISNUMBER(M51),ROUND(M51*(1-Condizioni!$B$2),2),"")</f>
        <v/>
      </c>
      <c r="P51" s="17" t="inlineStr">
        <is>
          <t>Sì</t>
        </is>
      </c>
    </row>
    <row r="52">
      <c r="A52" s="14" t="inlineStr">
        <is>
          <t>Uovonero</t>
        </is>
      </c>
      <c r="B52" s="14" t="inlineStr">
        <is>
          <t>Il mondo è rosso</t>
        </is>
      </c>
      <c r="C52" s="14" t="inlineStr">
        <is>
          <t>Britta Teckentrup</t>
        </is>
      </c>
      <c r="D52" s="14" t="inlineStr">
        <is>
          <t>I Geodi</t>
        </is>
      </c>
      <c r="E52" s="14" t="inlineStr">
        <is>
          <t>3/6, 6/9</t>
        </is>
      </c>
      <c r="F52" s="14" t="inlineStr">
        <is>
          <t>3-6 anni</t>
        </is>
      </c>
      <c r="G52" s="14" t="inlineStr">
        <is>
          <t>Albo illustrato</t>
        </is>
      </c>
      <c r="H52" s="14" t="inlineStr">
        <is>
          <t>Emozioni (rabbia)</t>
        </is>
      </c>
      <c r="I52" s="14" t="inlineStr">
        <is>
          <t>No</t>
        </is>
      </c>
      <c r="J52" s="14" t="inlineStr">
        <is>
          <t>Catalogo</t>
        </is>
      </c>
      <c r="K52" s="14" t="inlineStr">
        <is>
          <t>3-6 anni</t>
        </is>
      </c>
      <c r="L52" s="14" t="inlineStr">
        <is>
          <t>https://www.uovonero.com/libri</t>
        </is>
      </c>
      <c r="M52" s="16" t="n">
        <v>18</v>
      </c>
      <c r="N52" s="14" t="inlineStr">
        <is>
          <t>Catalogo Uovonero per librai</t>
        </is>
      </c>
      <c r="O52" s="16">
        <f>IF(ISNUMBER(M52),ROUND(M52*(1-Condizioni!$B$2),2),"")</f>
        <v/>
      </c>
      <c r="P52" s="17" t="inlineStr">
        <is>
          <t>Sì</t>
        </is>
      </c>
    </row>
    <row r="53">
      <c r="A53" s="14" t="inlineStr">
        <is>
          <t>Uovonero</t>
        </is>
      </c>
      <c r="B53" s="14" t="inlineStr">
        <is>
          <t>In cielo, ma dove?</t>
        </is>
      </c>
      <c r="C53" s="14" t="inlineStr">
        <is>
          <t>A. Ossorio, A. Ferrara</t>
        </is>
      </c>
      <c r="D53" s="14" t="inlineStr">
        <is>
          <t>I Geodi</t>
        </is>
      </c>
      <c r="E53" s="14" t="inlineStr">
        <is>
          <t>3/6, 6/9</t>
        </is>
      </c>
      <c r="F53" s="14" t="inlineStr">
        <is>
          <t>3-6 anni</t>
        </is>
      </c>
      <c r="G53" s="14" t="inlineStr">
        <is>
          <t>Albo illustrato</t>
        </is>
      </c>
      <c r="H53" s="14" t="inlineStr">
        <is>
          <t>Lutto</t>
        </is>
      </c>
      <c r="I53" s="14" t="inlineStr">
        <is>
          <t>No</t>
        </is>
      </c>
      <c r="J53" s="14" t="inlineStr">
        <is>
          <t>Catalogo</t>
        </is>
      </c>
      <c r="K53" s="14" t="inlineStr">
        <is>
          <t>3-6 anni</t>
        </is>
      </c>
      <c r="L53" s="14" t="inlineStr">
        <is>
          <t>https://www.uovonero.com/libri</t>
        </is>
      </c>
      <c r="M53" s="16" t="n">
        <v>16</v>
      </c>
      <c r="N53" s="14" t="inlineStr">
        <is>
          <t>Catalogo Uovonero per librai</t>
        </is>
      </c>
      <c r="O53" s="16">
        <f>IF(ISNUMBER(M53),ROUND(M53*(1-Condizioni!$B$2),2),"")</f>
        <v/>
      </c>
      <c r="P53" s="17" t="inlineStr">
        <is>
          <t>Sì</t>
        </is>
      </c>
    </row>
    <row r="54">
      <c r="A54" s="14" t="inlineStr">
        <is>
          <t>Uovonero</t>
        </is>
      </c>
      <c r="B54" s="14" t="inlineStr">
        <is>
          <t>La bambina che andava a pile</t>
        </is>
      </c>
      <c r="C54" s="14" t="inlineStr">
        <is>
          <t>Monica Taini</t>
        </is>
      </c>
      <c r="D54" s="14" t="inlineStr">
        <is>
          <t>I Geodi</t>
        </is>
      </c>
      <c r="E54" s="14" t="inlineStr">
        <is>
          <t>3/6, 6/9</t>
        </is>
      </c>
      <c r="F54" s="14" t="inlineStr">
        <is>
          <t>3-6 anni</t>
        </is>
      </c>
      <c r="G54" s="14" t="inlineStr">
        <is>
          <t>Albo illustrato</t>
        </is>
      </c>
      <c r="H54" s="14" t="inlineStr">
        <is>
          <t>Disabilità / identità</t>
        </is>
      </c>
      <c r="I54" s="14" t="inlineStr">
        <is>
          <t>No</t>
        </is>
      </c>
      <c r="J54" s="14" t="inlineStr">
        <is>
          <t>Catalogo</t>
        </is>
      </c>
      <c r="K54" s="14" t="inlineStr">
        <is>
          <t>3-6 anni</t>
        </is>
      </c>
      <c r="L54" s="14" t="inlineStr">
        <is>
          <t>https://www.uovonero.com/libri</t>
        </is>
      </c>
      <c r="M54" s="16" t="n">
        <v>13.5</v>
      </c>
      <c r="N54" s="14" t="inlineStr">
        <is>
          <t>Catalogo Uovonero per librai</t>
        </is>
      </c>
      <c r="O54" s="16">
        <f>IF(ISNUMBER(M54),ROUND(M54*(1-Condizioni!$B$2),2),"")</f>
        <v/>
      </c>
      <c r="P54" s="17" t="inlineStr">
        <is>
          <t>Sì</t>
        </is>
      </c>
    </row>
    <row r="55">
      <c r="A55" s="14" t="inlineStr">
        <is>
          <t>Uovonero</t>
        </is>
      </c>
      <c r="B55" s="14" t="inlineStr">
        <is>
          <t>La distanza dei pesci</t>
        </is>
      </c>
      <c r="C55" s="14" t="inlineStr">
        <is>
          <t>C. Lorenzoni, G. Conoscenti</t>
        </is>
      </c>
      <c r="D55" s="14" t="inlineStr">
        <is>
          <t>I Geodi</t>
        </is>
      </c>
      <c r="E55" s="14" t="inlineStr">
        <is>
          <t>3/6, 6/9</t>
        </is>
      </c>
      <c r="F55" s="14" t="inlineStr">
        <is>
          <t>3-6 anni</t>
        </is>
      </c>
      <c r="G55" s="14" t="inlineStr">
        <is>
          <t>Albo illustrato</t>
        </is>
      </c>
      <c r="H55" s="14" t="inlineStr">
        <is>
          <t>Autismo</t>
        </is>
      </c>
      <c r="I55" s="14" t="inlineStr">
        <is>
          <t>No</t>
        </is>
      </c>
      <c r="J55" s="14" t="inlineStr">
        <is>
          <t>Catalogo</t>
        </is>
      </c>
      <c r="K55" s="14" t="inlineStr">
        <is>
          <t>3-6 anni</t>
        </is>
      </c>
      <c r="L55" s="14" t="inlineStr">
        <is>
          <t>https://www.uovonero.com/libri</t>
        </is>
      </c>
      <c r="M55" s="16" t="n">
        <v>16</v>
      </c>
      <c r="N55" s="14" t="inlineStr">
        <is>
          <t>Catalogo Uovonero per librai</t>
        </is>
      </c>
      <c r="O55" s="16">
        <f>IF(ISNUMBER(M55),ROUND(M55*(1-Condizioni!$B$2),2),"")</f>
        <v/>
      </c>
      <c r="P55" s="17" t="inlineStr">
        <is>
          <t>Sì</t>
        </is>
      </c>
    </row>
    <row r="56">
      <c r="A56" s="14" t="inlineStr">
        <is>
          <t>Uovonero</t>
        </is>
      </c>
      <c r="B56" s="14" t="inlineStr">
        <is>
          <t>Le parole di Bianca sono farfalle</t>
        </is>
      </c>
      <c r="C56" s="14" t="inlineStr">
        <is>
          <t>Chiara Lorenzoni; ill. Sophie Fatus</t>
        </is>
      </c>
      <c r="D56" s="14" t="inlineStr">
        <is>
          <t>I libri di Camilla</t>
        </is>
      </c>
      <c r="E56" s="14" t="inlineStr">
        <is>
          <t>3/6, 6/9</t>
        </is>
      </c>
      <c r="F56" s="14" t="inlineStr">
        <is>
          <t>3-6 anni</t>
        </is>
      </c>
      <c r="G56" s="14" t="inlineStr">
        <is>
          <t>Libro in simboli (CAA)</t>
        </is>
      </c>
      <c r="H56" s="14" t="inlineStr">
        <is>
          <t>Disabilità / comunicazione</t>
        </is>
      </c>
      <c r="I56" s="18" t="inlineStr">
        <is>
          <t>Sì</t>
        </is>
      </c>
      <c r="J56" s="14" t="inlineStr">
        <is>
          <t>Catalogo</t>
        </is>
      </c>
      <c r="K56" s="14" t="inlineStr">
        <is>
          <t>3-6 anni, CAA</t>
        </is>
      </c>
      <c r="L56" s="14" t="inlineStr">
        <is>
          <t>https://www.uovonero.com/libri</t>
        </is>
      </c>
      <c r="M56" s="19" t="n"/>
      <c r="N56" s="14" t="inlineStr"/>
      <c r="O56" s="16">
        <f>IF(ISNUMBER(M56),ROUND(M56*(1-Condizioni!$B$2),2),"")</f>
        <v/>
      </c>
      <c r="P56" s="17" t="inlineStr">
        <is>
          <t>Sì</t>
        </is>
      </c>
    </row>
    <row r="57">
      <c r="A57" s="14" t="inlineStr">
        <is>
          <t>Uovonero</t>
        </is>
      </c>
      <c r="B57" s="14" t="inlineStr">
        <is>
          <t>Ti cerco</t>
        </is>
      </c>
      <c r="C57" s="14" t="inlineStr">
        <is>
          <t>Britta Teckentrup</t>
        </is>
      </c>
      <c r="D57" s="14" t="inlineStr">
        <is>
          <t>I Geodi</t>
        </is>
      </c>
      <c r="E57" s="14" t="inlineStr">
        <is>
          <t>3/6</t>
        </is>
      </c>
      <c r="F57" s="14" t="inlineStr">
        <is>
          <t>3-6 anni</t>
        </is>
      </c>
      <c r="G57" s="14" t="inlineStr">
        <is>
          <t>Albo illustrato</t>
        </is>
      </c>
      <c r="H57" s="14" t="inlineStr">
        <is>
          <t>Emozioni</t>
        </is>
      </c>
      <c r="I57" s="14" t="inlineStr">
        <is>
          <t>No</t>
        </is>
      </c>
      <c r="J57" s="14" t="inlineStr">
        <is>
          <t>Catalogo</t>
        </is>
      </c>
      <c r="K57" s="14" t="inlineStr">
        <is>
          <t>3-6 anni</t>
        </is>
      </c>
      <c r="L57" s="14" t="inlineStr">
        <is>
          <t>https://www.uovonero.com/libri</t>
        </is>
      </c>
      <c r="M57" s="19" t="n"/>
      <c r="N57" s="14" t="inlineStr"/>
      <c r="O57" s="16">
        <f>IF(ISNUMBER(M57),ROUND(M57*(1-Condizioni!$B$2),2),"")</f>
        <v/>
      </c>
      <c r="P57" s="17" t="inlineStr">
        <is>
          <t>Sì</t>
        </is>
      </c>
    </row>
    <row r="58">
      <c r="A58" s="14" t="inlineStr">
        <is>
          <t>Uovonero</t>
        </is>
      </c>
      <c r="B58" s="14" t="inlineStr">
        <is>
          <t>Una canzone</t>
        </is>
      </c>
      <c r="C58" s="14" t="inlineStr">
        <is>
          <t>E. Vincenzi, I. Braiotta</t>
        </is>
      </c>
      <c r="D58" s="14" t="inlineStr">
        <is>
          <t>I Geodi</t>
        </is>
      </c>
      <c r="E58" s="14" t="inlineStr">
        <is>
          <t>3/6, 6/9</t>
        </is>
      </c>
      <c r="F58" s="14" t="inlineStr">
        <is>
          <t>3-6 anni</t>
        </is>
      </c>
      <c r="G58" s="14" t="inlineStr">
        <is>
          <t>Albo illustrato</t>
        </is>
      </c>
      <c r="H58" s="14" t="inlineStr">
        <is>
          <t>Malattia (Alzheimer) e nonni</t>
        </is>
      </c>
      <c r="I58" s="14" t="inlineStr">
        <is>
          <t>No</t>
        </is>
      </c>
      <c r="J58" s="14" t="inlineStr">
        <is>
          <t>Catalogo</t>
        </is>
      </c>
      <c r="K58" s="14" t="inlineStr">
        <is>
          <t>3-6 anni</t>
        </is>
      </c>
      <c r="L58" s="14" t="inlineStr">
        <is>
          <t>https://www.uovonero.com/libri</t>
        </is>
      </c>
      <c r="M58" s="16" t="n">
        <v>16</v>
      </c>
      <c r="N58" s="14" t="inlineStr">
        <is>
          <t>Catalogo Uovonero per librai</t>
        </is>
      </c>
      <c r="O58" s="16">
        <f>IF(ISNUMBER(M58),ROUND(M58*(1-Condizioni!$B$2),2),"")</f>
        <v/>
      </c>
      <c r="P58" s="17" t="inlineStr">
        <is>
          <t>Sì</t>
        </is>
      </c>
    </row>
    <row r="59">
      <c r="A59" s="14" t="inlineStr">
        <is>
          <t>Uovonero</t>
        </is>
      </c>
      <c r="B59" s="14" t="inlineStr">
        <is>
          <t>L'orco del piano di sotto</t>
        </is>
      </c>
      <c r="C59" s="14" t="inlineStr">
        <is>
          <t>Olivier Dupin; ill. Barroux</t>
        </is>
      </c>
      <c r="D59" s="14" t="inlineStr">
        <is>
          <t>I Geodi</t>
        </is>
      </c>
      <c r="E59" s="14" t="inlineStr">
        <is>
          <t>6/9</t>
        </is>
      </c>
      <c r="F59" s="14" t="inlineStr">
        <is>
          <t>Prime letture (6-8)</t>
        </is>
      </c>
      <c r="G59" s="14" t="inlineStr">
        <is>
          <t>Albo illustrato</t>
        </is>
      </c>
      <c r="H59" s="14" t="inlineStr">
        <is>
          <t>Memoria della Shoah / Giusti</t>
        </is>
      </c>
      <c r="I59" s="14" t="inlineStr">
        <is>
          <t>No</t>
        </is>
      </c>
      <c r="J59" s="14" t="inlineStr">
        <is>
          <t>Catalogo</t>
        </is>
      </c>
      <c r="K59" s="14" t="inlineStr">
        <is>
          <t>prime letture</t>
        </is>
      </c>
      <c r="L59" s="14" t="inlineStr">
        <is>
          <t>https://www.uovonero.com/libri</t>
        </is>
      </c>
      <c r="M59" s="16" t="n">
        <v>18.5</v>
      </c>
      <c r="N59" s="14" t="inlineStr">
        <is>
          <t>Catalogo Uovonero per librai</t>
        </is>
      </c>
      <c r="O59" s="16">
        <f>IF(ISNUMBER(M59),ROUND(M59*(1-Condizioni!$B$2),2),"")</f>
        <v/>
      </c>
      <c r="P59" s="17" t="inlineStr">
        <is>
          <t>Sì</t>
        </is>
      </c>
    </row>
    <row r="60">
      <c r="A60" s="14" t="inlineStr">
        <is>
          <t>Uovonero</t>
        </is>
      </c>
      <c r="B60" s="14" t="inlineStr">
        <is>
          <t>La chitarra di Django</t>
        </is>
      </c>
      <c r="C60" s="14" t="inlineStr">
        <is>
          <t>Fabrizio Silei, Alfred</t>
        </is>
      </c>
      <c r="D60" s="14" t="inlineStr">
        <is>
          <t>I Geodi</t>
        </is>
      </c>
      <c r="E60" s="14" t="inlineStr">
        <is>
          <t>6/9</t>
        </is>
      </c>
      <c r="F60" s="14" t="inlineStr">
        <is>
          <t>Prime letture (6-8)</t>
        </is>
      </c>
      <c r="G60" s="14" t="inlineStr">
        <is>
          <t>Albo illustrato</t>
        </is>
      </c>
      <c r="H60" s="14" t="inlineStr">
        <is>
          <t>Disabilità (Django Reinhardt)</t>
        </is>
      </c>
      <c r="I60" s="14" t="inlineStr">
        <is>
          <t>No</t>
        </is>
      </c>
      <c r="J60" s="14" t="inlineStr">
        <is>
          <t>Catalogo</t>
        </is>
      </c>
      <c r="K60" s="14" t="inlineStr">
        <is>
          <t>prime letture</t>
        </is>
      </c>
      <c r="L60" s="14" t="inlineStr">
        <is>
          <t>https://www.uovonero.com/libri</t>
        </is>
      </c>
      <c r="M60" s="16" t="n">
        <v>16</v>
      </c>
      <c r="N60" s="14" t="inlineStr">
        <is>
          <t>Catalogo Uovonero per librai</t>
        </is>
      </c>
      <c r="O60" s="16">
        <f>IF(ISNUMBER(M60),ROUND(M60*(1-Condizioni!$B$2),2),"")</f>
        <v/>
      </c>
      <c r="P60" s="17" t="inlineStr">
        <is>
          <t>Sì</t>
        </is>
      </c>
    </row>
    <row r="61">
      <c r="A61" s="14" t="inlineStr">
        <is>
          <t>Uovonero</t>
        </is>
      </c>
      <c r="B61" s="14" t="inlineStr">
        <is>
          <t>La scuola</t>
        </is>
      </c>
      <c r="C61" s="14" t="inlineStr">
        <is>
          <t>Britta Teckentrup</t>
        </is>
      </c>
      <c r="D61" s="14" t="inlineStr">
        <is>
          <t>I Geodi</t>
        </is>
      </c>
      <c r="E61" s="14" t="inlineStr">
        <is>
          <t>6/9, 9/12</t>
        </is>
      </c>
      <c r="F61" s="14" t="inlineStr">
        <is>
          <t>Prime letture (6-8)</t>
        </is>
      </c>
      <c r="G61" s="14" t="inlineStr">
        <is>
          <t>Albo illustrato</t>
        </is>
      </c>
      <c r="H61" s="14" t="inlineStr">
        <is>
          <t>Comunità scolastica</t>
        </is>
      </c>
      <c r="I61" s="14" t="inlineStr">
        <is>
          <t>No</t>
        </is>
      </c>
      <c r="J61" s="14" t="inlineStr">
        <is>
          <t>Catalogo</t>
        </is>
      </c>
      <c r="K61" s="14" t="inlineStr">
        <is>
          <t>prime letture</t>
        </is>
      </c>
      <c r="L61" s="14" t="inlineStr">
        <is>
          <t>https://www.uovonero.com/libri</t>
        </is>
      </c>
      <c r="M61" s="16" t="n">
        <v>20</v>
      </c>
      <c r="N61" s="14" t="inlineStr">
        <is>
          <t>Catalogo Uovonero per librai</t>
        </is>
      </c>
      <c r="O61" s="16">
        <f>IF(ISNUMBER(M61),ROUND(M61*(1-Condizioni!$B$2),2),"")</f>
        <v/>
      </c>
      <c r="P61" s="17" t="inlineStr">
        <is>
          <t>Sì</t>
        </is>
      </c>
    </row>
    <row r="62">
      <c r="A62" s="14" t="inlineStr">
        <is>
          <t>Uovonero</t>
        </is>
      </c>
      <c r="B62" s="14" t="inlineStr">
        <is>
          <t>La vecchia casa sul canale</t>
        </is>
      </c>
      <c r="C62" s="14" t="inlineStr">
        <is>
          <t>Britta Teckentrup</t>
        </is>
      </c>
      <c r="D62" s="14" t="inlineStr">
        <is>
          <t>I Geodi</t>
        </is>
      </c>
      <c r="E62" s="14" t="inlineStr">
        <is>
          <t>6/9, 9/12</t>
        </is>
      </c>
      <c r="F62" s="14" t="inlineStr">
        <is>
          <t>Prime letture (6-8)</t>
        </is>
      </c>
      <c r="G62" s="14" t="inlineStr">
        <is>
          <t>Albo illustrato</t>
        </is>
      </c>
      <c r="H62" s="14" t="inlineStr">
        <is>
          <t>Memoria (la casa di Anne Frank)</t>
        </is>
      </c>
      <c r="I62" s="14" t="inlineStr">
        <is>
          <t>No</t>
        </is>
      </c>
      <c r="J62" s="14" t="inlineStr">
        <is>
          <t>Catalogo</t>
        </is>
      </c>
      <c r="K62" s="14" t="inlineStr">
        <is>
          <t>prime letture</t>
        </is>
      </c>
      <c r="L62" s="14" t="inlineStr">
        <is>
          <t>https://www.uovonero.com/libri</t>
        </is>
      </c>
      <c r="M62" s="16" t="n">
        <v>20</v>
      </c>
      <c r="N62" s="14" t="inlineStr">
        <is>
          <t>Catalogo Uovonero per librai</t>
        </is>
      </c>
      <c r="O62" s="16">
        <f>IF(ISNUMBER(M62),ROUND(M62*(1-Condizioni!$B$2),2),"")</f>
        <v/>
      </c>
      <c r="P62" s="17" t="inlineStr">
        <is>
          <t>Sì</t>
        </is>
      </c>
    </row>
    <row r="63">
      <c r="A63" s="14" t="inlineStr">
        <is>
          <t>Uovonero</t>
        </is>
      </c>
      <c r="B63" s="14" t="inlineStr">
        <is>
          <t>Lilo</t>
        </is>
      </c>
      <c r="C63" s="14" t="inlineStr">
        <is>
          <t>Inés Garland; ill. Maite Mutuberria</t>
        </is>
      </c>
      <c r="D63" s="14" t="inlineStr">
        <is>
          <t>I Geodi</t>
        </is>
      </c>
      <c r="E63" s="14" t="inlineStr">
        <is>
          <t>6/9, 9/12</t>
        </is>
      </c>
      <c r="F63" s="14" t="inlineStr">
        <is>
          <t>Prime letture (6-8)</t>
        </is>
      </c>
      <c r="G63" s="14" t="inlineStr">
        <is>
          <t>Narrativa</t>
        </is>
      </c>
      <c r="H63" s="14" t="inlineStr">
        <is>
          <t>Dipendenza dallo smartphone</t>
        </is>
      </c>
      <c r="I63" s="14" t="inlineStr">
        <is>
          <t>No</t>
        </is>
      </c>
      <c r="J63" s="14" t="inlineStr">
        <is>
          <t>Catalogo</t>
        </is>
      </c>
      <c r="K63" s="14" t="inlineStr">
        <is>
          <t>prime letture, narrativa</t>
        </is>
      </c>
      <c r="L63" s="14" t="inlineStr">
        <is>
          <t>https://www.uovonero.com/libri</t>
        </is>
      </c>
      <c r="M63" s="19" t="n"/>
      <c r="N63" s="14" t="inlineStr"/>
      <c r="O63" s="16">
        <f>IF(ISNUMBER(M63),ROUND(M63*(1-Condizioni!$B$2),2),"")</f>
        <v/>
      </c>
      <c r="P63" s="17" t="inlineStr">
        <is>
          <t>Sì</t>
        </is>
      </c>
    </row>
    <row r="64">
      <c r="A64" s="14" t="inlineStr">
        <is>
          <t>Uovonero</t>
        </is>
      </c>
      <c r="B64" s="14" t="inlineStr">
        <is>
          <t>Rumple Buttercup</t>
        </is>
      </c>
      <c r="C64" s="14" t="inlineStr">
        <is>
          <t>Matthew Gray Gubler</t>
        </is>
      </c>
      <c r="D64" s="14" t="inlineStr">
        <is>
          <t>I Geodi</t>
        </is>
      </c>
      <c r="E64" s="14" t="inlineStr">
        <is>
          <t>6/9</t>
        </is>
      </c>
      <c r="F64" s="14" t="inlineStr">
        <is>
          <t>Prime letture (6-8)</t>
        </is>
      </c>
      <c r="G64" s="14" t="inlineStr">
        <is>
          <t>Albo illustrato</t>
        </is>
      </c>
      <c r="H64" s="14" t="inlineStr">
        <is>
          <t>Unicità e amicizia</t>
        </is>
      </c>
      <c r="I64" s="14" t="inlineStr">
        <is>
          <t>No</t>
        </is>
      </c>
      <c r="J64" s="14" t="inlineStr">
        <is>
          <t>Catalogo</t>
        </is>
      </c>
      <c r="K64" s="14" t="inlineStr">
        <is>
          <t>prime letture</t>
        </is>
      </c>
      <c r="L64" s="14" t="inlineStr">
        <is>
          <t>https://www.uovonero.com/libri</t>
        </is>
      </c>
      <c r="M64" s="16" t="n">
        <v>17.5</v>
      </c>
      <c r="N64" s="14" t="inlineStr">
        <is>
          <t>Catalogo Uovonero per librai</t>
        </is>
      </c>
      <c r="O64" s="16">
        <f>IF(ISNUMBER(M64),ROUND(M64*(1-Condizioni!$B$2),2),"")</f>
        <v/>
      </c>
      <c r="P64" s="17" t="inlineStr">
        <is>
          <t>Sì</t>
        </is>
      </c>
    </row>
    <row r="65">
      <c r="A65" s="14" t="inlineStr">
        <is>
          <t>Uovonero</t>
        </is>
      </c>
      <c r="B65" s="14" t="inlineStr">
        <is>
          <t>Vi presento Hank 1 – Un segnalibro in cerca d'autore</t>
        </is>
      </c>
      <c r="C65" s="14" t="inlineStr">
        <is>
          <t>H. Winkler, L. Oliver; ill. G. Orecchia</t>
        </is>
      </c>
      <c r="D65" s="14" t="inlineStr">
        <is>
          <t>Abbecedanze (alta leggibilità)</t>
        </is>
      </c>
      <c r="E65" s="14" t="inlineStr">
        <is>
          <t>6/9</t>
        </is>
      </c>
      <c r="F65" s="14" t="inlineStr">
        <is>
          <t>Prime letture (6-8)</t>
        </is>
      </c>
      <c r="G65" s="14" t="inlineStr">
        <is>
          <t>Narrativa</t>
        </is>
      </c>
      <c r="H65" s="14" t="inlineStr">
        <is>
          <t>DSA (dislessia)</t>
        </is>
      </c>
      <c r="I65" s="14" t="inlineStr">
        <is>
          <t>No</t>
        </is>
      </c>
      <c r="J65" s="14" t="inlineStr">
        <is>
          <t>Catalogo</t>
        </is>
      </c>
      <c r="K65" s="14" t="inlineStr">
        <is>
          <t>prime letture, narrativa</t>
        </is>
      </c>
      <c r="L65" s="14" t="inlineStr">
        <is>
          <t>https://www.uovonero.com/libri</t>
        </is>
      </c>
      <c r="M65" s="19" t="n"/>
      <c r="N65" s="14" t="inlineStr"/>
      <c r="O65" s="16">
        <f>IF(ISNUMBER(M65),ROUND(M65*(1-Condizioni!$B$2),2),"")</f>
        <v/>
      </c>
      <c r="P65" s="17" t="inlineStr">
        <is>
          <t>Sì</t>
        </is>
      </c>
    </row>
    <row r="66">
      <c r="A66" s="14" t="inlineStr">
        <is>
          <t>Uovonero</t>
        </is>
      </c>
      <c r="B66" s="14" t="inlineStr">
        <is>
          <t>30 giorni per capire i disturbi dell'apprendimento</t>
        </is>
      </c>
      <c r="C66" s="14" t="inlineStr">
        <is>
          <t>Babe, Baroukh, Dunana (cura E. Crivelli)</t>
        </is>
      </c>
      <c r="D66" s="14" t="inlineStr">
        <is>
          <t>Altrimenti</t>
        </is>
      </c>
      <c r="E66" s="14" t="inlineStr">
        <is>
          <t>9/12, 12+, 14+</t>
        </is>
      </c>
      <c r="F66" s="14" t="inlineStr">
        <is>
          <t>9+</t>
        </is>
      </c>
      <c r="G66" s="14" t="inlineStr">
        <is>
          <t>Divulgazione/Saggio</t>
        </is>
      </c>
      <c r="H66" s="14" t="inlineStr">
        <is>
          <t>DSA</t>
        </is>
      </c>
      <c r="I66" s="14" t="inlineStr">
        <is>
          <t>No</t>
        </is>
      </c>
      <c r="J66" s="14" t="inlineStr">
        <is>
          <t>Catalogo</t>
        </is>
      </c>
      <c r="K66" s="14" t="inlineStr">
        <is>
          <t>9+</t>
        </is>
      </c>
      <c r="L66" s="14" t="inlineStr">
        <is>
          <t>https://www.uovonero.com/libri</t>
        </is>
      </c>
      <c r="M66" s="19" t="n"/>
      <c r="N66" s="14" t="inlineStr"/>
      <c r="O66" s="16">
        <f>IF(ISNUMBER(M66),ROUND(M66*(1-Condizioni!$B$2),2),"")</f>
        <v/>
      </c>
      <c r="P66" s="17" t="inlineStr">
        <is>
          <t>Sì</t>
        </is>
      </c>
    </row>
    <row r="67">
      <c r="A67" s="14" t="inlineStr">
        <is>
          <t>Uovonero</t>
        </is>
      </c>
      <c r="B67" s="14" t="inlineStr">
        <is>
          <t>30 giorni per capire i disturbi visivi</t>
        </is>
      </c>
      <c r="C67" s="14" t="inlineStr">
        <is>
          <t>Babe, Baroukh, Dunana (cura E. Crivelli)</t>
        </is>
      </c>
      <c r="D67" s="14" t="inlineStr">
        <is>
          <t>Altrimenti</t>
        </is>
      </c>
      <c r="E67" s="14" t="inlineStr">
        <is>
          <t>9/12, 12+, 14+</t>
        </is>
      </c>
      <c r="F67" s="14" t="inlineStr">
        <is>
          <t>9+</t>
        </is>
      </c>
      <c r="G67" s="14" t="inlineStr">
        <is>
          <t>Divulgazione/Saggio</t>
        </is>
      </c>
      <c r="H67" s="14" t="inlineStr">
        <is>
          <t>Cecità / disabilità</t>
        </is>
      </c>
      <c r="I67" s="14" t="inlineStr">
        <is>
          <t>No</t>
        </is>
      </c>
      <c r="J67" s="14" t="inlineStr">
        <is>
          <t>Catalogo</t>
        </is>
      </c>
      <c r="K67" s="14" t="inlineStr">
        <is>
          <t>9+</t>
        </is>
      </c>
      <c r="L67" s="14" t="inlineStr">
        <is>
          <t>https://www.uovonero.com/libri</t>
        </is>
      </c>
      <c r="M67" s="19" t="n"/>
      <c r="N67" s="14" t="inlineStr"/>
      <c r="O67" s="16">
        <f>IF(ISNUMBER(M67),ROUND(M67*(1-Condizioni!$B$2),2),"")</f>
        <v/>
      </c>
      <c r="P67" s="17" t="inlineStr">
        <is>
          <t>Sì</t>
        </is>
      </c>
    </row>
    <row r="68">
      <c r="A68" s="14" t="inlineStr">
        <is>
          <t>Uovonero</t>
        </is>
      </c>
      <c r="B68" s="14" t="inlineStr">
        <is>
          <t>30 giorni per capire l'autismo</t>
        </is>
      </c>
      <c r="C68" s="14" t="inlineStr">
        <is>
          <t>Babe, Baroukh, Dunana (cura E. Crivelli)</t>
        </is>
      </c>
      <c r="D68" s="14" t="inlineStr">
        <is>
          <t>Altrimenti</t>
        </is>
      </c>
      <c r="E68" s="14" t="inlineStr">
        <is>
          <t>9/12, 12+, 14+</t>
        </is>
      </c>
      <c r="F68" s="14" t="inlineStr">
        <is>
          <t>9+</t>
        </is>
      </c>
      <c r="G68" s="14" t="inlineStr">
        <is>
          <t>Divulgazione/Saggio</t>
        </is>
      </c>
      <c r="H68" s="14" t="inlineStr">
        <is>
          <t>Autismo</t>
        </is>
      </c>
      <c r="I68" s="14" t="inlineStr">
        <is>
          <t>No</t>
        </is>
      </c>
      <c r="J68" s="14" t="inlineStr">
        <is>
          <t>Catalogo</t>
        </is>
      </c>
      <c r="K68" s="14" t="inlineStr">
        <is>
          <t>9+</t>
        </is>
      </c>
      <c r="L68" s="14" t="inlineStr">
        <is>
          <t>https://www.uovonero.com/libri</t>
        </is>
      </c>
      <c r="M68" s="16" t="n">
        <v>16</v>
      </c>
      <c r="N68" s="14" t="inlineStr">
        <is>
          <t>https://www.satellitelibri.it/schedaeditore.php?maschera=editori&amp;chiave=00047&amp;pintOperazione=2&amp;tab=</t>
        </is>
      </c>
      <c r="O68" s="16">
        <f>IF(ISNUMBER(M68),ROUND(M68*(1-Condizioni!$B$2),2),"")</f>
        <v/>
      </c>
      <c r="P68" s="17" t="inlineStr">
        <is>
          <t>Sì</t>
        </is>
      </c>
    </row>
    <row r="69">
      <c r="A69" s="14" t="inlineStr">
        <is>
          <t>Uovonero</t>
        </is>
      </c>
      <c r="B69" s="14" t="inlineStr">
        <is>
          <t>Amiche d'ombra</t>
        </is>
      </c>
      <c r="C69" s="14" t="inlineStr">
        <is>
          <t>Arianna Papini</t>
        </is>
      </c>
      <c r="D69" s="14" t="inlineStr">
        <is>
          <t>I Geodi</t>
        </is>
      </c>
      <c r="E69" s="14" t="inlineStr">
        <is>
          <t>9/12</t>
        </is>
      </c>
      <c r="F69" s="14" t="inlineStr">
        <is>
          <t>9+</t>
        </is>
      </c>
      <c r="G69" s="14" t="inlineStr">
        <is>
          <t>Narrativa</t>
        </is>
      </c>
      <c r="H69" s="14" t="inlineStr">
        <is>
          <t>Cecità / pregiudizi</t>
        </is>
      </c>
      <c r="I69" s="14" t="inlineStr">
        <is>
          <t>No</t>
        </is>
      </c>
      <c r="J69" s="14" t="inlineStr">
        <is>
          <t>Catalogo</t>
        </is>
      </c>
      <c r="K69" s="14" t="inlineStr">
        <is>
          <t>9+, narrativa</t>
        </is>
      </c>
      <c r="L69" s="14" t="inlineStr">
        <is>
          <t>https://www.uovonero.com/libri</t>
        </is>
      </c>
      <c r="M69" s="16" t="n">
        <v>16</v>
      </c>
      <c r="N69" s="14" t="inlineStr">
        <is>
          <t>Catalogo Uovonero per librai</t>
        </is>
      </c>
      <c r="O69" s="16">
        <f>IF(ISNUMBER(M69),ROUND(M69*(1-Condizioni!$B$2),2),"")</f>
        <v/>
      </c>
      <c r="P69" s="17" t="inlineStr">
        <is>
          <t>Sì</t>
        </is>
      </c>
    </row>
    <row r="70">
      <c r="A70" s="14" t="inlineStr">
        <is>
          <t>Uovonero</t>
        </is>
      </c>
      <c r="B70" s="14" t="inlineStr">
        <is>
          <t>Castelli di fiammiferi</t>
        </is>
      </c>
      <c r="C70" s="14" t="inlineStr">
        <is>
          <t>Bettina Obrecht</t>
        </is>
      </c>
      <c r="D70" s="14" t="inlineStr">
        <is>
          <t>I Geodi</t>
        </is>
      </c>
      <c r="E70" s="14" t="inlineStr">
        <is>
          <t>9/12, 12+</t>
        </is>
      </c>
      <c r="F70" s="14" t="inlineStr">
        <is>
          <t>9+</t>
        </is>
      </c>
      <c r="G70" s="14" t="inlineStr">
        <is>
          <t>Romanzo</t>
        </is>
      </c>
      <c r="H70" s="14" t="inlineStr">
        <is>
          <t>Autismo</t>
        </is>
      </c>
      <c r="I70" s="14" t="inlineStr">
        <is>
          <t>No</t>
        </is>
      </c>
      <c r="J70" s="14" t="inlineStr">
        <is>
          <t>Catalogo</t>
        </is>
      </c>
      <c r="K70" s="14" t="inlineStr">
        <is>
          <t>9+, romanzo, narrativa</t>
        </is>
      </c>
      <c r="L70" s="14" t="inlineStr">
        <is>
          <t>https://www.uovonero.com/libri</t>
        </is>
      </c>
      <c r="M70" s="16" t="n">
        <v>12.5</v>
      </c>
      <c r="N70" s="14" t="inlineStr">
        <is>
          <t>https://www.ibs.it/x/e/9788896918142</t>
        </is>
      </c>
      <c r="O70" s="16">
        <f>IF(ISNUMBER(M70),ROUND(M70*(1-Condizioni!$B$2),2),"")</f>
        <v/>
      </c>
      <c r="P70" s="17" t="inlineStr">
        <is>
          <t>Sì</t>
        </is>
      </c>
    </row>
    <row r="71">
      <c r="A71" s="14" t="inlineStr">
        <is>
          <t>Uovonero</t>
        </is>
      </c>
      <c r="B71" s="14" t="inlineStr">
        <is>
          <t>Farfariel – Il libro di Micù</t>
        </is>
      </c>
      <c r="C71" s="14" t="inlineStr">
        <is>
          <t>Pietro Albì</t>
        </is>
      </c>
      <c r="D71" s="14" t="inlineStr">
        <is>
          <t>I Geodi</t>
        </is>
      </c>
      <c r="E71" s="14" t="inlineStr">
        <is>
          <t>9/12, 12+</t>
        </is>
      </c>
      <c r="F71" s="14" t="inlineStr">
        <is>
          <t>9+</t>
        </is>
      </c>
      <c r="G71" s="14" t="inlineStr">
        <is>
          <t>Romanzo</t>
        </is>
      </c>
      <c r="H71" s="14" t="inlineStr">
        <is>
          <t>Disabilità</t>
        </is>
      </c>
      <c r="I71" s="14" t="inlineStr">
        <is>
          <t>No</t>
        </is>
      </c>
      <c r="J71" s="14" t="inlineStr">
        <is>
          <t>Catalogo</t>
        </is>
      </c>
      <c r="K71" s="14" t="inlineStr">
        <is>
          <t>9+, romanzo, narrativa</t>
        </is>
      </c>
      <c r="L71" s="14" t="inlineStr">
        <is>
          <t>https://www.uovonero.com/libri</t>
        </is>
      </c>
      <c r="M71" s="16" t="n">
        <v>16</v>
      </c>
      <c r="N71" s="14" t="inlineStr">
        <is>
          <t>Catalogo Uovonero per librai</t>
        </is>
      </c>
      <c r="O71" s="16">
        <f>IF(ISNUMBER(M71),ROUND(M71*(1-Condizioni!$B$2),2),"")</f>
        <v/>
      </c>
      <c r="P71" s="17" t="inlineStr">
        <is>
          <t>Sì</t>
        </is>
      </c>
    </row>
    <row r="72">
      <c r="A72" s="14" t="inlineStr">
        <is>
          <t>Uovonero</t>
        </is>
      </c>
      <c r="B72" s="14" t="inlineStr">
        <is>
          <t>Garrincha. L'angelo dalle gambe storte</t>
        </is>
      </c>
      <c r="C72" s="14" t="inlineStr">
        <is>
          <t>Antonio Ferrara</t>
        </is>
      </c>
      <c r="D72" s="14" t="inlineStr">
        <is>
          <t>I Geodi</t>
        </is>
      </c>
      <c r="E72" s="14" t="inlineStr">
        <is>
          <t>9/12, 12+</t>
        </is>
      </c>
      <c r="F72" s="14" t="inlineStr">
        <is>
          <t>9+</t>
        </is>
      </c>
      <c r="G72" s="14" t="inlineStr">
        <is>
          <t>Graphic novel/Fumetto</t>
        </is>
      </c>
      <c r="H72" s="14" t="inlineStr">
        <is>
          <t>Disabilità</t>
        </is>
      </c>
      <c r="I72" s="14" t="inlineStr">
        <is>
          <t>No</t>
        </is>
      </c>
      <c r="J72" s="14" t="inlineStr">
        <is>
          <t>Catalogo</t>
        </is>
      </c>
      <c r="K72" s="14" t="inlineStr">
        <is>
          <t>9+</t>
        </is>
      </c>
      <c r="L72" s="14" t="inlineStr">
        <is>
          <t>https://www.uovonero.com/libri</t>
        </is>
      </c>
      <c r="M72" s="16" t="n">
        <v>15</v>
      </c>
      <c r="N72" s="14" t="inlineStr">
        <is>
          <t>Catalogo Uovonero per librai</t>
        </is>
      </c>
      <c r="O72" s="16">
        <f>IF(ISNUMBER(M72),ROUND(M72*(1-Condizioni!$B$2),2),"")</f>
        <v/>
      </c>
      <c r="P72" s="17" t="inlineStr">
        <is>
          <t>Sì</t>
        </is>
      </c>
    </row>
    <row r="73">
      <c r="A73" s="14" t="inlineStr">
        <is>
          <t>Uovonero</t>
        </is>
      </c>
      <c r="B73" s="14" t="inlineStr">
        <is>
          <t>Hank Zipzer e le cascate del Niagara (vol. 1)</t>
        </is>
      </c>
      <c r="C73" s="14" t="inlineStr">
        <is>
          <t>H. Winkler, L. Oliver</t>
        </is>
      </c>
      <c r="D73" s="14" t="inlineStr">
        <is>
          <t>Abbecedanze (alta leggibilità)</t>
        </is>
      </c>
      <c r="E73" s="14" t="inlineStr">
        <is>
          <t>9/12</t>
        </is>
      </c>
      <c r="F73" s="14" t="inlineStr">
        <is>
          <t>9+</t>
        </is>
      </c>
      <c r="G73" s="14" t="inlineStr">
        <is>
          <t>Narrativa</t>
        </is>
      </c>
      <c r="H73" s="14" t="inlineStr">
        <is>
          <t>DSA (dislessia)</t>
        </is>
      </c>
      <c r="I73" s="14" t="inlineStr">
        <is>
          <t>No</t>
        </is>
      </c>
      <c r="J73" s="14" t="inlineStr">
        <is>
          <t>Catalogo</t>
        </is>
      </c>
      <c r="K73" s="14" t="inlineStr">
        <is>
          <t>9+, narrativa</t>
        </is>
      </c>
      <c r="L73" s="14" t="inlineStr">
        <is>
          <t>https://www.uovonero.com/libri</t>
        </is>
      </c>
      <c r="M73" s="19" t="n"/>
      <c r="N73" s="14" t="inlineStr"/>
      <c r="O73" s="16">
        <f>IF(ISNUMBER(M73),ROUND(M73*(1-Condizioni!$B$2),2),"")</f>
        <v/>
      </c>
      <c r="P73" s="17" t="inlineStr">
        <is>
          <t>Sì</t>
        </is>
      </c>
    </row>
    <row r="74">
      <c r="A74" s="14" t="inlineStr">
        <is>
          <t>Uovonero</t>
        </is>
      </c>
      <c r="B74" s="14" t="inlineStr">
        <is>
          <t>La più bella nuotata della mia vita</t>
        </is>
      </c>
      <c r="C74" s="14" t="inlineStr">
        <is>
          <t>Anne Becker</t>
        </is>
      </c>
      <c r="D74" s="14" t="inlineStr">
        <is>
          <t>I Geodi</t>
        </is>
      </c>
      <c r="E74" s="14" t="inlineStr">
        <is>
          <t>9/12, 12+</t>
        </is>
      </c>
      <c r="F74" s="14" t="inlineStr">
        <is>
          <t>9+</t>
        </is>
      </c>
      <c r="G74" s="14" t="inlineStr">
        <is>
          <t>Romanzo</t>
        </is>
      </c>
      <c r="H74" s="14" t="inlineStr">
        <is>
          <t>DSA</t>
        </is>
      </c>
      <c r="I74" s="14" t="inlineStr">
        <is>
          <t>No</t>
        </is>
      </c>
      <c r="J74" s="14" t="inlineStr">
        <is>
          <t>Catalogo</t>
        </is>
      </c>
      <c r="K74" s="14" t="inlineStr">
        <is>
          <t>9+, romanzo, narrativa</t>
        </is>
      </c>
      <c r="L74" s="14" t="inlineStr">
        <is>
          <t>https://www.uovonero.com/libri</t>
        </is>
      </c>
      <c r="M74" s="16" t="n">
        <v>15</v>
      </c>
      <c r="N74" s="14" t="inlineStr">
        <is>
          <t>Catalogo Uovonero per librai</t>
        </is>
      </c>
      <c r="O74" s="16">
        <f>IF(ISNUMBER(M74),ROUND(M74*(1-Condizioni!$B$2),2),"")</f>
        <v/>
      </c>
      <c r="P74" s="17" t="inlineStr">
        <is>
          <t>Sì</t>
        </is>
      </c>
    </row>
    <row r="75">
      <c r="A75" s="14" t="inlineStr">
        <is>
          <t>Uovonero</t>
        </is>
      </c>
      <c r="B75" s="14" t="inlineStr">
        <is>
          <t>Non è colpa della pioggia</t>
        </is>
      </c>
      <c r="C75" s="14" t="inlineStr">
        <is>
          <t>Lynda Mullaly Hunt</t>
        </is>
      </c>
      <c r="D75" s="14" t="inlineStr">
        <is>
          <t>Abbecedanze (alta leggibilità)</t>
        </is>
      </c>
      <c r="E75" s="14" t="inlineStr">
        <is>
          <t>9/12, 12+</t>
        </is>
      </c>
      <c r="F75" s="14" t="inlineStr">
        <is>
          <t>9+</t>
        </is>
      </c>
      <c r="G75" s="14" t="inlineStr">
        <is>
          <t>Romanzo</t>
        </is>
      </c>
      <c r="H75" s="14" t="inlineStr">
        <is>
          <t>Famiglia e comunità</t>
        </is>
      </c>
      <c r="I75" s="14" t="inlineStr">
        <is>
          <t>No</t>
        </is>
      </c>
      <c r="J75" s="14" t="inlineStr">
        <is>
          <t>Catalogo</t>
        </is>
      </c>
      <c r="K75" s="14" t="inlineStr">
        <is>
          <t>9+, romanzo, narrativa</t>
        </is>
      </c>
      <c r="L75" s="14" t="inlineStr">
        <is>
          <t>https://www.uovonero.com/libri</t>
        </is>
      </c>
      <c r="M75" s="19" t="n"/>
      <c r="N75" s="14" t="inlineStr"/>
      <c r="O75" s="16">
        <f>IF(ISNUMBER(M75),ROUND(M75*(1-Condizioni!$B$2),2),"")</f>
        <v/>
      </c>
      <c r="P75" s="17" t="inlineStr">
        <is>
          <t>Sì</t>
        </is>
      </c>
    </row>
    <row r="76">
      <c r="A76" s="14" t="inlineStr">
        <is>
          <t>Uovonero</t>
        </is>
      </c>
      <c r="B76" s="14" t="inlineStr">
        <is>
          <t>Può succedere ancora?</t>
        </is>
      </c>
      <c r="C76" s="14" t="inlineStr">
        <is>
          <t>Jesper Lundqvist</t>
        </is>
      </c>
      <c r="D76" s="14" t="inlineStr">
        <is>
          <t>I Geodi</t>
        </is>
      </c>
      <c r="E76" s="14" t="inlineStr">
        <is>
          <t>9/12</t>
        </is>
      </c>
      <c r="F76" s="14" t="inlineStr">
        <is>
          <t>9+</t>
        </is>
      </c>
      <c r="G76" s="14" t="inlineStr">
        <is>
          <t>Divulgazione/Saggio</t>
        </is>
      </c>
      <c r="H76" s="14" t="inlineStr">
        <is>
          <t>Memoria della Shoah</t>
        </is>
      </c>
      <c r="I76" s="14" t="inlineStr">
        <is>
          <t>No</t>
        </is>
      </c>
      <c r="J76" s="14" t="inlineStr">
        <is>
          <t>Catalogo</t>
        </is>
      </c>
      <c r="K76" s="14" t="inlineStr">
        <is>
          <t>9+</t>
        </is>
      </c>
      <c r="L76" s="14" t="inlineStr">
        <is>
          <t>https://www.uovonero.com/libri</t>
        </is>
      </c>
      <c r="M76" s="16" t="n">
        <v>22</v>
      </c>
      <c r="N76" s="14" t="inlineStr">
        <is>
          <t>Catalogo Uovonero per librai</t>
        </is>
      </c>
      <c r="O76" s="16">
        <f>IF(ISNUMBER(M76),ROUND(M76*(1-Condizioni!$B$2),2),"")</f>
        <v/>
      </c>
      <c r="P76" s="17" t="inlineStr">
        <is>
          <t>Sì</t>
        </is>
      </c>
    </row>
    <row r="77">
      <c r="A77" s="14" t="inlineStr">
        <is>
          <t>Uovonero</t>
        </is>
      </c>
      <c r="B77" s="14" t="inlineStr">
        <is>
          <t>Un pesce sull'albero</t>
        </is>
      </c>
      <c r="C77" s="14" t="inlineStr">
        <is>
          <t>Lynda Mullaly Hunt</t>
        </is>
      </c>
      <c r="D77" s="14" t="inlineStr">
        <is>
          <t>Abbecedanze (alta leggibilità)</t>
        </is>
      </c>
      <c r="E77" s="14" t="inlineStr">
        <is>
          <t>9/12, 12+</t>
        </is>
      </c>
      <c r="F77" s="14" t="inlineStr">
        <is>
          <t>9+</t>
        </is>
      </c>
      <c r="G77" s="14" t="inlineStr">
        <is>
          <t>Romanzo</t>
        </is>
      </c>
      <c r="H77" s="14" t="inlineStr">
        <is>
          <t>DSA (dislessia)</t>
        </is>
      </c>
      <c r="I77" s="14" t="inlineStr">
        <is>
          <t>No</t>
        </is>
      </c>
      <c r="J77" s="14" t="inlineStr">
        <is>
          <t>Catalogo</t>
        </is>
      </c>
      <c r="K77" s="14" t="inlineStr">
        <is>
          <t>9+, romanzo, narrativa</t>
        </is>
      </c>
      <c r="L77" s="14" t="inlineStr">
        <is>
          <t>https://www.uovonero.com/libri</t>
        </is>
      </c>
      <c r="M77" s="19" t="n"/>
      <c r="N77" s="14" t="inlineStr"/>
      <c r="O77" s="16">
        <f>IF(ISNUMBER(M77),ROUND(M77*(1-Condizioni!$B$2),2),"")</f>
        <v/>
      </c>
      <c r="P77" s="17" t="inlineStr">
        <is>
          <t>Sì</t>
        </is>
      </c>
    </row>
    <row r="78">
      <c r="A78" s="14" t="inlineStr">
        <is>
          <t>Uovonero</t>
        </is>
      </c>
      <c r="B78" s="14" t="inlineStr">
        <is>
          <t>Una specie di scintilla</t>
        </is>
      </c>
      <c r="C78" s="14" t="inlineStr">
        <is>
          <t>Elle McNicoll</t>
        </is>
      </c>
      <c r="D78" s="14" t="inlineStr">
        <is>
          <t>I Geodi</t>
        </is>
      </c>
      <c r="E78" s="14" t="inlineStr">
        <is>
          <t>9/12, 12+</t>
        </is>
      </c>
      <c r="F78" s="14" t="inlineStr">
        <is>
          <t>9+</t>
        </is>
      </c>
      <c r="G78" s="14" t="inlineStr">
        <is>
          <t>Romanzo</t>
        </is>
      </c>
      <c r="H78" s="14" t="inlineStr">
        <is>
          <t>Autismo (autrice autistica)</t>
        </is>
      </c>
      <c r="I78" s="14" t="inlineStr">
        <is>
          <t>No</t>
        </is>
      </c>
      <c r="J78" s="14" t="inlineStr">
        <is>
          <t>Catalogo</t>
        </is>
      </c>
      <c r="K78" s="14" t="inlineStr">
        <is>
          <t>9+, romanzo, narrativa</t>
        </is>
      </c>
      <c r="L78" s="14" t="inlineStr">
        <is>
          <t>https://www.uovonero.com/libri</t>
        </is>
      </c>
      <c r="M78" s="16" t="n">
        <v>15</v>
      </c>
      <c r="N78" s="14" t="inlineStr">
        <is>
          <t>Catalogo Uovonero per librai</t>
        </is>
      </c>
      <c r="O78" s="16">
        <f>IF(ISNUMBER(M78),ROUND(M78*(1-Condizioni!$B$2),2),"")</f>
        <v/>
      </c>
      <c r="P78" s="17" t="inlineStr">
        <is>
          <t>Sì</t>
        </is>
      </c>
    </row>
    <row r="79">
      <c r="A79" s="14" t="inlineStr">
        <is>
          <t>Uovonero</t>
        </is>
      </c>
      <c r="B79" s="14" t="inlineStr">
        <is>
          <t>Come un incantesimo</t>
        </is>
      </c>
      <c r="C79" s="14" t="inlineStr">
        <is>
          <t>Elle McNicoll</t>
        </is>
      </c>
      <c r="D79" s="14" t="inlineStr">
        <is>
          <t>I Geodi</t>
        </is>
      </c>
      <c r="E79" s="14" t="inlineStr">
        <is>
          <t>12+</t>
        </is>
      </c>
      <c r="F79" s="14" t="inlineStr">
        <is>
          <t>Scuola media (11-13)</t>
        </is>
      </c>
      <c r="G79" s="14" t="inlineStr">
        <is>
          <t>Romanzo</t>
        </is>
      </c>
      <c r="H79" s="14" t="inlineStr">
        <is>
          <t>Neurodivergenza</t>
        </is>
      </c>
      <c r="I79" s="14" t="inlineStr">
        <is>
          <t>No</t>
        </is>
      </c>
      <c r="J79" s="14" t="inlineStr">
        <is>
          <t>Catalogo</t>
        </is>
      </c>
      <c r="K79" s="14" t="inlineStr">
        <is>
          <t>prima/seconda/terza media, romanzo, narrativa</t>
        </is>
      </c>
      <c r="L79" s="14" t="inlineStr">
        <is>
          <t>https://www.uovonero.com/libri</t>
        </is>
      </c>
      <c r="M79" s="16" t="n">
        <v>16</v>
      </c>
      <c r="N79" s="14" t="inlineStr">
        <is>
          <t>Catalogo Uovonero per librai</t>
        </is>
      </c>
      <c r="O79" s="16">
        <f>IF(ISNUMBER(M79),ROUND(M79*(1-Condizioni!$B$2),2),"")</f>
        <v/>
      </c>
      <c r="P79" s="17" t="inlineStr">
        <is>
          <t>Sì</t>
        </is>
      </c>
    </row>
    <row r="80">
      <c r="A80" s="14" t="inlineStr">
        <is>
          <t>Uovonero</t>
        </is>
      </c>
      <c r="B80" s="14" t="inlineStr">
        <is>
          <t>Con le ali sbagliate</t>
        </is>
      </c>
      <c r="C80" s="14" t="inlineStr">
        <is>
          <t>Gabriele Clima</t>
        </is>
      </c>
      <c r="D80" s="14" t="inlineStr">
        <is>
          <t>I Geodi</t>
        </is>
      </c>
      <c r="E80" s="14" t="inlineStr">
        <is>
          <t>12+, 14+</t>
        </is>
      </c>
      <c r="F80" s="14" t="inlineStr">
        <is>
          <t>Scuola media (11-13)</t>
        </is>
      </c>
      <c r="G80" s="14" t="inlineStr">
        <is>
          <t>Romanzo</t>
        </is>
      </c>
      <c r="H80" s="14" t="inlineStr">
        <is>
          <t>Identità sessuale e pregiudizi</t>
        </is>
      </c>
      <c r="I80" s="14" t="inlineStr">
        <is>
          <t>No</t>
        </is>
      </c>
      <c r="J80" s="14" t="inlineStr">
        <is>
          <t>Catalogo</t>
        </is>
      </c>
      <c r="K80" s="14" t="inlineStr">
        <is>
          <t>prima/seconda/terza media, romanzo, narrativa</t>
        </is>
      </c>
      <c r="L80" s="14" t="inlineStr">
        <is>
          <t>https://www.uovonero.com/libri</t>
        </is>
      </c>
      <c r="M80" s="16" t="n">
        <v>14</v>
      </c>
      <c r="N80" s="14" t="inlineStr">
        <is>
          <t>Catalogo Uovonero per librai</t>
        </is>
      </c>
      <c r="O80" s="16">
        <f>IF(ISNUMBER(M80),ROUND(M80*(1-Condizioni!$B$2),2),"")</f>
        <v/>
      </c>
      <c r="P80" s="17" t="inlineStr">
        <is>
          <t>Sì</t>
        </is>
      </c>
    </row>
    <row r="81">
      <c r="A81" s="14" t="inlineStr">
        <is>
          <t>Uovonero</t>
        </is>
      </c>
      <c r="B81" s="14" t="inlineStr">
        <is>
          <t>Dacca toxic</t>
        </is>
      </c>
      <c r="C81" s="14" t="inlineStr">
        <is>
          <t>Catherine Fradier</t>
        </is>
      </c>
      <c r="D81" s="14" t="inlineStr">
        <is>
          <t>I Geodi</t>
        </is>
      </c>
      <c r="E81" s="14" t="inlineStr">
        <is>
          <t>12+</t>
        </is>
      </c>
      <c r="F81" s="14" t="inlineStr">
        <is>
          <t>Scuola media (11-13)</t>
        </is>
      </c>
      <c r="G81" s="14" t="inlineStr">
        <is>
          <t>Avventura</t>
        </is>
      </c>
      <c r="H81" s="14" t="inlineStr">
        <is>
          <t>Autismo</t>
        </is>
      </c>
      <c r="I81" s="14" t="inlineStr">
        <is>
          <t>No</t>
        </is>
      </c>
      <c r="J81" s="14" t="inlineStr">
        <is>
          <t>Catalogo</t>
        </is>
      </c>
      <c r="K81" s="14" t="inlineStr">
        <is>
          <t>prima/seconda/terza media, avventura, narrativa</t>
        </is>
      </c>
      <c r="L81" s="14" t="inlineStr">
        <is>
          <t>https://www.uovonero.com/libri</t>
        </is>
      </c>
      <c r="M81" s="16" t="n">
        <v>15</v>
      </c>
      <c r="N81" s="14" t="inlineStr">
        <is>
          <t>Catalogo Uovonero per librai</t>
        </is>
      </c>
      <c r="O81" s="16">
        <f>IF(ISNUMBER(M81),ROUND(M81*(1-Condizioni!$B$2),2),"")</f>
        <v/>
      </c>
      <c r="P81" s="17" t="inlineStr">
        <is>
          <t>Sì</t>
        </is>
      </c>
    </row>
    <row r="82">
      <c r="A82" s="14" t="inlineStr">
        <is>
          <t>Uovonero</t>
        </is>
      </c>
      <c r="B82" s="14" t="inlineStr">
        <is>
          <t>Gabbie</t>
        </is>
      </c>
      <c r="C82" s="14" t="inlineStr">
        <is>
          <t>A. Vivarelli, G. Quarzo</t>
        </is>
      </c>
      <c r="D82" s="14" t="inlineStr">
        <is>
          <t>I Geodi</t>
        </is>
      </c>
      <c r="E82" s="14" t="inlineStr">
        <is>
          <t>12+, 14+</t>
        </is>
      </c>
      <c r="F82" s="14" t="inlineStr">
        <is>
          <t>Scuola media (11-13)</t>
        </is>
      </c>
      <c r="G82" s="14" t="inlineStr">
        <is>
          <t>Giallo/Mistero</t>
        </is>
      </c>
      <c r="H82" s="14" t="inlineStr">
        <is>
          <t>Autismo</t>
        </is>
      </c>
      <c r="I82" s="14" t="inlineStr">
        <is>
          <t>No</t>
        </is>
      </c>
      <c r="J82" s="14" t="inlineStr">
        <is>
          <t>Catalogo</t>
        </is>
      </c>
      <c r="K82" s="14" t="inlineStr">
        <is>
          <t>prima/seconda/terza media, narrativa</t>
        </is>
      </c>
      <c r="L82" s="14" t="inlineStr">
        <is>
          <t>https://www.uovonero.com/libri</t>
        </is>
      </c>
      <c r="M82" s="16" t="n">
        <v>16</v>
      </c>
      <c r="N82" s="14" t="inlineStr">
        <is>
          <t>Catalogo Uovonero per librai</t>
        </is>
      </c>
      <c r="O82" s="16">
        <f>IF(ISNUMBER(M82),ROUND(M82*(1-Condizioni!$B$2),2),"")</f>
        <v/>
      </c>
      <c r="P82" s="17" t="inlineStr">
        <is>
          <t>Sì</t>
        </is>
      </c>
    </row>
    <row r="83">
      <c r="A83" s="14" t="inlineStr">
        <is>
          <t>Uovonero</t>
        </is>
      </c>
      <c r="B83" s="14" t="inlineStr">
        <is>
          <t>Il mistero del Guggenheim</t>
        </is>
      </c>
      <c r="C83" s="14" t="inlineStr">
        <is>
          <t>Robin Stevens (idea di S. Dowd)</t>
        </is>
      </c>
      <c r="D83" s="14" t="inlineStr">
        <is>
          <t>I Geodi</t>
        </is>
      </c>
      <c r="E83" s="14" t="inlineStr">
        <is>
          <t>12+, 14+</t>
        </is>
      </c>
      <c r="F83" s="14" t="inlineStr">
        <is>
          <t>Scuola media (11-13)</t>
        </is>
      </c>
      <c r="G83" s="14" t="inlineStr">
        <is>
          <t>Giallo/Mistero</t>
        </is>
      </c>
      <c r="H83" s="14" t="inlineStr">
        <is>
          <t>Autismo</t>
        </is>
      </c>
      <c r="I83" s="14" t="inlineStr">
        <is>
          <t>No</t>
        </is>
      </c>
      <c r="J83" s="14" t="inlineStr">
        <is>
          <t>Catalogo</t>
        </is>
      </c>
      <c r="K83" s="14" t="inlineStr">
        <is>
          <t>prima/seconda/terza media, narrativa</t>
        </is>
      </c>
      <c r="L83" s="14" t="inlineStr">
        <is>
          <t>https://www.uovonero.com/libri</t>
        </is>
      </c>
      <c r="M83" s="16" t="n">
        <v>16</v>
      </c>
      <c r="N83" s="14" t="inlineStr">
        <is>
          <t>Catalogo Uovonero per librai</t>
        </is>
      </c>
      <c r="O83" s="16">
        <f>IF(ISNUMBER(M83),ROUND(M83*(1-Condizioni!$B$2),2),"")</f>
        <v/>
      </c>
      <c r="P83" s="17" t="inlineStr">
        <is>
          <t>Sì</t>
        </is>
      </c>
    </row>
    <row r="84">
      <c r="A84" s="14" t="inlineStr">
        <is>
          <t>Uovonero</t>
        </is>
      </c>
      <c r="B84" s="14" t="inlineStr">
        <is>
          <t>Il mistero del London Eye</t>
        </is>
      </c>
      <c r="C84" s="14" t="inlineStr">
        <is>
          <t>Siobhan Dowd</t>
        </is>
      </c>
      <c r="D84" s="14" t="inlineStr">
        <is>
          <t>I Geodi</t>
        </is>
      </c>
      <c r="E84" s="14" t="inlineStr">
        <is>
          <t>12+</t>
        </is>
      </c>
      <c r="F84" s="14" t="inlineStr">
        <is>
          <t>Scuola media (11-13)</t>
        </is>
      </c>
      <c r="G84" s="14" t="inlineStr">
        <is>
          <t>Giallo/Mistero</t>
        </is>
      </c>
      <c r="H84" s="14" t="inlineStr">
        <is>
          <t>Autismo (Premio Andersen 2012)</t>
        </is>
      </c>
      <c r="I84" s="14" t="inlineStr">
        <is>
          <t>No</t>
        </is>
      </c>
      <c r="J84" s="14" t="inlineStr">
        <is>
          <t>Catalogo</t>
        </is>
      </c>
      <c r="K84" s="14" t="inlineStr">
        <is>
          <t>prima/seconda/terza media, narrativa</t>
        </is>
      </c>
      <c r="L84" s="14" t="inlineStr">
        <is>
          <t>https://www.uovonero.com/libri</t>
        </is>
      </c>
      <c r="M84" s="16" t="n">
        <v>16</v>
      </c>
      <c r="N84" s="14" t="inlineStr">
        <is>
          <t>Catalogo Uovonero per librai</t>
        </is>
      </c>
      <c r="O84" s="16">
        <f>IF(ISNUMBER(M84),ROUND(M84*(1-Condizioni!$B$2),2),"")</f>
        <v/>
      </c>
      <c r="P84" s="17" t="inlineStr">
        <is>
          <t>Sì</t>
        </is>
      </c>
    </row>
    <row r="85">
      <c r="A85" s="14" t="inlineStr">
        <is>
          <t>Uovonero</t>
        </is>
      </c>
      <c r="B85" s="14" t="inlineStr">
        <is>
          <t>Il pavee e la ragazza</t>
        </is>
      </c>
      <c r="C85" s="14" t="inlineStr">
        <is>
          <t>Siobhan Dowd; ill. Emma Shoard</t>
        </is>
      </c>
      <c r="D85" s="14" t="inlineStr">
        <is>
          <t>I Geodi</t>
        </is>
      </c>
      <c r="E85" s="14" t="inlineStr">
        <is>
          <t>9/12, 12+, 14+</t>
        </is>
      </c>
      <c r="F85" s="14" t="inlineStr">
        <is>
          <t>Scuola media (11-13)</t>
        </is>
      </c>
      <c r="G85" s="14" t="inlineStr">
        <is>
          <t>Narrativa</t>
        </is>
      </c>
      <c r="H85" s="14" t="inlineStr">
        <is>
          <t>Minoranze (comunità Pavee)</t>
        </is>
      </c>
      <c r="I85" s="14" t="inlineStr">
        <is>
          <t>No</t>
        </is>
      </c>
      <c r="J85" s="14" t="inlineStr">
        <is>
          <t>Catalogo</t>
        </is>
      </c>
      <c r="K85" s="14" t="inlineStr">
        <is>
          <t>prima/seconda/terza media, narrativa</t>
        </is>
      </c>
      <c r="L85" s="14" t="inlineStr">
        <is>
          <t>https://www.uovonero.com/libri</t>
        </is>
      </c>
      <c r="M85" s="16" t="n">
        <v>15</v>
      </c>
      <c r="N85" s="14" t="inlineStr">
        <is>
          <t>Catalogo Uovonero per librai</t>
        </is>
      </c>
      <c r="O85" s="16">
        <f>IF(ISNUMBER(M85),ROUND(M85*(1-Condizioni!$B$2),2),"")</f>
        <v/>
      </c>
      <c r="P85" s="17" t="inlineStr">
        <is>
          <t>Sì</t>
        </is>
      </c>
    </row>
    <row r="86">
      <c r="A86" s="14" t="inlineStr">
        <is>
          <t>Uovonero</t>
        </is>
      </c>
      <c r="B86" s="14" t="inlineStr">
        <is>
          <t>Keedie</t>
        </is>
      </c>
      <c r="C86" s="14" t="inlineStr">
        <is>
          <t>Elle McNicoll</t>
        </is>
      </c>
      <c r="D86" s="14" t="inlineStr">
        <is>
          <t>I Geodi</t>
        </is>
      </c>
      <c r="E86" s="14" t="inlineStr">
        <is>
          <t>12+</t>
        </is>
      </c>
      <c r="F86" s="14" t="inlineStr">
        <is>
          <t>Scuola media (11-13)</t>
        </is>
      </c>
      <c r="G86" s="14" t="inlineStr">
        <is>
          <t>Romanzo</t>
        </is>
      </c>
      <c r="H86" s="14" t="inlineStr">
        <is>
          <t>Autismo</t>
        </is>
      </c>
      <c r="I86" s="14" t="inlineStr">
        <is>
          <t>No</t>
        </is>
      </c>
      <c r="J86" s="14" t="inlineStr">
        <is>
          <t>Catalogo</t>
        </is>
      </c>
      <c r="K86" s="14" t="inlineStr">
        <is>
          <t>prima/seconda/terza media, romanzo, narrativa</t>
        </is>
      </c>
      <c r="L86" s="14" t="inlineStr">
        <is>
          <t>https://www.uovonero.com/libri</t>
        </is>
      </c>
      <c r="M86" s="16" t="n">
        <v>16</v>
      </c>
      <c r="N86" s="14" t="inlineStr">
        <is>
          <t>Catalogo Uovonero per librai</t>
        </is>
      </c>
      <c r="O86" s="16">
        <f>IF(ISNUMBER(M86),ROUND(M86*(1-Condizioni!$B$2),2),"")</f>
        <v/>
      </c>
      <c r="P86" s="17" t="inlineStr">
        <is>
          <t>Sì</t>
        </is>
      </c>
    </row>
    <row r="87">
      <c r="A87" s="14" t="inlineStr">
        <is>
          <t>Uovonero</t>
        </is>
      </c>
      <c r="B87" s="14" t="inlineStr">
        <is>
          <t>La fisica degli abbracci</t>
        </is>
      </c>
      <c r="C87" s="14" t="inlineStr">
        <is>
          <t>Anna Vivarelli</t>
        </is>
      </c>
      <c r="D87" s="14" t="inlineStr">
        <is>
          <t>I Geodi</t>
        </is>
      </c>
      <c r="E87" s="14" t="inlineStr">
        <is>
          <t>12+, 14+</t>
        </is>
      </c>
      <c r="F87" s="14" t="inlineStr">
        <is>
          <t>Scuola media (11-13)</t>
        </is>
      </c>
      <c r="G87" s="14" t="inlineStr">
        <is>
          <t>Romanzo</t>
        </is>
      </c>
      <c r="H87" s="14" t="inlineStr">
        <is>
          <t>Autismo</t>
        </is>
      </c>
      <c r="I87" s="14" t="inlineStr">
        <is>
          <t>No</t>
        </is>
      </c>
      <c r="J87" s="14" t="inlineStr">
        <is>
          <t>Catalogo</t>
        </is>
      </c>
      <c r="K87" s="14" t="inlineStr">
        <is>
          <t>prima/seconda/terza media, romanzo, narrativa</t>
        </is>
      </c>
      <c r="L87" s="14" t="inlineStr">
        <is>
          <t>https://www.uovonero.com/libri</t>
        </is>
      </c>
      <c r="M87" s="16" t="n">
        <v>15</v>
      </c>
      <c r="N87" s="14" t="inlineStr">
        <is>
          <t>Catalogo Uovonero per librai</t>
        </is>
      </c>
      <c r="O87" s="16">
        <f>IF(ISNUMBER(M87),ROUND(M87*(1-Condizioni!$B$2),2),"")</f>
        <v/>
      </c>
      <c r="P87" s="17" t="inlineStr">
        <is>
          <t>Sì</t>
        </is>
      </c>
    </row>
    <row r="88">
      <c r="A88" s="14" t="inlineStr">
        <is>
          <t>Uovonero</t>
        </is>
      </c>
      <c r="B88" s="14" t="inlineStr">
        <is>
          <t>Mio fratello è un Custode</t>
        </is>
      </c>
      <c r="C88" s="14" t="inlineStr">
        <is>
          <t>Marine Carteron</t>
        </is>
      </c>
      <c r="D88" s="14" t="inlineStr">
        <is>
          <t>I Geodi</t>
        </is>
      </c>
      <c r="E88" s="14" t="inlineStr">
        <is>
          <t>12+, 14+</t>
        </is>
      </c>
      <c r="F88" s="14" t="inlineStr">
        <is>
          <t>Scuola media (11-13)</t>
        </is>
      </c>
      <c r="G88" s="14" t="inlineStr">
        <is>
          <t>Avventura</t>
        </is>
      </c>
      <c r="H88" s="14" t="inlineStr">
        <is>
          <t>Autismo</t>
        </is>
      </c>
      <c r="I88" s="14" t="inlineStr">
        <is>
          <t>No</t>
        </is>
      </c>
      <c r="J88" s="14" t="inlineStr">
        <is>
          <t>Catalogo</t>
        </is>
      </c>
      <c r="K88" s="14" t="inlineStr">
        <is>
          <t>prima/seconda/terza media, avventura, narrativa</t>
        </is>
      </c>
      <c r="L88" s="14" t="inlineStr">
        <is>
          <t>https://www.uovonero.com/libri</t>
        </is>
      </c>
      <c r="M88" s="16" t="n">
        <v>15</v>
      </c>
      <c r="N88" s="14" t="inlineStr">
        <is>
          <t>Catalogo Uovonero per librai</t>
        </is>
      </c>
      <c r="O88" s="16">
        <f>IF(ISNUMBER(M88),ROUND(M88*(1-Condizioni!$B$2),2),"")</f>
        <v/>
      </c>
      <c r="P88" s="17" t="inlineStr">
        <is>
          <t>Sì</t>
        </is>
      </c>
    </row>
    <row r="89">
      <c r="A89" s="14" t="inlineStr">
        <is>
          <t>Uovonero</t>
        </is>
      </c>
      <c r="B89" s="14" t="inlineStr">
        <is>
          <t>Mostraci chi sei</t>
        </is>
      </c>
      <c r="C89" s="14" t="inlineStr">
        <is>
          <t>Elle McNicoll</t>
        </is>
      </c>
      <c r="D89" s="14" t="inlineStr">
        <is>
          <t>I Geodi</t>
        </is>
      </c>
      <c r="E89" s="14" t="inlineStr">
        <is>
          <t>12+, 14+</t>
        </is>
      </c>
      <c r="F89" s="14" t="inlineStr">
        <is>
          <t>Scuola media (11-13)</t>
        </is>
      </c>
      <c r="G89" s="14" t="inlineStr">
        <is>
          <t>Romanzo</t>
        </is>
      </c>
      <c r="H89" s="14" t="inlineStr">
        <is>
          <t>Autismo</t>
        </is>
      </c>
      <c r="I89" s="14" t="inlineStr">
        <is>
          <t>No</t>
        </is>
      </c>
      <c r="J89" s="14" t="inlineStr">
        <is>
          <t>Catalogo</t>
        </is>
      </c>
      <c r="K89" s="14" t="inlineStr">
        <is>
          <t>prima/seconda/terza media, romanzo, narrativa</t>
        </is>
      </c>
      <c r="L89" s="14" t="inlineStr">
        <is>
          <t>https://www.uovonero.com/libri</t>
        </is>
      </c>
      <c r="M89" s="16" t="n">
        <v>16</v>
      </c>
      <c r="N89" s="14" t="inlineStr">
        <is>
          <t>Catalogo Uovonero per librai</t>
        </is>
      </c>
      <c r="O89" s="16">
        <f>IF(ISNUMBER(M89),ROUND(M89*(1-Condizioni!$B$2),2),"")</f>
        <v/>
      </c>
      <c r="P89" s="17" t="inlineStr">
        <is>
          <t>Sì</t>
        </is>
      </c>
    </row>
    <row r="90">
      <c r="A90" s="14" t="inlineStr">
        <is>
          <t>Uovonero</t>
        </is>
      </c>
      <c r="B90" s="14" t="inlineStr">
        <is>
          <t>Professor papà</t>
        </is>
      </c>
      <c r="C90" s="14" t="inlineStr">
        <is>
          <t>Gunnar Helgason</t>
        </is>
      </c>
      <c r="D90" s="14" t="inlineStr">
        <is>
          <t>I Geodi</t>
        </is>
      </c>
      <c r="E90" s="14" t="inlineStr">
        <is>
          <t>12+</t>
        </is>
      </c>
      <c r="F90" s="14" t="inlineStr">
        <is>
          <t>Scuola media (11-13)</t>
        </is>
      </c>
      <c r="G90" s="14" t="inlineStr">
        <is>
          <t>Romanzo</t>
        </is>
      </c>
      <c r="H90" s="14" t="inlineStr">
        <is>
          <t>Disabilità</t>
        </is>
      </c>
      <c r="I90" s="14" t="inlineStr">
        <is>
          <t>No</t>
        </is>
      </c>
      <c r="J90" s="14" t="inlineStr">
        <is>
          <t>Catalogo</t>
        </is>
      </c>
      <c r="K90" s="14" t="inlineStr">
        <is>
          <t>prima/seconda/terza media, romanzo, narrativa</t>
        </is>
      </c>
      <c r="L90" s="14" t="inlineStr">
        <is>
          <t>https://www.uovonero.com/libri</t>
        </is>
      </c>
      <c r="M90" s="19" t="n"/>
      <c r="N90" s="14" t="inlineStr"/>
      <c r="O90" s="16">
        <f>IF(ISNUMBER(M90),ROUND(M90*(1-Condizioni!$B$2),2),"")</f>
        <v/>
      </c>
      <c r="P90" s="17" t="inlineStr">
        <is>
          <t>Sì</t>
        </is>
      </c>
    </row>
    <row r="91">
      <c r="A91" s="14" t="inlineStr">
        <is>
          <t>Uovonero</t>
        </is>
      </c>
      <c r="B91" s="14" t="inlineStr">
        <is>
          <t>Semplicemente Maria</t>
        </is>
      </c>
      <c r="C91" s="14" t="inlineStr">
        <is>
          <t>Jay Hardwig</t>
        </is>
      </c>
      <c r="D91" s="14" t="inlineStr">
        <is>
          <t>I Geodi</t>
        </is>
      </c>
      <c r="E91" s="14" t="inlineStr">
        <is>
          <t>12+</t>
        </is>
      </c>
      <c r="F91" s="14" t="inlineStr">
        <is>
          <t>Scuola media (11-13)</t>
        </is>
      </c>
      <c r="G91" s="14" t="inlineStr">
        <is>
          <t>Romanzo</t>
        </is>
      </c>
      <c r="H91" s="14" t="inlineStr">
        <is>
          <t>Cecità / disabilità</t>
        </is>
      </c>
      <c r="I91" s="14" t="inlineStr">
        <is>
          <t>No</t>
        </is>
      </c>
      <c r="J91" s="14" t="inlineStr">
        <is>
          <t>Catalogo</t>
        </is>
      </c>
      <c r="K91" s="14" t="inlineStr">
        <is>
          <t>prima/seconda/terza media, romanzo, narrativa</t>
        </is>
      </c>
      <c r="L91" s="14" t="inlineStr">
        <is>
          <t>https://www.uovonero.com/libri</t>
        </is>
      </c>
      <c r="M91" s="16" t="n">
        <v>16.5</v>
      </c>
      <c r="N91" s="14" t="inlineStr">
        <is>
          <t>Catalogo Uovonero per librai</t>
        </is>
      </c>
      <c r="O91" s="16">
        <f>IF(ISNUMBER(M91),ROUND(M91*(1-Condizioni!$B$2),2),"")</f>
        <v/>
      </c>
      <c r="P91" s="17" t="inlineStr">
        <is>
          <t>Sì</t>
        </is>
      </c>
    </row>
    <row r="92">
      <c r="A92" s="14" t="inlineStr">
        <is>
          <t>Uovonero</t>
        </is>
      </c>
      <c r="B92" s="14" t="inlineStr">
        <is>
          <t>Thornhill</t>
        </is>
      </c>
      <c r="C92" s="14" t="inlineStr">
        <is>
          <t>Pam Smy</t>
        </is>
      </c>
      <c r="D92" s="14" t="inlineStr">
        <is>
          <t>I Geodi</t>
        </is>
      </c>
      <c r="E92" s="14" t="inlineStr">
        <is>
          <t>12+, 14+</t>
        </is>
      </c>
      <c r="F92" s="14" t="inlineStr">
        <is>
          <t>Scuola media (11-13)</t>
        </is>
      </c>
      <c r="G92" s="14" t="inlineStr">
        <is>
          <t>Narrativa</t>
        </is>
      </c>
      <c r="H92" s="14" t="inlineStr">
        <is>
          <t>Bullismo (tema noto del libro, da verificare)</t>
        </is>
      </c>
      <c r="I92" s="14" t="inlineStr">
        <is>
          <t>No</t>
        </is>
      </c>
      <c r="J92" s="14" t="inlineStr">
        <is>
          <t>Catalogo</t>
        </is>
      </c>
      <c r="K92" s="14" t="inlineStr">
        <is>
          <t>prima/seconda/terza media, narrativa, bullismo</t>
        </is>
      </c>
      <c r="L92" s="14" t="inlineStr">
        <is>
          <t>https://www.uovonero.com/libri</t>
        </is>
      </c>
      <c r="M92" s="16" t="n">
        <v>22</v>
      </c>
      <c r="N92" s="14" t="inlineStr">
        <is>
          <t>Catalogo Uovonero per librai</t>
        </is>
      </c>
      <c r="O92" s="16">
        <f>IF(ISNUMBER(M92),ROUND(M92*(1-Condizioni!$B$2),2),"")</f>
        <v/>
      </c>
      <c r="P92" s="17" t="inlineStr">
        <is>
          <t>Sì</t>
        </is>
      </c>
    </row>
    <row r="93">
      <c r="A93" s="14" t="inlineStr">
        <is>
          <t>Uovonero</t>
        </is>
      </c>
      <c r="B93" s="14" t="inlineStr">
        <is>
          <t>Tre dita</t>
        </is>
      </c>
      <c r="C93" s="14" t="inlineStr">
        <is>
          <t>Massimo Canuti</t>
        </is>
      </c>
      <c r="D93" s="14" t="inlineStr">
        <is>
          <t>I Geodi</t>
        </is>
      </c>
      <c r="E93" s="14" t="inlineStr">
        <is>
          <t>12+</t>
        </is>
      </c>
      <c r="F93" s="14" t="inlineStr">
        <is>
          <t>Scuola media (11-13)</t>
        </is>
      </c>
      <c r="G93" s="14" t="inlineStr">
        <is>
          <t>Romanzo</t>
        </is>
      </c>
      <c r="H93" s="14" t="inlineStr">
        <is>
          <t>Memoria (Seconda guerra mondiale)</t>
        </is>
      </c>
      <c r="I93" s="14" t="inlineStr">
        <is>
          <t>No</t>
        </is>
      </c>
      <c r="J93" s="14" t="inlineStr">
        <is>
          <t>Catalogo</t>
        </is>
      </c>
      <c r="K93" s="14" t="inlineStr">
        <is>
          <t>prima/seconda/terza media, romanzo, narrativa</t>
        </is>
      </c>
      <c r="L93" s="14" t="inlineStr">
        <is>
          <t>https://www.uovonero.com/libri</t>
        </is>
      </c>
      <c r="M93" s="16" t="n">
        <v>16.5</v>
      </c>
      <c r="N93" s="14" t="inlineStr">
        <is>
          <t>Catalogo Uovonero per librai</t>
        </is>
      </c>
      <c r="O93" s="16">
        <f>IF(ISNUMBER(M93),ROUND(M93*(1-Condizioni!$B$2),2),"")</f>
        <v/>
      </c>
      <c r="P93" s="17" t="inlineStr">
        <is>
          <t>Sì</t>
        </is>
      </c>
    </row>
    <row r="94">
      <c r="A94" s="14" t="inlineStr">
        <is>
          <t>Uovonero</t>
        </is>
      </c>
      <c r="B94" s="14" t="inlineStr">
        <is>
          <t>Tutt'altro che tipico</t>
        </is>
      </c>
      <c r="C94" s="14" t="inlineStr">
        <is>
          <t>Nora Raleigh Baskin</t>
        </is>
      </c>
      <c r="D94" s="14" t="inlineStr">
        <is>
          <t>I Geodi</t>
        </is>
      </c>
      <c r="E94" s="14" t="inlineStr">
        <is>
          <t>12+</t>
        </is>
      </c>
      <c r="F94" s="14" t="inlineStr">
        <is>
          <t>Scuola media (11-13)</t>
        </is>
      </c>
      <c r="G94" s="14" t="inlineStr">
        <is>
          <t>Romanzo</t>
        </is>
      </c>
      <c r="H94" s="14" t="inlineStr">
        <is>
          <t>Autismo</t>
        </is>
      </c>
      <c r="I94" s="14" t="inlineStr">
        <is>
          <t>No</t>
        </is>
      </c>
      <c r="J94" s="14" t="inlineStr">
        <is>
          <t>Catalogo</t>
        </is>
      </c>
      <c r="K94" s="14" t="inlineStr">
        <is>
          <t>prima/seconda/terza media, romanzo, narrativa</t>
        </is>
      </c>
      <c r="L94" s="14" t="inlineStr">
        <is>
          <t>https://www.uovonero.com/libri</t>
        </is>
      </c>
      <c r="M94" s="16" t="n">
        <v>14</v>
      </c>
      <c r="N94" s="14" t="inlineStr">
        <is>
          <t>Catalogo Uovonero per librai</t>
        </is>
      </c>
      <c r="O94" s="16">
        <f>IF(ISNUMBER(M94),ROUND(M94*(1-Condizioni!$B$2),2),"")</f>
        <v/>
      </c>
      <c r="P94" s="17" t="inlineStr">
        <is>
          <t>Sì</t>
        </is>
      </c>
    </row>
    <row r="95">
      <c r="A95" s="14" t="inlineStr">
        <is>
          <t>Uovonero</t>
        </is>
      </c>
      <c r="B95" s="14" t="inlineStr">
        <is>
          <t>Tutta la rabbia che ho dentro</t>
        </is>
      </c>
      <c r="C95" s="14" t="inlineStr">
        <is>
          <t>Inés Garland</t>
        </is>
      </c>
      <c r="D95" s="14" t="inlineStr">
        <is>
          <t>I Geodi</t>
        </is>
      </c>
      <c r="E95" s="14" t="inlineStr">
        <is>
          <t>12+</t>
        </is>
      </c>
      <c r="F95" s="14" t="inlineStr">
        <is>
          <t>Scuola media (11-13)</t>
        </is>
      </c>
      <c r="G95" s="14" t="inlineStr">
        <is>
          <t>Romanzo</t>
        </is>
      </c>
      <c r="H95" s="14" t="inlineStr">
        <is>
          <t>Emozioni e adolescenza</t>
        </is>
      </c>
      <c r="I95" s="14" t="inlineStr">
        <is>
          <t>No</t>
        </is>
      </c>
      <c r="J95" s="14" t="inlineStr">
        <is>
          <t>Catalogo</t>
        </is>
      </c>
      <c r="K95" s="14" t="inlineStr">
        <is>
          <t>prima/seconda/terza media, romanzo, narrativa</t>
        </is>
      </c>
      <c r="L95" s="14" t="inlineStr">
        <is>
          <t>https://www.uovonero.com/libri</t>
        </is>
      </c>
      <c r="M95" s="16" t="n">
        <v>16</v>
      </c>
      <c r="N95" s="14" t="inlineStr">
        <is>
          <t>Catalogo Uovonero per librai</t>
        </is>
      </c>
      <c r="O95" s="16">
        <f>IF(ISNUMBER(M95),ROUND(M95*(1-Condizioni!$B$2),2),"")</f>
        <v/>
      </c>
      <c r="P95" s="17" t="inlineStr">
        <is>
          <t>Sì</t>
        </is>
      </c>
    </row>
    <row r="96">
      <c r="A96" s="14" t="inlineStr">
        <is>
          <t>Uovonero</t>
        </is>
      </c>
      <c r="B96" s="14" t="inlineStr">
        <is>
          <t>Una mamma svitata</t>
        </is>
      </c>
      <c r="C96" s="14" t="inlineStr">
        <is>
          <t>Gunnar Helgason</t>
        </is>
      </c>
      <c r="D96" s="14" t="inlineStr">
        <is>
          <t>I Geodi</t>
        </is>
      </c>
      <c r="E96" s="14" t="inlineStr">
        <is>
          <t>12+</t>
        </is>
      </c>
      <c r="F96" s="14" t="inlineStr">
        <is>
          <t>Scuola media (11-13)</t>
        </is>
      </c>
      <c r="G96" s="14" t="inlineStr">
        <is>
          <t>Romanzo</t>
        </is>
      </c>
      <c r="H96" s="14" t="inlineStr">
        <is>
          <t>Famiglia e adolescenza</t>
        </is>
      </c>
      <c r="I96" s="14" t="inlineStr">
        <is>
          <t>No</t>
        </is>
      </c>
      <c r="J96" s="14" t="inlineStr">
        <is>
          <t>Catalogo</t>
        </is>
      </c>
      <c r="K96" s="14" t="inlineStr">
        <is>
          <t>prima/seconda/terza media, romanzo, narrativa</t>
        </is>
      </c>
      <c r="L96" s="14" t="inlineStr">
        <is>
          <t>https://www.uovonero.com/libri</t>
        </is>
      </c>
      <c r="M96" s="16" t="n">
        <v>15</v>
      </c>
      <c r="N96" s="14" t="inlineStr">
        <is>
          <t>Catalogo Uovonero per librai</t>
        </is>
      </c>
      <c r="O96" s="16">
        <f>IF(ISNUMBER(M96),ROUND(M96*(1-Condizioni!$B$2),2),"")</f>
        <v/>
      </c>
      <c r="P96" s="17" t="inlineStr">
        <is>
          <t>Sì</t>
        </is>
      </c>
    </row>
    <row r="97">
      <c r="A97" s="14" t="inlineStr">
        <is>
          <t>Uovonero</t>
        </is>
      </c>
      <c r="B97" s="14" t="inlineStr">
        <is>
          <t>Una piccola cosa senza importanza</t>
        </is>
      </c>
      <c r="C97" s="14" t="inlineStr">
        <is>
          <t>Catherine Fradier</t>
        </is>
      </c>
      <c r="D97" s="14" t="inlineStr">
        <is>
          <t>I Geodi</t>
        </is>
      </c>
      <c r="E97" s="14" t="inlineStr">
        <is>
          <t>12+, 14+</t>
        </is>
      </c>
      <c r="F97" s="14" t="inlineStr">
        <is>
          <t>Scuola media (11-13)</t>
        </is>
      </c>
      <c r="G97" s="14" t="inlineStr">
        <is>
          <t>Avventura</t>
        </is>
      </c>
      <c r="H97" s="14" t="inlineStr">
        <is>
          <t>Autismo</t>
        </is>
      </c>
      <c r="I97" s="14" t="inlineStr">
        <is>
          <t>No</t>
        </is>
      </c>
      <c r="J97" s="14" t="inlineStr">
        <is>
          <t>Catalogo</t>
        </is>
      </c>
      <c r="K97" s="14" t="inlineStr">
        <is>
          <t>prima/seconda/terza media, avventura, narrativa</t>
        </is>
      </c>
      <c r="L97" s="14" t="inlineStr">
        <is>
          <t>https://www.uovonero.com/libri</t>
        </is>
      </c>
      <c r="M97" s="16" t="n">
        <v>15</v>
      </c>
      <c r="N97" s="14" t="inlineStr">
        <is>
          <t>Catalogo Uovonero per librai</t>
        </is>
      </c>
      <c r="O97" s="16">
        <f>IF(ISNUMBER(M97),ROUND(M97*(1-Condizioni!$B$2),2),"")</f>
        <v/>
      </c>
      <c r="P97" s="17" t="inlineStr">
        <is>
          <t>Sì</t>
        </is>
      </c>
    </row>
    <row r="98">
      <c r="A98" s="14" t="inlineStr">
        <is>
          <t>Uovonero</t>
        </is>
      </c>
      <c r="B98" s="14" t="inlineStr">
        <is>
          <t>Divergente</t>
        </is>
      </c>
      <c r="C98" s="14" t="inlineStr">
        <is>
          <t>Victoria Grondin</t>
        </is>
      </c>
      <c r="D98" s="14" t="inlineStr">
        <is>
          <t>I Geodi</t>
        </is>
      </c>
      <c r="E98" s="14" t="inlineStr">
        <is>
          <t>14+</t>
        </is>
      </c>
      <c r="F98" s="14" t="inlineStr">
        <is>
          <t>Adolescenza (14+)</t>
        </is>
      </c>
      <c r="G98" s="14" t="inlineStr">
        <is>
          <t>Romanzo</t>
        </is>
      </c>
      <c r="H98" s="14" t="inlineStr">
        <is>
          <t>Autismo / diversità</t>
        </is>
      </c>
      <c r="I98" s="14" t="inlineStr">
        <is>
          <t>No</t>
        </is>
      </c>
      <c r="J98" s="14" t="inlineStr">
        <is>
          <t>Catalogo</t>
        </is>
      </c>
      <c r="K98" s="14" t="inlineStr">
        <is>
          <t>adolescenza, romanzo, narrativa</t>
        </is>
      </c>
      <c r="L98" s="14" t="inlineStr">
        <is>
          <t>https://www.uovonero.com/libri</t>
        </is>
      </c>
      <c r="M98" s="16" t="n">
        <v>15</v>
      </c>
      <c r="N98" s="14" t="inlineStr">
        <is>
          <t>Catalogo Uovonero per librai</t>
        </is>
      </c>
      <c r="O98" s="16">
        <f>IF(ISNUMBER(M98),ROUND(M98*(1-Condizioni!$B$2),2),"")</f>
        <v/>
      </c>
      <c r="P98" s="17" t="inlineStr">
        <is>
          <t>Sì</t>
        </is>
      </c>
    </row>
    <row r="99">
      <c r="A99" s="14" t="inlineStr">
        <is>
          <t>Uovonero</t>
        </is>
      </c>
      <c r="B99" s="14" t="inlineStr">
        <is>
          <t>Il mio posto</t>
        </is>
      </c>
      <c r="C99" s="14" t="inlineStr">
        <is>
          <t>Daniele Bergesio</t>
        </is>
      </c>
      <c r="D99" s="14" t="inlineStr">
        <is>
          <t>I Geodi</t>
        </is>
      </c>
      <c r="E99" s="14" t="inlineStr">
        <is>
          <t>14+</t>
        </is>
      </c>
      <c r="F99" s="14" t="inlineStr">
        <is>
          <t>Adolescenza (14+)</t>
        </is>
      </c>
      <c r="G99" s="14" t="inlineStr">
        <is>
          <t>Romanzo</t>
        </is>
      </c>
      <c r="H99" s="14" t="inlineStr">
        <is>
          <t>Emozioni e adolescenza</t>
        </is>
      </c>
      <c r="I99" s="14" t="inlineStr">
        <is>
          <t>No</t>
        </is>
      </c>
      <c r="J99" s="14" t="inlineStr">
        <is>
          <t>Catalogo</t>
        </is>
      </c>
      <c r="K99" s="14" t="inlineStr">
        <is>
          <t>adolescenza, romanzo, narrativa</t>
        </is>
      </c>
      <c r="L99" s="14" t="inlineStr">
        <is>
          <t>https://www.uovonero.com/libri</t>
        </is>
      </c>
      <c r="M99" s="16" t="n">
        <v>16</v>
      </c>
      <c r="N99" s="14" t="inlineStr">
        <is>
          <t>Catalogo Uovonero per librai</t>
        </is>
      </c>
      <c r="O99" s="16">
        <f>IF(ISNUMBER(M99),ROUND(M99*(1-Condizioni!$B$2),2),"")</f>
        <v/>
      </c>
      <c r="P99" s="17" t="inlineStr">
        <is>
          <t>Sì</t>
        </is>
      </c>
    </row>
    <row r="100">
      <c r="A100" s="14" t="inlineStr">
        <is>
          <t>Uovonero</t>
        </is>
      </c>
      <c r="B100" s="14" t="inlineStr">
        <is>
          <t>L'aquilone di Noah</t>
        </is>
      </c>
      <c r="C100" s="14" t="inlineStr">
        <is>
          <t>Rafael Salmerón</t>
        </is>
      </c>
      <c r="D100" s="14" t="inlineStr">
        <is>
          <t>I Geodi</t>
        </is>
      </c>
      <c r="E100" s="14" t="inlineStr">
        <is>
          <t>14+</t>
        </is>
      </c>
      <c r="F100" s="14" t="inlineStr">
        <is>
          <t>Adolescenza (14+)</t>
        </is>
      </c>
      <c r="G100" s="14" t="inlineStr">
        <is>
          <t>Romanzo</t>
        </is>
      </c>
      <c r="H100" s="14" t="inlineStr">
        <is>
          <t>Autismo; Seconda guerra mondiale</t>
        </is>
      </c>
      <c r="I100" s="14" t="inlineStr">
        <is>
          <t>No</t>
        </is>
      </c>
      <c r="J100" s="14" t="inlineStr">
        <is>
          <t>Catalogo</t>
        </is>
      </c>
      <c r="K100" s="14" t="inlineStr">
        <is>
          <t>adolescenza, romanzo, narrativa</t>
        </is>
      </c>
      <c r="L100" s="14" t="inlineStr">
        <is>
          <t>https://www.uovonero.com/libri</t>
        </is>
      </c>
      <c r="M100" s="16" t="n">
        <v>15</v>
      </c>
      <c r="N100" s="14" t="inlineStr">
        <is>
          <t>Catalogo Uovonero per librai</t>
        </is>
      </c>
      <c r="O100" s="16">
        <f>IF(ISNUMBER(M100),ROUND(M100*(1-Condizioni!$B$2),2),"")</f>
        <v/>
      </c>
      <c r="P100" s="17" t="inlineStr">
        <is>
          <t>Sì</t>
        </is>
      </c>
    </row>
    <row r="101">
      <c r="A101" s="14" t="inlineStr">
        <is>
          <t>Uovonero</t>
        </is>
      </c>
      <c r="B101" s="14" t="inlineStr">
        <is>
          <t>Le degenerate</t>
        </is>
      </c>
      <c r="C101" s="14" t="inlineStr">
        <is>
          <t>J. Albert Mann</t>
        </is>
      </c>
      <c r="D101" s="14" t="inlineStr">
        <is>
          <t>I Geodi</t>
        </is>
      </c>
      <c r="E101" s="14" t="inlineStr">
        <is>
          <t>14+</t>
        </is>
      </c>
      <c r="F101" s="14" t="inlineStr">
        <is>
          <t>Adolescenza (14+)</t>
        </is>
      </c>
      <c r="G101" s="14" t="inlineStr">
        <is>
          <t>Romanzo</t>
        </is>
      </c>
      <c r="H101" s="14" t="inlineStr">
        <is>
          <t>Disabilità (storia delle istituzioni, 1928)</t>
        </is>
      </c>
      <c r="I101" s="14" t="inlineStr">
        <is>
          <t>No</t>
        </is>
      </c>
      <c r="J101" s="14" t="inlineStr">
        <is>
          <t>Catalogo</t>
        </is>
      </c>
      <c r="K101" s="14" t="inlineStr">
        <is>
          <t>adolescenza, romanzo, narrativa</t>
        </is>
      </c>
      <c r="L101" s="14" t="inlineStr">
        <is>
          <t>https://www.uovonero.com/libri</t>
        </is>
      </c>
      <c r="M101" s="16" t="n">
        <v>16</v>
      </c>
      <c r="N101" s="14" t="inlineStr">
        <is>
          <t>Catalogo Uovonero per librai</t>
        </is>
      </c>
      <c r="O101" s="16">
        <f>IF(ISNUMBER(M101),ROUND(M101*(1-Condizioni!$B$2),2),"")</f>
        <v/>
      </c>
      <c r="P101" s="17" t="inlineStr">
        <is>
          <t>Sì</t>
        </is>
      </c>
    </row>
    <row r="102">
      <c r="A102" s="14" t="inlineStr">
        <is>
          <t>Uovonero</t>
        </is>
      </c>
      <c r="B102" s="14" t="inlineStr">
        <is>
          <t>I quaderni di #intantofaccioqualcosa 4 – Attività con la CAA</t>
        </is>
      </c>
      <c r="C102" s="14" t="inlineStr">
        <is>
          <t>a cura di Enza Crivelli</t>
        </is>
      </c>
      <c r="D102" s="14" t="inlineStr">
        <is>
          <t>I quaderni di #IFQ</t>
        </is>
      </c>
      <c r="E102" s="14" t="inlineStr">
        <is>
          <t>da 4 anni</t>
        </is>
      </c>
      <c r="F102" s="14" t="inlineStr">
        <is>
          <t>3-6 anni</t>
        </is>
      </c>
      <c r="G102" s="14" t="inlineStr">
        <is>
          <t>Gioco/Activity book</t>
        </is>
      </c>
      <c r="H102" s="14" t="inlineStr"/>
      <c r="I102" s="18" t="inlineStr">
        <is>
          <t>Sì</t>
        </is>
      </c>
      <c r="J102" s="14" t="inlineStr">
        <is>
          <t>Verificata (IBS / editore)</t>
        </is>
      </c>
      <c r="K102" s="14" t="inlineStr">
        <is>
          <t>3-6 anni, CAA</t>
        </is>
      </c>
      <c r="L102" s="14" t="inlineStr">
        <is>
          <t>https://www.uovonero.com/libri/i-quaderni</t>
        </is>
      </c>
      <c r="M102" s="16" t="n">
        <v>8.9</v>
      </c>
      <c r="N102" s="14" t="inlineStr">
        <is>
          <t>testo fornito da Bottegart (scheda Uovonero)</t>
        </is>
      </c>
      <c r="O102" s="16">
        <f>IF(ISNUMBER(M102),ROUND(M102*(1-Condizioni!$B$2),2),"")</f>
        <v/>
      </c>
      <c r="P102" s="17" t="inlineStr">
        <is>
          <t>Sì</t>
        </is>
      </c>
    </row>
    <row r="103">
      <c r="A103" s="14" t="inlineStr">
        <is>
          <t>Uovonero</t>
        </is>
      </c>
      <c r="B103" s="14" t="inlineStr">
        <is>
          <t>I quaderni di #intantofaccioqualcosa 6 – Attività con la CAA 2</t>
        </is>
      </c>
      <c r="C103" s="14" t="inlineStr">
        <is>
          <t>a cura di Enza Crivelli</t>
        </is>
      </c>
      <c r="D103" s="14" t="inlineStr">
        <is>
          <t>I quaderni di #IFQ</t>
        </is>
      </c>
      <c r="E103" s="14" t="inlineStr">
        <is>
          <t>da 4 anni</t>
        </is>
      </c>
      <c r="F103" s="14" t="inlineStr">
        <is>
          <t>3-6 anni</t>
        </is>
      </c>
      <c r="G103" s="14" t="inlineStr">
        <is>
          <t>Gioco/Activity book</t>
        </is>
      </c>
      <c r="H103" s="14" t="inlineStr"/>
      <c r="I103" s="18" t="inlineStr">
        <is>
          <t>Sì</t>
        </is>
      </c>
      <c r="J103" s="14" t="inlineStr">
        <is>
          <t>Verificata (IBS / editore)</t>
        </is>
      </c>
      <c r="K103" s="14" t="inlineStr">
        <is>
          <t>3-6 anni, CAA</t>
        </is>
      </c>
      <c r="L103" s="14" t="inlineStr">
        <is>
          <t>https://www.uovonero.com/libri/i-quaderni</t>
        </is>
      </c>
      <c r="M103" s="16" t="n">
        <v>8.9</v>
      </c>
      <c r="N103" s="14" t="inlineStr">
        <is>
          <t>https://www.uovonero.com/libri/i-quaderni</t>
        </is>
      </c>
      <c r="O103" s="16">
        <f>IF(ISNUMBER(M103),ROUND(M103*(1-Condizioni!$B$2),2),"")</f>
        <v/>
      </c>
      <c r="P103" s="17" t="inlineStr">
        <is>
          <t>Sì</t>
        </is>
      </c>
    </row>
    <row r="104">
      <c r="A104" s="14" t="inlineStr">
        <is>
          <t>Uovonero</t>
        </is>
      </c>
      <c r="B104" s="14" t="inlineStr">
        <is>
          <t>La principessa sul pisello</t>
        </is>
      </c>
      <c r="C104" s="14" t="inlineStr">
        <is>
          <t>a cura di E. Crivelli; ill. F. Corso</t>
        </is>
      </c>
      <c r="D104" s="14" t="inlineStr">
        <is>
          <t>Pesci parlanti</t>
        </is>
      </c>
      <c r="E104" s="14" t="inlineStr">
        <is>
          <t>da 4 anni</t>
        </is>
      </c>
      <c r="F104" s="14" t="inlineStr">
        <is>
          <t>3-6 anni</t>
        </is>
      </c>
      <c r="G104" s="14" t="inlineStr">
        <is>
          <t>Libro in simboli (CAA)</t>
        </is>
      </c>
      <c r="H104" s="14" t="inlineStr"/>
      <c r="I104" s="18" t="inlineStr">
        <is>
          <t>Sì</t>
        </is>
      </c>
      <c r="J104" s="14" t="inlineStr">
        <is>
          <t>Verificata (IBS / editore)</t>
        </is>
      </c>
      <c r="K104" s="14" t="inlineStr">
        <is>
          <t>3-6 anni, CAA</t>
        </is>
      </c>
      <c r="L104" s="14" t="inlineStr">
        <is>
          <t>https://www.uovonero.com/libri</t>
        </is>
      </c>
      <c r="M104" s="19" t="n"/>
      <c r="N104" s="14" t="inlineStr"/>
      <c r="O104" s="16">
        <f>IF(ISNUMBER(M104),ROUND(M104*(1-Condizioni!$B$2),2),"")</f>
        <v/>
      </c>
      <c r="P104" s="17" t="inlineStr">
        <is>
          <t>Sì</t>
        </is>
      </c>
    </row>
    <row r="105">
      <c r="A105" s="14" t="inlineStr">
        <is>
          <t>Terre di Mezzo</t>
        </is>
      </c>
      <c r="B105" s="14" t="inlineStr">
        <is>
          <t>Balena, vengo anch’io!</t>
        </is>
      </c>
      <c r="C105" s="14" t="inlineStr">
        <is>
          <t>Susanne Strasser</t>
        </is>
      </c>
      <c r="D105" s="14" t="inlineStr">
        <is>
          <t>L'Acchiappastorie – Per i più piccoli</t>
        </is>
      </c>
      <c r="E105" s="14" t="inlineStr">
        <is>
          <t>per i più piccoli</t>
        </is>
      </c>
      <c r="F105" s="14" t="inlineStr">
        <is>
          <t>0-3 anni</t>
        </is>
      </c>
      <c r="G105" s="14" t="inlineStr">
        <is>
          <t>Libro cartonato</t>
        </is>
      </c>
      <c r="H105" s="14" t="inlineStr"/>
      <c r="I105" s="14" t="inlineStr">
        <is>
          <t>No</t>
        </is>
      </c>
      <c r="J105" s="14" t="inlineStr">
        <is>
          <t>Collana</t>
        </is>
      </c>
      <c r="K105" s="14" t="inlineStr">
        <is>
          <t>0-3 anni</t>
        </is>
      </c>
      <c r="L105" s="14" t="inlineStr">
        <is>
          <t>Catalogo Terre di Mezzo 1° semestre 2026, p. 4 (ISBN 9788861896925)</t>
        </is>
      </c>
      <c r="M105" s="16" t="n">
        <v>12.9</v>
      </c>
      <c r="N105" s="14" t="inlineStr">
        <is>
          <t>Catalogo Terre di Mezzo 1° semestre 2026</t>
        </is>
      </c>
      <c r="O105" s="16">
        <f>IF(ISNUMBER(M105),ROUND(M105*(1-Condizioni!$B$2),2),"")</f>
        <v/>
      </c>
      <c r="P105" s="17" t="inlineStr">
        <is>
          <t>No</t>
        </is>
      </c>
    </row>
    <row r="106">
      <c r="A106" s="14" t="inlineStr">
        <is>
          <t>Terre di Mezzo</t>
        </is>
      </c>
      <c r="B106" s="14" t="inlineStr">
        <is>
          <t>Bimbo Bubble va a scuola</t>
        </is>
      </c>
      <c r="C106" s="14" t="inlineStr">
        <is>
          <t>María Ramos</t>
        </is>
      </c>
      <c r="D106" s="14" t="inlineStr">
        <is>
          <t>L'Acchiappastorie – Per i più piccoli</t>
        </is>
      </c>
      <c r="E106" s="14" t="inlineStr">
        <is>
          <t>per i più piccoli</t>
        </is>
      </c>
      <c r="F106" s="14" t="inlineStr">
        <is>
          <t>0-3 anni</t>
        </is>
      </c>
      <c r="G106" s="14" t="inlineStr">
        <is>
          <t>Libro cartonato</t>
        </is>
      </c>
      <c r="H106" s="14" t="inlineStr"/>
      <c r="I106" s="14" t="inlineStr">
        <is>
          <t>No</t>
        </is>
      </c>
      <c r="J106" s="14" t="inlineStr">
        <is>
          <t>Collana</t>
        </is>
      </c>
      <c r="K106" s="14" t="inlineStr">
        <is>
          <t>0-3 anni</t>
        </is>
      </c>
      <c r="L106" s="14" t="inlineStr">
        <is>
          <t>Catalogo Terre di Mezzo 1° semestre 2026, p. 7 (ISBN 9788861897182)</t>
        </is>
      </c>
      <c r="M106" s="16" t="n">
        <v>12.9</v>
      </c>
      <c r="N106" s="14" t="inlineStr">
        <is>
          <t>Catalogo Terre di Mezzo 1° semestre 2026</t>
        </is>
      </c>
      <c r="O106" s="16">
        <f>IF(ISNUMBER(M106),ROUND(M106*(1-Condizioni!$B$2),2),"")</f>
        <v/>
      </c>
      <c r="P106" s="17" t="inlineStr">
        <is>
          <t>Sì</t>
        </is>
      </c>
    </row>
    <row r="107">
      <c r="A107" s="14" t="inlineStr">
        <is>
          <t>Terre di Mezzo</t>
        </is>
      </c>
      <c r="B107" s="14" t="inlineStr">
        <is>
          <t>Bobò pupazzo distratto</t>
        </is>
      </c>
      <c r="C107" s="14" t="inlineStr">
        <is>
          <t>Édouard Manceau</t>
        </is>
      </c>
      <c r="D107" s="14" t="inlineStr">
        <is>
          <t>L'Acchiappastorie – Per i più piccoli</t>
        </is>
      </c>
      <c r="E107" s="14" t="inlineStr">
        <is>
          <t>per i più piccoli</t>
        </is>
      </c>
      <c r="F107" s="14" t="inlineStr">
        <is>
          <t>0-3 anni</t>
        </is>
      </c>
      <c r="G107" s="14" t="inlineStr">
        <is>
          <t>Libro cartonato</t>
        </is>
      </c>
      <c r="H107" s="14" t="inlineStr"/>
      <c r="I107" s="14" t="inlineStr">
        <is>
          <t>No</t>
        </is>
      </c>
      <c r="J107" s="14" t="inlineStr">
        <is>
          <t>Collana</t>
        </is>
      </c>
      <c r="K107" s="14" t="inlineStr">
        <is>
          <t>0-3 anni</t>
        </is>
      </c>
      <c r="L107" s="14" t="inlineStr">
        <is>
          <t>Catalogo Terre di Mezzo 1° semestre 2026, p. 8 (ISBN 9788861897366)</t>
        </is>
      </c>
      <c r="M107" s="16" t="n">
        <v>10.9</v>
      </c>
      <c r="N107" s="14" t="inlineStr">
        <is>
          <t>Catalogo Terre di Mezzo 1° semestre 2026</t>
        </is>
      </c>
      <c r="O107" s="16">
        <f>IF(ISNUMBER(M107),ROUND(M107*(1-Condizioni!$B$2),2),"")</f>
        <v/>
      </c>
      <c r="P107" s="17" t="inlineStr">
        <is>
          <t>No</t>
        </is>
      </c>
    </row>
    <row r="108">
      <c r="A108" s="14" t="inlineStr">
        <is>
          <t>Terre di Mezzo</t>
        </is>
      </c>
      <c r="B108" s="14" t="inlineStr">
        <is>
          <t>Buonanotte, Coniglietto</t>
        </is>
      </c>
      <c r="C108" s="14" t="inlineStr">
        <is>
          <t>Jörg Mühle</t>
        </is>
      </c>
      <c r="D108" s="14" t="inlineStr">
        <is>
          <t>L'Acchiappastorie – Per i più piccoli</t>
        </is>
      </c>
      <c r="E108" s="14" t="inlineStr">
        <is>
          <t>per i più piccoli</t>
        </is>
      </c>
      <c r="F108" s="14" t="inlineStr">
        <is>
          <t>0-3 anni</t>
        </is>
      </c>
      <c r="G108" s="14" t="inlineStr">
        <is>
          <t>Libro cartonato</t>
        </is>
      </c>
      <c r="H108" s="14" t="inlineStr"/>
      <c r="I108" s="14" t="inlineStr">
        <is>
          <t>No</t>
        </is>
      </c>
      <c r="J108" s="14" t="inlineStr">
        <is>
          <t>Collana</t>
        </is>
      </c>
      <c r="K108" s="14" t="inlineStr">
        <is>
          <t>0-3 anni</t>
        </is>
      </c>
      <c r="L108" s="14" t="inlineStr">
        <is>
          <t>Catalogo Terre di Mezzo 1° semestre 2026, p. 5 (ISBN 9788861895034)</t>
        </is>
      </c>
      <c r="M108" s="16" t="n">
        <v>8.9</v>
      </c>
      <c r="N108" s="14" t="inlineStr">
        <is>
          <t>Catalogo Terre di Mezzo 1° semestre 2026</t>
        </is>
      </c>
      <c r="O108" s="16">
        <f>IF(ISNUMBER(M108),ROUND(M108*(1-Condizioni!$B$2),2),"")</f>
        <v/>
      </c>
      <c r="P108" s="17" t="inlineStr">
        <is>
          <t>Sì</t>
        </is>
      </c>
    </row>
    <row r="109">
      <c r="A109" s="14" t="inlineStr">
        <is>
          <t>Terre di Mezzo</t>
        </is>
      </c>
      <c r="B109" s="14" t="inlineStr">
        <is>
          <t>Chi dorme nel lettone?</t>
        </is>
      </c>
      <c r="C109" s="14" t="inlineStr">
        <is>
          <t>Susanne Strasser</t>
        </is>
      </c>
      <c r="D109" s="14" t="inlineStr">
        <is>
          <t>L'Acchiappastorie – Per i più piccoli</t>
        </is>
      </c>
      <c r="E109" s="14" t="inlineStr">
        <is>
          <t>per i più piccoli</t>
        </is>
      </c>
      <c r="F109" s="14" t="inlineStr">
        <is>
          <t>0-3 anni</t>
        </is>
      </c>
      <c r="G109" s="14" t="inlineStr">
        <is>
          <t>Libro cartonato</t>
        </is>
      </c>
      <c r="H109" s="14" t="inlineStr"/>
      <c r="I109" s="14" t="inlineStr">
        <is>
          <t>No</t>
        </is>
      </c>
      <c r="J109" s="14" t="inlineStr">
        <is>
          <t>Collana</t>
        </is>
      </c>
      <c r="K109" s="14" t="inlineStr">
        <is>
          <t>0-3 anni</t>
        </is>
      </c>
      <c r="L109" s="14" t="inlineStr">
        <is>
          <t>Catalogo Terre di Mezzo 1° semestre 2026, p. 4 (ISBN 9788861897458)</t>
        </is>
      </c>
      <c r="M109" s="16" t="n">
        <v>12.9</v>
      </c>
      <c r="N109" s="14" t="inlineStr">
        <is>
          <t>Catalogo Terre di Mezzo 1° semestre 2026</t>
        </is>
      </c>
      <c r="O109" s="16">
        <f>IF(ISNUMBER(M109),ROUND(M109*(1-Condizioni!$B$2),2),"")</f>
        <v/>
      </c>
      <c r="P109" s="17" t="inlineStr">
        <is>
          <t>No</t>
        </is>
      </c>
    </row>
    <row r="110">
      <c r="A110" s="14" t="inlineStr">
        <is>
          <t>Terre di Mezzo</t>
        </is>
      </c>
      <c r="B110" s="14" t="inlineStr">
        <is>
          <t>Chi sono?</t>
        </is>
      </c>
      <c r="C110" s="14" t="inlineStr">
        <is>
          <t>Caroline Dall’Ava</t>
        </is>
      </c>
      <c r="D110" s="14" t="inlineStr">
        <is>
          <t>L'Acchiappastorie – Per i più piccoli</t>
        </is>
      </c>
      <c r="E110" s="14" t="inlineStr">
        <is>
          <t>per i più piccoli</t>
        </is>
      </c>
      <c r="F110" s="14" t="inlineStr">
        <is>
          <t>0-3 anni</t>
        </is>
      </c>
      <c r="G110" s="14" t="inlineStr">
        <is>
          <t>Libro cartonato</t>
        </is>
      </c>
      <c r="H110" s="14" t="inlineStr"/>
      <c r="I110" s="14" t="inlineStr">
        <is>
          <t>No</t>
        </is>
      </c>
      <c r="J110" s="14" t="inlineStr">
        <is>
          <t>Collana</t>
        </is>
      </c>
      <c r="K110" s="14" t="inlineStr">
        <is>
          <t>0-3 anni</t>
        </is>
      </c>
      <c r="L110" s="14" t="inlineStr">
        <is>
          <t>Catalogo Terre di Mezzo 1° semestre 2026, p. 8 (ISBN 9788861897427)</t>
        </is>
      </c>
      <c r="M110" s="16" t="n">
        <v>13.5</v>
      </c>
      <c r="N110" s="14" t="inlineStr">
        <is>
          <t>Catalogo Terre di Mezzo 1° semestre 2026</t>
        </is>
      </c>
      <c r="O110" s="16">
        <f>IF(ISNUMBER(M110),ROUND(M110*(1-Condizioni!$B$2),2),"")</f>
        <v/>
      </c>
      <c r="P110" s="17" t="inlineStr">
        <is>
          <t>No</t>
        </is>
      </c>
    </row>
    <row r="111">
      <c r="A111" s="14" t="inlineStr">
        <is>
          <t>Terre di Mezzo</t>
        </is>
      </c>
      <c r="B111" s="14" t="inlineStr">
        <is>
          <t>Coniglietto fa il bagnetto</t>
        </is>
      </c>
      <c r="C111" s="14" t="inlineStr">
        <is>
          <t>Jörg Mühle</t>
        </is>
      </c>
      <c r="D111" s="14" t="inlineStr">
        <is>
          <t>L'Acchiappastorie – Per i più piccoli</t>
        </is>
      </c>
      <c r="E111" s="14" t="inlineStr">
        <is>
          <t>per i più piccoli</t>
        </is>
      </c>
      <c r="F111" s="14" t="inlineStr">
        <is>
          <t>0-3 anni</t>
        </is>
      </c>
      <c r="G111" s="14" t="inlineStr">
        <is>
          <t>Libro cartonato</t>
        </is>
      </c>
      <c r="H111" s="14" t="inlineStr"/>
      <c r="I111" s="14" t="inlineStr">
        <is>
          <t>No</t>
        </is>
      </c>
      <c r="J111" s="14" t="inlineStr">
        <is>
          <t>Collana</t>
        </is>
      </c>
      <c r="K111" s="14" t="inlineStr">
        <is>
          <t>0-3 anni</t>
        </is>
      </c>
      <c r="L111" s="14" t="inlineStr">
        <is>
          <t>Catalogo Terre di Mezzo 1° semestre 2026, p. 5 (ISBN 9788861895096)</t>
        </is>
      </c>
      <c r="M111" s="16" t="n">
        <v>8.9</v>
      </c>
      <c r="N111" s="14" t="inlineStr">
        <is>
          <t>Catalogo Terre di Mezzo 1° semestre 2026</t>
        </is>
      </c>
      <c r="O111" s="16">
        <f>IF(ISNUMBER(M111),ROUND(M111*(1-Condizioni!$B$2),2),"")</f>
        <v/>
      </c>
      <c r="P111" s="17" t="inlineStr">
        <is>
          <t>No</t>
        </is>
      </c>
    </row>
    <row r="112">
      <c r="A112" s="14" t="inlineStr">
        <is>
          <t>Terre di Mezzo</t>
        </is>
      </c>
      <c r="B112" s="14" t="inlineStr">
        <is>
          <t>Coniglietto ha la bua</t>
        </is>
      </c>
      <c r="C112" s="14" t="inlineStr">
        <is>
          <t>Jörg Mühle</t>
        </is>
      </c>
      <c r="D112" s="14" t="inlineStr">
        <is>
          <t>L'Acchiappastorie – Per i più piccoli</t>
        </is>
      </c>
      <c r="E112" s="14" t="inlineStr">
        <is>
          <t>per i più piccoli</t>
        </is>
      </c>
      <c r="F112" s="14" t="inlineStr">
        <is>
          <t>0-3 anni</t>
        </is>
      </c>
      <c r="G112" s="14" t="inlineStr">
        <is>
          <t>Libro cartonato</t>
        </is>
      </c>
      <c r="H112" s="14" t="inlineStr"/>
      <c r="I112" s="14" t="inlineStr">
        <is>
          <t>No</t>
        </is>
      </c>
      <c r="J112" s="14" t="inlineStr">
        <is>
          <t>Collana</t>
        </is>
      </c>
      <c r="K112" s="14" t="inlineStr">
        <is>
          <t>0-3 anni</t>
        </is>
      </c>
      <c r="L112" s="14" t="inlineStr">
        <is>
          <t>Catalogo Terre di Mezzo 1° semestre 2026, p. 5 (ISBN 9788861895553)</t>
        </is>
      </c>
      <c r="M112" s="16" t="n">
        <v>8.9</v>
      </c>
      <c r="N112" s="14" t="inlineStr">
        <is>
          <t>Catalogo Terre di Mezzo 1° semestre 2026</t>
        </is>
      </c>
      <c r="O112" s="16">
        <f>IF(ISNUMBER(M112),ROUND(M112*(1-Condizioni!$B$2),2),"")</f>
        <v/>
      </c>
      <c r="P112" s="17" t="inlineStr">
        <is>
          <t>No</t>
        </is>
      </c>
    </row>
    <row r="113">
      <c r="A113" s="14" t="inlineStr">
        <is>
          <t>Terre di Mezzo</t>
        </is>
      </c>
      <c r="B113" s="14" t="inlineStr">
        <is>
          <t>Decidi sempre tu!</t>
        </is>
      </c>
      <c r="C113" s="14" t="inlineStr">
        <is>
          <t>Jörg Mühle</t>
        </is>
      </c>
      <c r="D113" s="14" t="inlineStr">
        <is>
          <t>L'Acchiappastorie – Per i più piccoli</t>
        </is>
      </c>
      <c r="E113" s="14" t="inlineStr">
        <is>
          <t>per i più piccoli</t>
        </is>
      </c>
      <c r="F113" s="14" t="inlineStr">
        <is>
          <t>0-3 anni</t>
        </is>
      </c>
      <c r="G113" s="14" t="inlineStr">
        <is>
          <t>Libro cartonato</t>
        </is>
      </c>
      <c r="H113" s="14" t="inlineStr"/>
      <c r="I113" s="14" t="inlineStr">
        <is>
          <t>No</t>
        </is>
      </c>
      <c r="J113" s="14" t="inlineStr">
        <is>
          <t>Collana</t>
        </is>
      </c>
      <c r="K113" s="14" t="inlineStr">
        <is>
          <t>0-3 anni</t>
        </is>
      </c>
      <c r="L113" s="14" t="inlineStr">
        <is>
          <t>Catalogo Terre di Mezzo 1° semestre 2026, p. 6 (ISBN 9791259962614)</t>
        </is>
      </c>
      <c r="M113" s="16" t="n">
        <v>14</v>
      </c>
      <c r="N113" s="14" t="inlineStr">
        <is>
          <t>Catalogo Terre di Mezzo 1° semestre 2026</t>
        </is>
      </c>
      <c r="O113" s="16">
        <f>IF(ISNUMBER(M113),ROUND(M113*(1-Condizioni!$B$2),2),"")</f>
        <v/>
      </c>
      <c r="P113" s="17" t="inlineStr">
        <is>
          <t>No</t>
        </is>
      </c>
    </row>
    <row r="114">
      <c r="A114" s="14" t="inlineStr">
        <is>
          <t>Terre di Mezzo</t>
        </is>
      </c>
      <c r="B114" s="14" t="inlineStr">
        <is>
          <t>Due a me, uno a te</t>
        </is>
      </c>
      <c r="C114" s="14" t="inlineStr">
        <is>
          <t>Jörg Mühle</t>
        </is>
      </c>
      <c r="D114" s="14" t="inlineStr">
        <is>
          <t>L'Acchiappastorie – Per i più piccoli</t>
        </is>
      </c>
      <c r="E114" s="14" t="inlineStr">
        <is>
          <t>per i più piccoli</t>
        </is>
      </c>
      <c r="F114" s="14" t="inlineStr">
        <is>
          <t>0-3 anni</t>
        </is>
      </c>
      <c r="G114" s="14" t="inlineStr">
        <is>
          <t>Libro cartonato</t>
        </is>
      </c>
      <c r="H114" s="14" t="inlineStr"/>
      <c r="I114" s="14" t="inlineStr">
        <is>
          <t>No</t>
        </is>
      </c>
      <c r="J114" s="14" t="inlineStr">
        <is>
          <t>Collana</t>
        </is>
      </c>
      <c r="K114" s="14" t="inlineStr">
        <is>
          <t>0-3 anni</t>
        </is>
      </c>
      <c r="L114" s="14" t="inlineStr">
        <is>
          <t>Catalogo Terre di Mezzo 1° semestre 2026, p. 6 (ISBN 9788861895577)</t>
        </is>
      </c>
      <c r="M114" s="16" t="n">
        <v>14</v>
      </c>
      <c r="N114" s="14" t="inlineStr">
        <is>
          <t>Catalogo Terre di Mezzo 1° semestre 2026</t>
        </is>
      </c>
      <c r="O114" s="16">
        <f>IF(ISNUMBER(M114),ROUND(M114*(1-Condizioni!$B$2),2),"")</f>
        <v/>
      </c>
      <c r="P114" s="17" t="inlineStr">
        <is>
          <t>No</t>
        </is>
      </c>
    </row>
    <row r="115">
      <c r="A115" s="14" t="inlineStr">
        <is>
          <t>Terre di Mezzo</t>
        </is>
      </c>
      <c r="B115" s="14" t="inlineStr">
        <is>
          <t>Ehi! che cos’è?</t>
        </is>
      </c>
      <c r="C115" s="14" t="inlineStr">
        <is>
          <t>Cédric Ramadier, Vincent Bourgeau</t>
        </is>
      </c>
      <c r="D115" s="14" t="inlineStr">
        <is>
          <t>L'Acchiappastorie – Per i più piccoli</t>
        </is>
      </c>
      <c r="E115" s="14" t="inlineStr">
        <is>
          <t>per i più piccoli</t>
        </is>
      </c>
      <c r="F115" s="14" t="inlineStr">
        <is>
          <t>0-3 anni</t>
        </is>
      </c>
      <c r="G115" s="14" t="inlineStr">
        <is>
          <t>Libro cartonato</t>
        </is>
      </c>
      <c r="H115" s="14" t="inlineStr"/>
      <c r="I115" s="14" t="inlineStr">
        <is>
          <t>No</t>
        </is>
      </c>
      <c r="J115" s="14" t="inlineStr">
        <is>
          <t>Collana</t>
        </is>
      </c>
      <c r="K115" s="14" t="inlineStr">
        <is>
          <t>0-3 anni</t>
        </is>
      </c>
      <c r="L115" s="14" t="inlineStr">
        <is>
          <t>Catalogo Terre di Mezzo 1° semestre 2026, p. 7 (ISBN 9791259960702)</t>
        </is>
      </c>
      <c r="M115" s="16" t="n">
        <v>14</v>
      </c>
      <c r="N115" s="14" t="inlineStr">
        <is>
          <t>Catalogo Terre di Mezzo 1° semestre 2026</t>
        </is>
      </c>
      <c r="O115" s="16">
        <f>IF(ISNUMBER(M115),ROUND(M115*(1-Condizioni!$B$2),2),"")</f>
        <v/>
      </c>
      <c r="P115" s="17" t="inlineStr">
        <is>
          <t>No</t>
        </is>
      </c>
    </row>
    <row r="116">
      <c r="A116" s="14" t="inlineStr">
        <is>
          <t>Terre di Mezzo</t>
        </is>
      </c>
      <c r="B116" s="14" t="inlineStr">
        <is>
          <t>Facciamo che eravamo</t>
        </is>
      </c>
      <c r="C116" s="14" t="inlineStr">
        <is>
          <t>Shawn Harris</t>
        </is>
      </c>
      <c r="D116" s="14" t="inlineStr">
        <is>
          <t>L'Acchiappastorie – Per i più piccoli</t>
        </is>
      </c>
      <c r="E116" s="14" t="inlineStr">
        <is>
          <t>per i più piccoli</t>
        </is>
      </c>
      <c r="F116" s="14" t="inlineStr">
        <is>
          <t>0-3 anni</t>
        </is>
      </c>
      <c r="G116" s="14" t="inlineStr">
        <is>
          <t>Libro cartonato</t>
        </is>
      </c>
      <c r="H116" s="14" t="inlineStr"/>
      <c r="I116" s="14" t="inlineStr">
        <is>
          <t>No</t>
        </is>
      </c>
      <c r="J116" s="14" t="inlineStr">
        <is>
          <t>Collana</t>
        </is>
      </c>
      <c r="K116" s="14" t="inlineStr">
        <is>
          <t>0-3 anni</t>
        </is>
      </c>
      <c r="L116" s="14" t="inlineStr">
        <is>
          <t>Catalogo Terre di Mezzo 1° semestre 2026, p. 5 (ISBN 9791259963222)</t>
        </is>
      </c>
      <c r="M116" s="16" t="n">
        <v>16</v>
      </c>
      <c r="N116" s="14" t="inlineStr">
        <is>
          <t>Catalogo Terre di Mezzo 1° semestre 2026</t>
        </is>
      </c>
      <c r="O116" s="16">
        <f>IF(ISNUMBER(M116),ROUND(M116*(1-Condizioni!$B$2),2),"")</f>
        <v/>
      </c>
      <c r="P116" s="17" t="inlineStr">
        <is>
          <t>No</t>
        </is>
      </c>
    </row>
    <row r="117">
      <c r="A117" s="14" t="inlineStr">
        <is>
          <t>Terre di Mezzo</t>
        </is>
      </c>
      <c r="B117" s="14" t="inlineStr">
        <is>
          <t>Fermate quella palla!</t>
        </is>
      </c>
      <c r="C117" s="14" t="inlineStr">
        <is>
          <t>Susanne Strasser</t>
        </is>
      </c>
      <c r="D117" s="14" t="inlineStr">
        <is>
          <t>L'Acchiappastorie – Per i più piccoli</t>
        </is>
      </c>
      <c r="E117" s="14" t="inlineStr">
        <is>
          <t>per i più piccoli</t>
        </is>
      </c>
      <c r="F117" s="14" t="inlineStr">
        <is>
          <t>0-3 anni</t>
        </is>
      </c>
      <c r="G117" s="14" t="inlineStr">
        <is>
          <t>Libro cartonato</t>
        </is>
      </c>
      <c r="H117" s="14" t="inlineStr"/>
      <c r="I117" s="14" t="inlineStr">
        <is>
          <t>No</t>
        </is>
      </c>
      <c r="J117" s="14" t="inlineStr">
        <is>
          <t>Collana</t>
        </is>
      </c>
      <c r="K117" s="14" t="inlineStr">
        <is>
          <t>0-3 anni</t>
        </is>
      </c>
      <c r="L117" s="14" t="inlineStr">
        <is>
          <t>Catalogo Terre di Mezzo 1° semestre 2026, p. 5 (ISBN 9791259963314)</t>
        </is>
      </c>
      <c r="M117" s="16" t="n">
        <v>12.9</v>
      </c>
      <c r="N117" s="14" t="inlineStr">
        <is>
          <t>Catalogo Terre di Mezzo 1° semestre 2026</t>
        </is>
      </c>
      <c r="O117" s="16">
        <f>IF(ISNUMBER(M117),ROUND(M117*(1-Condizioni!$B$2),2),"")</f>
        <v/>
      </c>
      <c r="P117" s="17" t="inlineStr">
        <is>
          <t>No</t>
        </is>
      </c>
    </row>
    <row r="118">
      <c r="A118" s="14" t="inlineStr">
        <is>
          <t>Terre di Mezzo</t>
        </is>
      </c>
      <c r="B118" s="14" t="inlineStr">
        <is>
          <t>Hai visto il dinosauro?</t>
        </is>
      </c>
      <c r="C118" s="14" t="inlineStr">
        <is>
          <t>David Barrow</t>
        </is>
      </c>
      <c r="D118" s="14" t="inlineStr">
        <is>
          <t>L'Acchiappastorie – Per i più piccoli</t>
        </is>
      </c>
      <c r="E118" s="14" t="inlineStr">
        <is>
          <t>per i più piccoli</t>
        </is>
      </c>
      <c r="F118" s="14" t="inlineStr">
        <is>
          <t>0-3 anni</t>
        </is>
      </c>
      <c r="G118" s="14" t="inlineStr">
        <is>
          <t>Libro cartonato</t>
        </is>
      </c>
      <c r="H118" s="14" t="inlineStr"/>
      <c r="I118" s="14" t="inlineStr">
        <is>
          <t>No</t>
        </is>
      </c>
      <c r="J118" s="14" t="inlineStr">
        <is>
          <t>Collana</t>
        </is>
      </c>
      <c r="K118" s="14" t="inlineStr">
        <is>
          <t>0-3 anni</t>
        </is>
      </c>
      <c r="L118" s="14" t="inlineStr">
        <is>
          <t>Catalogo Terre di Mezzo 1° semestre 2026, p. 7 (ISBN 9791259962027)</t>
        </is>
      </c>
      <c r="M118" s="16" t="n">
        <v>16</v>
      </c>
      <c r="N118" s="14" t="inlineStr">
        <is>
          <t>Catalogo Terre di Mezzo 1° semestre 2026</t>
        </is>
      </c>
      <c r="O118" s="16">
        <f>IF(ISNUMBER(M118),ROUND(M118*(1-Condizioni!$B$2),2),"")</f>
        <v/>
      </c>
      <c r="P118" s="17" t="inlineStr">
        <is>
          <t>No</t>
        </is>
      </c>
    </row>
    <row r="119">
      <c r="A119" s="14" t="inlineStr">
        <is>
          <t>Terre di Mezzo</t>
        </is>
      </c>
      <c r="B119" s="14" t="inlineStr">
        <is>
          <t>Hai visto l’elefante?</t>
        </is>
      </c>
      <c r="C119" s="14" t="inlineStr">
        <is>
          <t>David Barrow</t>
        </is>
      </c>
      <c r="D119" s="14" t="inlineStr">
        <is>
          <t>L'Acchiappastorie – Per i più piccoli</t>
        </is>
      </c>
      <c r="E119" s="14" t="inlineStr">
        <is>
          <t>per i più piccoli</t>
        </is>
      </c>
      <c r="F119" s="14" t="inlineStr">
        <is>
          <t>0-3 anni</t>
        </is>
      </c>
      <c r="G119" s="14" t="inlineStr">
        <is>
          <t>Libro cartonato</t>
        </is>
      </c>
      <c r="H119" s="14" t="inlineStr"/>
      <c r="I119" s="14" t="inlineStr">
        <is>
          <t>No</t>
        </is>
      </c>
      <c r="J119" s="14" t="inlineStr">
        <is>
          <t>Collana</t>
        </is>
      </c>
      <c r="K119" s="14" t="inlineStr">
        <is>
          <t>0-3 anni</t>
        </is>
      </c>
      <c r="L119" s="14" t="inlineStr">
        <is>
          <t>Catalogo Terre di Mezzo 1° semestre 2026, p. 7 (ISBN 9791259962010)</t>
        </is>
      </c>
      <c r="M119" s="16" t="n">
        <v>16</v>
      </c>
      <c r="N119" s="14" t="inlineStr">
        <is>
          <t>Catalogo Terre di Mezzo 1° semestre 2026</t>
        </is>
      </c>
      <c r="O119" s="16">
        <f>IF(ISNUMBER(M119),ROUND(M119*(1-Condizioni!$B$2),2),"")</f>
        <v/>
      </c>
      <c r="P119" s="17" t="inlineStr">
        <is>
          <t>No</t>
        </is>
      </c>
    </row>
    <row r="120">
      <c r="A120" s="14" t="inlineStr">
        <is>
          <t>Terre di Mezzo</t>
        </is>
      </c>
      <c r="B120" s="14" t="inlineStr">
        <is>
          <t>Il procione lava tutto!</t>
        </is>
      </c>
      <c r="C120" s="14" t="inlineStr">
        <is>
          <t>Susanne Strasser</t>
        </is>
      </c>
      <c r="D120" s="14" t="inlineStr">
        <is>
          <t>L'Acchiappastorie – Per i più piccoli</t>
        </is>
      </c>
      <c r="E120" s="14" t="inlineStr">
        <is>
          <t>per i più piccoli</t>
        </is>
      </c>
      <c r="F120" s="14" t="inlineStr">
        <is>
          <t>0-3 anni</t>
        </is>
      </c>
      <c r="G120" s="14" t="inlineStr">
        <is>
          <t>Libro cartonato</t>
        </is>
      </c>
      <c r="H120" s="14" t="inlineStr"/>
      <c r="I120" s="14" t="inlineStr">
        <is>
          <t>No</t>
        </is>
      </c>
      <c r="J120" s="14" t="inlineStr">
        <is>
          <t>Collana</t>
        </is>
      </c>
      <c r="K120" s="14" t="inlineStr">
        <is>
          <t>0-3 anni</t>
        </is>
      </c>
      <c r="L120" s="14" t="inlineStr">
        <is>
          <t>Catalogo Terre di Mezzo 1° semestre 2026, p. 4 (ISBN 9791259962355)</t>
        </is>
      </c>
      <c r="M120" s="16" t="n">
        <v>12.9</v>
      </c>
      <c r="N120" s="14" t="inlineStr">
        <is>
          <t>Catalogo Terre di Mezzo 1° semestre 2026</t>
        </is>
      </c>
      <c r="O120" s="16">
        <f>IF(ISNUMBER(M120),ROUND(M120*(1-Condizioni!$B$2),2),"")</f>
        <v/>
      </c>
      <c r="P120" s="17" t="inlineStr">
        <is>
          <t>No</t>
        </is>
      </c>
    </row>
    <row r="121">
      <c r="A121" s="14" t="inlineStr">
        <is>
          <t>Terre di Mezzo</t>
        </is>
      </c>
      <c r="B121" s="14" t="inlineStr">
        <is>
          <t>La torta è troppo in alto!</t>
        </is>
      </c>
      <c r="C121" s="14" t="inlineStr">
        <is>
          <t>Susanne Strasser</t>
        </is>
      </c>
      <c r="D121" s="14" t="inlineStr">
        <is>
          <t>L'Acchiappastorie – Per i più piccoli</t>
        </is>
      </c>
      <c r="E121" s="14" t="inlineStr">
        <is>
          <t>per i più piccoli</t>
        </is>
      </c>
      <c r="F121" s="14" t="inlineStr">
        <is>
          <t>0-3 anni</t>
        </is>
      </c>
      <c r="G121" s="14" t="inlineStr">
        <is>
          <t>Libro cartonato</t>
        </is>
      </c>
      <c r="H121" s="14" t="inlineStr"/>
      <c r="I121" s="14" t="inlineStr">
        <is>
          <t>No</t>
        </is>
      </c>
      <c r="J121" s="14" t="inlineStr">
        <is>
          <t>Collana</t>
        </is>
      </c>
      <c r="K121" s="14" t="inlineStr">
        <is>
          <t>0-3 anni</t>
        </is>
      </c>
      <c r="L121" s="14" t="inlineStr">
        <is>
          <t>Catalogo Terre di Mezzo 1° semestre 2026, p. 4 (ISBN 9788861896369)</t>
        </is>
      </c>
      <c r="M121" s="16" t="n">
        <v>12.9</v>
      </c>
      <c r="N121" s="14" t="inlineStr">
        <is>
          <t>Catalogo Terre di Mezzo 1° semestre 2026</t>
        </is>
      </c>
      <c r="O121" s="16">
        <f>IF(ISNUMBER(M121),ROUND(M121*(1-Condizioni!$B$2),2),"")</f>
        <v/>
      </c>
      <c r="P121" s="17" t="inlineStr">
        <is>
          <t>No</t>
        </is>
      </c>
    </row>
    <row r="122">
      <c r="A122" s="14" t="inlineStr">
        <is>
          <t>Terre di Mezzo</t>
        </is>
      </c>
      <c r="B122" s="14" t="inlineStr">
        <is>
          <t>Nella zuppa Cosa c’è?</t>
        </is>
      </c>
      <c r="C122" s="14" t="inlineStr">
        <is>
          <t>Susanne Strasser</t>
        </is>
      </c>
      <c r="D122" s="14" t="inlineStr">
        <is>
          <t>L'Acchiappastorie – Per i più piccoli</t>
        </is>
      </c>
      <c r="E122" s="14" t="inlineStr">
        <is>
          <t>per i più piccoli</t>
        </is>
      </c>
      <c r="F122" s="14" t="inlineStr">
        <is>
          <t>0-3 anni</t>
        </is>
      </c>
      <c r="G122" s="14" t="inlineStr">
        <is>
          <t>Libro cartonato</t>
        </is>
      </c>
      <c r="H122" s="14" t="inlineStr"/>
      <c r="I122" s="14" t="inlineStr">
        <is>
          <t>No</t>
        </is>
      </c>
      <c r="J122" s="14" t="inlineStr">
        <is>
          <t>Collana</t>
        </is>
      </c>
      <c r="K122" s="14" t="inlineStr">
        <is>
          <t>0-3 anni</t>
        </is>
      </c>
      <c r="L122" s="14" t="inlineStr">
        <is>
          <t>Catalogo Terre di Mezzo 1° semestre 2026, p. 4 (ISBN 9791259961334)</t>
        </is>
      </c>
      <c r="M122" s="16" t="n">
        <v>12.9</v>
      </c>
      <c r="N122" s="14" t="inlineStr">
        <is>
          <t>Catalogo Terre di Mezzo 1° semestre 2026</t>
        </is>
      </c>
      <c r="O122" s="16">
        <f>IF(ISNUMBER(M122),ROUND(M122*(1-Condizioni!$B$2),2),"")</f>
        <v/>
      </c>
      <c r="P122" s="17" t="inlineStr">
        <is>
          <t>No</t>
        </is>
      </c>
    </row>
    <row r="123">
      <c r="A123" s="14" t="inlineStr">
        <is>
          <t>Terre di Mezzo</t>
        </is>
      </c>
      <c r="B123" s="14" t="inlineStr">
        <is>
          <t>No, no, Scoiattolino!</t>
        </is>
      </c>
      <c r="C123" s="14" t="inlineStr">
        <is>
          <t>Anne Hunter</t>
        </is>
      </c>
      <c r="D123" s="14" t="inlineStr">
        <is>
          <t>L'Acchiappastorie – Per i più piccoli</t>
        </is>
      </c>
      <c r="E123" s="14" t="inlineStr">
        <is>
          <t>per i più piccoli</t>
        </is>
      </c>
      <c r="F123" s="14" t="inlineStr">
        <is>
          <t>0-3 anni</t>
        </is>
      </c>
      <c r="G123" s="14" t="inlineStr">
        <is>
          <t>Libro cartonato</t>
        </is>
      </c>
      <c r="H123" s="14" t="inlineStr"/>
      <c r="I123" s="14" t="inlineStr">
        <is>
          <t>No</t>
        </is>
      </c>
      <c r="J123" s="14" t="inlineStr">
        <is>
          <t>Collana</t>
        </is>
      </c>
      <c r="K123" s="14" t="inlineStr">
        <is>
          <t>0-3 anni</t>
        </is>
      </c>
      <c r="L123" s="14" t="inlineStr">
        <is>
          <t>Catalogo Terre di Mezzo 1° semestre 2026, p. 8 (ISBN 9791259961778)</t>
        </is>
      </c>
      <c r="M123" s="16" t="n">
        <v>15</v>
      </c>
      <c r="N123" s="14" t="inlineStr">
        <is>
          <t>Catalogo Terre di Mezzo 1° semestre 2026</t>
        </is>
      </c>
      <c r="O123" s="16">
        <f>IF(ISNUMBER(M123),ROUND(M123*(1-Condizioni!$B$2),2),"")</f>
        <v/>
      </c>
      <c r="P123" s="17" t="inlineStr">
        <is>
          <t>No</t>
        </is>
      </c>
    </row>
    <row r="124">
      <c r="A124" s="14" t="inlineStr">
        <is>
          <t>Terre di Mezzo</t>
        </is>
      </c>
      <c r="B124" s="14" t="inlineStr">
        <is>
          <t>Non l’ho fatto apposta!</t>
        </is>
      </c>
      <c r="C124" s="14" t="inlineStr">
        <is>
          <t>Jörg Mühle</t>
        </is>
      </c>
      <c r="D124" s="14" t="inlineStr">
        <is>
          <t>L'Acchiappastorie – Per i più piccoli</t>
        </is>
      </c>
      <c r="E124" s="14" t="inlineStr">
        <is>
          <t>per i più piccoli</t>
        </is>
      </c>
      <c r="F124" s="14" t="inlineStr">
        <is>
          <t>0-3 anni</t>
        </is>
      </c>
      <c r="G124" s="14" t="inlineStr">
        <is>
          <t>Libro cartonato</t>
        </is>
      </c>
      <c r="H124" s="14" t="inlineStr"/>
      <c r="I124" s="14" t="inlineStr">
        <is>
          <t>No</t>
        </is>
      </c>
      <c r="J124" s="14" t="inlineStr">
        <is>
          <t>Collana</t>
        </is>
      </c>
      <c r="K124" s="14" t="inlineStr">
        <is>
          <t>0-3 anni</t>
        </is>
      </c>
      <c r="L124" s="14" t="inlineStr">
        <is>
          <t>Catalogo Terre di Mezzo 1° semestre 2026, p. 6 (ISBN 9791259963949)</t>
        </is>
      </c>
      <c r="M124" s="16" t="n">
        <v>14</v>
      </c>
      <c r="N124" s="14" t="inlineStr">
        <is>
          <t>Catalogo Terre di Mezzo 1° semestre 2026</t>
        </is>
      </c>
      <c r="O124" s="16">
        <f>IF(ISNUMBER(M124),ROUND(M124*(1-Condizioni!$B$2),2),"")</f>
        <v/>
      </c>
      <c r="P124" s="17" t="inlineStr">
        <is>
          <t>No</t>
        </is>
      </c>
    </row>
    <row r="125">
      <c r="A125" s="14" t="inlineStr">
        <is>
          <t>Terre di Mezzo</t>
        </is>
      </c>
      <c r="B125" s="14" t="inlineStr">
        <is>
          <t>Panda e Pandino cosa fanno?</t>
        </is>
      </c>
      <c r="C125" s="14" t="inlineStr">
        <is>
          <t>Satoshi Iriyama</t>
        </is>
      </c>
      <c r="D125" s="14" t="inlineStr">
        <is>
          <t>L'Acchiappastorie – Per i più piccoli</t>
        </is>
      </c>
      <c r="E125" s="14" t="inlineStr">
        <is>
          <t>per i più piccoli</t>
        </is>
      </c>
      <c r="F125" s="14" t="inlineStr">
        <is>
          <t>0-3 anni</t>
        </is>
      </c>
      <c r="G125" s="14" t="inlineStr">
        <is>
          <t>Libro cartonato</t>
        </is>
      </c>
      <c r="H125" s="14" t="inlineStr"/>
      <c r="I125" s="14" t="inlineStr">
        <is>
          <t>No</t>
        </is>
      </c>
      <c r="J125" s="14" t="inlineStr">
        <is>
          <t>Collana</t>
        </is>
      </c>
      <c r="K125" s="14" t="inlineStr">
        <is>
          <t>0-3 anni</t>
        </is>
      </c>
      <c r="L125" s="14" t="inlineStr">
        <is>
          <t>Catalogo Terre di Mezzo 1° semestre 2026, p. 6 (ISBN 9788861895928)</t>
        </is>
      </c>
      <c r="M125" s="16" t="n">
        <v>10.9</v>
      </c>
      <c r="N125" s="14" t="inlineStr">
        <is>
          <t>Catalogo Terre di Mezzo 1° semestre 2026</t>
        </is>
      </c>
      <c r="O125" s="16">
        <f>IF(ISNUMBER(M125),ROUND(M125*(1-Condizioni!$B$2),2),"")</f>
        <v/>
      </c>
      <c r="P125" s="17" t="inlineStr">
        <is>
          <t>No</t>
        </is>
      </c>
    </row>
    <row r="126">
      <c r="A126" s="14" t="inlineStr">
        <is>
          <t>Terre di Mezzo</t>
        </is>
      </c>
      <c r="B126" s="14" t="inlineStr">
        <is>
          <t>Pandino cosa fa?</t>
        </is>
      </c>
      <c r="C126" s="14" t="inlineStr">
        <is>
          <t>Satoshi Iriyama</t>
        </is>
      </c>
      <c r="D126" s="14" t="inlineStr">
        <is>
          <t>L'Acchiappastorie – Per i più piccoli</t>
        </is>
      </c>
      <c r="E126" s="14" t="inlineStr">
        <is>
          <t>per i più piccoli</t>
        </is>
      </c>
      <c r="F126" s="14" t="inlineStr">
        <is>
          <t>0-3 anni</t>
        </is>
      </c>
      <c r="G126" s="14" t="inlineStr">
        <is>
          <t>Libro cartonato</t>
        </is>
      </c>
      <c r="H126" s="14" t="inlineStr"/>
      <c r="I126" s="14" t="inlineStr">
        <is>
          <t>No</t>
        </is>
      </c>
      <c r="J126" s="14" t="inlineStr">
        <is>
          <t>Collana</t>
        </is>
      </c>
      <c r="K126" s="14" t="inlineStr">
        <is>
          <t>0-3 anni</t>
        </is>
      </c>
      <c r="L126" s="14" t="inlineStr">
        <is>
          <t>Catalogo Terre di Mezzo 1° semestre 2026, p. 6 (ISBN 9788861895119)</t>
        </is>
      </c>
      <c r="M126" s="16" t="n">
        <v>12</v>
      </c>
      <c r="N126" s="14" t="inlineStr">
        <is>
          <t>Catalogo Terre di Mezzo 1° semestre 2026</t>
        </is>
      </c>
      <c r="O126" s="16">
        <f>IF(ISNUMBER(M126),ROUND(M126*(1-Condizioni!$B$2),2),"")</f>
        <v/>
      </c>
      <c r="P126" s="17" t="inlineStr">
        <is>
          <t>No</t>
        </is>
      </c>
    </row>
    <row r="127">
      <c r="A127" s="14" t="inlineStr">
        <is>
          <t>Terre di Mezzo</t>
        </is>
      </c>
      <c r="B127" s="14" t="inlineStr">
        <is>
          <t>Pandino fa le facce</t>
        </is>
      </c>
      <c r="C127" s="14" t="inlineStr">
        <is>
          <t>Satoshi Iriyama</t>
        </is>
      </c>
      <c r="D127" s="14" t="inlineStr">
        <is>
          <t>L'Acchiappastorie – Per i più piccoli</t>
        </is>
      </c>
      <c r="E127" s="14" t="inlineStr">
        <is>
          <t>per i più piccoli</t>
        </is>
      </c>
      <c r="F127" s="14" t="inlineStr">
        <is>
          <t>0-3 anni</t>
        </is>
      </c>
      <c r="G127" s="14" t="inlineStr">
        <is>
          <t>Libro cartonato</t>
        </is>
      </c>
      <c r="H127" s="14" t="inlineStr"/>
      <c r="I127" s="14" t="inlineStr">
        <is>
          <t>No</t>
        </is>
      </c>
      <c r="J127" s="14" t="inlineStr">
        <is>
          <t>Collana</t>
        </is>
      </c>
      <c r="K127" s="14" t="inlineStr">
        <is>
          <t>0-3 anni</t>
        </is>
      </c>
      <c r="L127" s="14" t="inlineStr">
        <is>
          <t>Catalogo Terre di Mezzo 1° semestre 2026, p. 6 (ISBN 9791259963550)</t>
        </is>
      </c>
      <c r="M127" s="16" t="n">
        <v>12</v>
      </c>
      <c r="N127" s="14" t="inlineStr">
        <is>
          <t>Catalogo Terre di Mezzo 1° semestre 2026</t>
        </is>
      </c>
      <c r="O127" s="16">
        <f>IF(ISNUMBER(M127),ROUND(M127*(1-Condizioni!$B$2),2),"")</f>
        <v/>
      </c>
      <c r="P127" s="17" t="inlineStr">
        <is>
          <t>No</t>
        </is>
      </c>
    </row>
    <row r="128">
      <c r="A128" s="14" t="inlineStr">
        <is>
          <t>Terre di Mezzo</t>
        </is>
      </c>
      <c r="B128" s="14" t="inlineStr">
        <is>
          <t>Pilù e Papà Lupo. è l’ora del vasino!</t>
        </is>
      </c>
      <c r="C128" s="14" t="inlineStr">
        <is>
          <t>Alexandra Garibal, Marianne Vilcoq</t>
        </is>
      </c>
      <c r="D128" s="14" t="inlineStr">
        <is>
          <t>L'Acchiappastorie – Per i più piccoli</t>
        </is>
      </c>
      <c r="E128" s="14" t="inlineStr">
        <is>
          <t>per i più piccoli</t>
        </is>
      </c>
      <c r="F128" s="14" t="inlineStr">
        <is>
          <t>0-3 anni</t>
        </is>
      </c>
      <c r="G128" s="14" t="inlineStr">
        <is>
          <t>Libro cartonato</t>
        </is>
      </c>
      <c r="H128" s="14" t="inlineStr"/>
      <c r="I128" s="14" t="inlineStr">
        <is>
          <t>No</t>
        </is>
      </c>
      <c r="J128" s="14" t="inlineStr">
        <is>
          <t>Collana</t>
        </is>
      </c>
      <c r="K128" s="14" t="inlineStr">
        <is>
          <t>0-3 anni</t>
        </is>
      </c>
      <c r="L128" s="14" t="inlineStr">
        <is>
          <t>Catalogo Terre di Mezzo 1° semestre 2026, p. 7 (ISBN 9791259960689)</t>
        </is>
      </c>
      <c r="M128" s="16" t="n">
        <v>12</v>
      </c>
      <c r="N128" s="14" t="inlineStr">
        <is>
          <t>Catalogo Terre di Mezzo 1° semestre 2026</t>
        </is>
      </c>
      <c r="O128" s="16">
        <f>IF(ISNUMBER(M128),ROUND(M128*(1-Condizioni!$B$2),2),"")</f>
        <v/>
      </c>
      <c r="P128" s="17" t="inlineStr">
        <is>
          <t>No</t>
        </is>
      </c>
    </row>
    <row r="129">
      <c r="A129" s="14" t="inlineStr">
        <is>
          <t>Terre di Mezzo</t>
        </is>
      </c>
      <c r="B129" s="14" t="inlineStr">
        <is>
          <t>Pilù e papà Lupo. un coniglietto da sgranocchiare</t>
        </is>
      </c>
      <c r="C129" s="14" t="inlineStr">
        <is>
          <t>Alexandra Garibal, Marianne Vilcoq</t>
        </is>
      </c>
      <c r="D129" s="14" t="inlineStr">
        <is>
          <t>L'Acchiappastorie – Per i più piccoli</t>
        </is>
      </c>
      <c r="E129" s="14" t="inlineStr">
        <is>
          <t>per i più piccoli</t>
        </is>
      </c>
      <c r="F129" s="14" t="inlineStr">
        <is>
          <t>0-3 anni</t>
        </is>
      </c>
      <c r="G129" s="14" t="inlineStr">
        <is>
          <t>Libro cartonato</t>
        </is>
      </c>
      <c r="H129" s="14" t="inlineStr"/>
      <c r="I129" s="14" t="inlineStr">
        <is>
          <t>No</t>
        </is>
      </c>
      <c r="J129" s="14" t="inlineStr">
        <is>
          <t>Collana</t>
        </is>
      </c>
      <c r="K129" s="14" t="inlineStr">
        <is>
          <t>0-3 anni</t>
        </is>
      </c>
      <c r="L129" s="14" t="inlineStr">
        <is>
          <t>Catalogo Terre di Mezzo 1° semestre 2026, p. 7 (ISBN 9791259960634)</t>
        </is>
      </c>
      <c r="M129" s="16" t="n">
        <v>12</v>
      </c>
      <c r="N129" s="14" t="inlineStr">
        <is>
          <t>Catalogo Terre di Mezzo 1° semestre 2026</t>
        </is>
      </c>
      <c r="O129" s="16">
        <f>IF(ISNUMBER(M129),ROUND(M129*(1-Condizioni!$B$2),2),"")</f>
        <v/>
      </c>
      <c r="P129" s="17" t="inlineStr">
        <is>
          <t>No</t>
        </is>
      </c>
    </row>
    <row r="130">
      <c r="A130" s="14" t="inlineStr">
        <is>
          <t>Terre di Mezzo</t>
        </is>
      </c>
      <c r="B130" s="14" t="inlineStr">
        <is>
          <t>Pina adotta un cucciolo</t>
        </is>
      </c>
      <c r="C130" s="14" t="inlineStr">
        <is>
          <t>Lucy Cousins</t>
        </is>
      </c>
      <c r="D130" s="14" t="inlineStr">
        <is>
          <t>L'Acchiappastorie – Per i più piccoli</t>
        </is>
      </c>
      <c r="E130" s="14" t="inlineStr">
        <is>
          <t>per i più piccoli</t>
        </is>
      </c>
      <c r="F130" s="14" t="inlineStr">
        <is>
          <t>0-3 anni</t>
        </is>
      </c>
      <c r="G130" s="14" t="inlineStr">
        <is>
          <t>Libro cartonato</t>
        </is>
      </c>
      <c r="H130" s="14" t="inlineStr"/>
      <c r="I130" s="14" t="inlineStr">
        <is>
          <t>No</t>
        </is>
      </c>
      <c r="J130" s="14" t="inlineStr">
        <is>
          <t>Collana</t>
        </is>
      </c>
      <c r="K130" s="14" t="inlineStr">
        <is>
          <t>0-3 anni</t>
        </is>
      </c>
      <c r="L130" s="14" t="inlineStr">
        <is>
          <t>Catalogo Terre di Mezzo 1° semestre 2026, p. 8 (ISBN 9788861896734)</t>
        </is>
      </c>
      <c r="M130" s="16" t="n">
        <v>12</v>
      </c>
      <c r="N130" s="14" t="inlineStr">
        <is>
          <t>Catalogo Terre di Mezzo 1° semestre 2026</t>
        </is>
      </c>
      <c r="O130" s="16">
        <f>IF(ISNUMBER(M130),ROUND(M130*(1-Condizioni!$B$2),2),"")</f>
        <v/>
      </c>
      <c r="P130" s="17" t="inlineStr">
        <is>
          <t>No</t>
        </is>
      </c>
    </row>
    <row r="131">
      <c r="A131" s="14" t="inlineStr">
        <is>
          <t>Terre di Mezzo</t>
        </is>
      </c>
      <c r="B131" s="14" t="inlineStr">
        <is>
          <t>Pina gioca all’aria aperta</t>
        </is>
      </c>
      <c r="C131" s="14" t="inlineStr">
        <is>
          <t>Lucy Cousins</t>
        </is>
      </c>
      <c r="D131" s="14" t="inlineStr">
        <is>
          <t>L'Acchiappastorie – Per i più piccoli</t>
        </is>
      </c>
      <c r="E131" s="14" t="inlineStr">
        <is>
          <t>per i più piccoli</t>
        </is>
      </c>
      <c r="F131" s="14" t="inlineStr">
        <is>
          <t>0-3 anni</t>
        </is>
      </c>
      <c r="G131" s="14" t="inlineStr">
        <is>
          <t>Libro cartonato</t>
        </is>
      </c>
      <c r="H131" s="14" t="inlineStr"/>
      <c r="I131" s="14" t="inlineStr">
        <is>
          <t>No</t>
        </is>
      </c>
      <c r="J131" s="14" t="inlineStr">
        <is>
          <t>Collana</t>
        </is>
      </c>
      <c r="K131" s="14" t="inlineStr">
        <is>
          <t>0-3 anni</t>
        </is>
      </c>
      <c r="L131" s="14" t="inlineStr">
        <is>
          <t>Catalogo Terre di Mezzo 1° semestre 2026, p. 8 (ISBN 9788861896741)</t>
        </is>
      </c>
      <c r="M131" s="16" t="n">
        <v>12</v>
      </c>
      <c r="N131" s="14" t="inlineStr">
        <is>
          <t>Catalogo Terre di Mezzo 1° semestre 2026</t>
        </is>
      </c>
      <c r="O131" s="16">
        <f>IF(ISNUMBER(M131),ROUND(M131*(1-Condizioni!$B$2),2),"")</f>
        <v/>
      </c>
      <c r="P131" s="17" t="inlineStr">
        <is>
          <t>No</t>
        </is>
      </c>
    </row>
    <row r="132">
      <c r="A132" s="14" t="inlineStr">
        <is>
          <t>Terre di Mezzo</t>
        </is>
      </c>
      <c r="B132" s="14" t="inlineStr">
        <is>
          <t>Toc Toc! dov’è la mia mamma?</t>
        </is>
      </c>
      <c r="C132" s="14" t="inlineStr">
        <is>
          <t>Cédric Ramadier, Vincent Bourgeau</t>
        </is>
      </c>
      <c r="D132" s="14" t="inlineStr">
        <is>
          <t>L'Acchiappastorie – Per i più piccoli</t>
        </is>
      </c>
      <c r="E132" s="14" t="inlineStr">
        <is>
          <t>per i più piccoli</t>
        </is>
      </c>
      <c r="F132" s="14" t="inlineStr">
        <is>
          <t>0-3 anni</t>
        </is>
      </c>
      <c r="G132" s="14" t="inlineStr">
        <is>
          <t>Libro cartonato</t>
        </is>
      </c>
      <c r="H132" s="14" t="inlineStr"/>
      <c r="I132" s="14" t="inlineStr">
        <is>
          <t>No</t>
        </is>
      </c>
      <c r="J132" s="14" t="inlineStr">
        <is>
          <t>Collana</t>
        </is>
      </c>
      <c r="K132" s="14" t="inlineStr">
        <is>
          <t>0-3 anni</t>
        </is>
      </c>
      <c r="L132" s="14" t="inlineStr">
        <is>
          <t>Catalogo Terre di Mezzo 1° semestre 2026, p. 8 (ISBN 9791259962546)</t>
        </is>
      </c>
      <c r="M132" s="16" t="n">
        <v>12</v>
      </c>
      <c r="N132" s="14" t="inlineStr">
        <is>
          <t>Catalogo Terre di Mezzo 1° semestre 2026</t>
        </is>
      </c>
      <c r="O132" s="16">
        <f>IF(ISNUMBER(M132),ROUND(M132*(1-Condizioni!$B$2),2),"")</f>
        <v/>
      </c>
      <c r="P132" s="17" t="inlineStr">
        <is>
          <t>No</t>
        </is>
      </c>
    </row>
    <row r="133">
      <c r="A133" s="14" t="inlineStr">
        <is>
          <t>Terre di Mezzo</t>
        </is>
      </c>
      <c r="B133" s="14" t="inlineStr">
        <is>
          <t>Tutti sul divano!</t>
        </is>
      </c>
      <c r="C133" s="14" t="inlineStr">
        <is>
          <t>Susanne Strasser</t>
        </is>
      </c>
      <c r="D133" s="14" t="inlineStr">
        <is>
          <t>L'Acchiappastorie – Per i più piccoli</t>
        </is>
      </c>
      <c r="E133" s="14" t="inlineStr">
        <is>
          <t>per i più piccoli</t>
        </is>
      </c>
      <c r="F133" s="14" t="inlineStr">
        <is>
          <t>0-3 anni</t>
        </is>
      </c>
      <c r="G133" s="14" t="inlineStr">
        <is>
          <t>Libro cartonato</t>
        </is>
      </c>
      <c r="H133" s="14" t="inlineStr"/>
      <c r="I133" s="14" t="inlineStr">
        <is>
          <t>No</t>
        </is>
      </c>
      <c r="J133" s="14" t="inlineStr">
        <is>
          <t>Collana</t>
        </is>
      </c>
      <c r="K133" s="14" t="inlineStr">
        <is>
          <t>0-3 anni</t>
        </is>
      </c>
      <c r="L133" s="14" t="inlineStr">
        <is>
          <t>Catalogo Terre di Mezzo 1° semestre 2026, p. 4 (ISBN 9791259960108)</t>
        </is>
      </c>
      <c r="M133" s="16" t="n">
        <v>12.9</v>
      </c>
      <c r="N133" s="14" t="inlineStr">
        <is>
          <t>Catalogo Terre di Mezzo 1° semestre 2026</t>
        </is>
      </c>
      <c r="O133" s="16">
        <f>IF(ISNUMBER(M133),ROUND(M133*(1-Condizioni!$B$2),2),"")</f>
        <v/>
      </c>
      <c r="P133" s="17" t="inlineStr">
        <is>
          <t>Sì</t>
        </is>
      </c>
    </row>
    <row r="134">
      <c r="A134" s="14" t="inlineStr">
        <is>
          <t>Terre di Mezzo</t>
        </is>
      </c>
      <c r="B134" s="14" t="inlineStr">
        <is>
          <t>Vola vola Coniglietto!</t>
        </is>
      </c>
      <c r="C134" s="14" t="inlineStr">
        <is>
          <t>Jörg Mühle</t>
        </is>
      </c>
      <c r="D134" s="14" t="inlineStr">
        <is>
          <t>L'Acchiappastorie – Per i più piccoli</t>
        </is>
      </c>
      <c r="E134" s="14" t="inlineStr">
        <is>
          <t>per i più piccoli</t>
        </is>
      </c>
      <c r="F134" s="14" t="inlineStr">
        <is>
          <t>0-3 anni</t>
        </is>
      </c>
      <c r="G134" s="14" t="inlineStr">
        <is>
          <t>Libro cartonato</t>
        </is>
      </c>
      <c r="H134" s="14" t="inlineStr"/>
      <c r="I134" s="14" t="inlineStr">
        <is>
          <t>No</t>
        </is>
      </c>
      <c r="J134" s="14" t="inlineStr">
        <is>
          <t>Collana</t>
        </is>
      </c>
      <c r="K134" s="14" t="inlineStr">
        <is>
          <t>0-3 anni</t>
        </is>
      </c>
      <c r="L134" s="14" t="inlineStr">
        <is>
          <t>Catalogo Terre di Mezzo 1° semestre 2026, p. 5 (ISBN 9791259960092)</t>
        </is>
      </c>
      <c r="M134" s="16" t="n">
        <v>8.9</v>
      </c>
      <c r="N134" s="14" t="inlineStr">
        <is>
          <t>Catalogo Terre di Mezzo 1° semestre 2026</t>
        </is>
      </c>
      <c r="O134" s="16">
        <f>IF(ISNUMBER(M134),ROUND(M134*(1-Condizioni!$B$2),2),"")</f>
        <v/>
      </c>
      <c r="P134" s="17" t="inlineStr">
        <is>
          <t>No</t>
        </is>
      </c>
    </row>
    <row r="135">
      <c r="A135" s="14" t="inlineStr">
        <is>
          <t>Terre di Mezzo</t>
        </is>
      </c>
      <c r="B135" s="14" t="inlineStr">
        <is>
          <t>A e b ogni giorno insieme</t>
        </is>
      </c>
      <c r="C135" s="14" t="inlineStr">
        <is>
          <t>Sara Donati</t>
        </is>
      </c>
      <c r="D135" s="14" t="inlineStr">
        <is>
          <t>L'Acchiappastorie – Albi illustrati</t>
        </is>
      </c>
      <c r="E135" s="14" t="inlineStr">
        <is>
          <t>albi illustrati (età indicativa)</t>
        </is>
      </c>
      <c r="F135" s="14" t="inlineStr">
        <is>
          <t>3-6 anni</t>
        </is>
      </c>
      <c r="G135" s="14" t="inlineStr">
        <is>
          <t>Albo illustrato</t>
        </is>
      </c>
      <c r="H135" s="14" t="inlineStr"/>
      <c r="I135" s="14" t="inlineStr">
        <is>
          <t>No</t>
        </is>
      </c>
      <c r="J135" s="14" t="inlineStr">
        <is>
          <t>Collana</t>
        </is>
      </c>
      <c r="K135" s="14" t="inlineStr">
        <is>
          <t>3-6 anni</t>
        </is>
      </c>
      <c r="L135" s="14" t="inlineStr">
        <is>
          <t>Catalogo Terre di Mezzo 1° semestre 2026, p. 10 (ISBN 9791259963925)</t>
        </is>
      </c>
      <c r="M135" s="16" t="n">
        <v>16</v>
      </c>
      <c r="N135" s="14" t="inlineStr">
        <is>
          <t>Catalogo Terre di Mezzo 1° semestre 2026</t>
        </is>
      </c>
      <c r="O135" s="16">
        <f>IF(ISNUMBER(M135),ROUND(M135*(1-Condizioni!$B$2),2),"")</f>
        <v/>
      </c>
      <c r="P135" s="17" t="inlineStr">
        <is>
          <t>No</t>
        </is>
      </c>
    </row>
    <row r="136">
      <c r="A136" s="14" t="inlineStr">
        <is>
          <t>Terre di Mezzo</t>
        </is>
      </c>
      <c r="B136" s="14" t="inlineStr">
        <is>
          <t>A spasso con Grizzly</t>
        </is>
      </c>
      <c r="C136" s="14" t="inlineStr">
        <is>
          <t>Hervé Le Goff</t>
        </is>
      </c>
      <c r="D136" s="14" t="inlineStr">
        <is>
          <t>L'Acchiappastorie – Albi illustrati</t>
        </is>
      </c>
      <c r="E136" s="14" t="inlineStr">
        <is>
          <t>albi illustrati (età indicativa)</t>
        </is>
      </c>
      <c r="F136" s="14" t="inlineStr">
        <is>
          <t>3-6 anni</t>
        </is>
      </c>
      <c r="G136" s="14" t="inlineStr">
        <is>
          <t>Albo illustrato</t>
        </is>
      </c>
      <c r="H136" s="14" t="inlineStr"/>
      <c r="I136" s="14" t="inlineStr">
        <is>
          <t>No</t>
        </is>
      </c>
      <c r="J136" s="14" t="inlineStr">
        <is>
          <t>Collana</t>
        </is>
      </c>
      <c r="K136" s="14" t="inlineStr">
        <is>
          <t>3-6 anni</t>
        </is>
      </c>
      <c r="L136" s="14" t="inlineStr">
        <is>
          <t>Catalogo Terre di Mezzo 1° semestre 2026, p. 16 (ISBN 9791259963352)</t>
        </is>
      </c>
      <c r="M136" s="16" t="n">
        <v>16</v>
      </c>
      <c r="N136" s="14" t="inlineStr">
        <is>
          <t>Catalogo Terre di Mezzo 1° semestre 2026</t>
        </is>
      </c>
      <c r="O136" s="16">
        <f>IF(ISNUMBER(M136),ROUND(M136*(1-Condizioni!$B$2),2),"")</f>
        <v/>
      </c>
      <c r="P136" s="17" t="inlineStr">
        <is>
          <t>No</t>
        </is>
      </c>
    </row>
    <row r="137">
      <c r="A137" s="14" t="inlineStr">
        <is>
          <t>Terre di Mezzo</t>
        </is>
      </c>
      <c r="B137" s="14" t="inlineStr">
        <is>
          <t>Alfonsina corre</t>
        </is>
      </c>
      <c r="C137" s="14" t="inlineStr">
        <is>
          <t>Joan Negrescolor</t>
        </is>
      </c>
      <c r="D137" s="14" t="inlineStr">
        <is>
          <t>L'Acchiappastorie – Albi illustrati</t>
        </is>
      </c>
      <c r="E137" s="14" t="inlineStr">
        <is>
          <t>albi illustrati (età indicativa)</t>
        </is>
      </c>
      <c r="F137" s="14" t="inlineStr">
        <is>
          <t>3-6 anni</t>
        </is>
      </c>
      <c r="G137" s="14" t="inlineStr">
        <is>
          <t>Albo illustrato</t>
        </is>
      </c>
      <c r="H137" s="14" t="inlineStr"/>
      <c r="I137" s="14" t="inlineStr">
        <is>
          <t>No</t>
        </is>
      </c>
      <c r="J137" s="14" t="inlineStr">
        <is>
          <t>Collana</t>
        </is>
      </c>
      <c r="K137" s="14" t="inlineStr">
        <is>
          <t>3-6 anni</t>
        </is>
      </c>
      <c r="L137" s="14" t="inlineStr">
        <is>
          <t>Catalogo Terre di Mezzo 1° semestre 2026, p. 36 (ISBN 9788861896697)</t>
        </is>
      </c>
      <c r="M137" s="16" t="n">
        <v>15</v>
      </c>
      <c r="N137" s="14" t="inlineStr">
        <is>
          <t>Catalogo Terre di Mezzo 1° semestre 2026</t>
        </is>
      </c>
      <c r="O137" s="16">
        <f>IF(ISNUMBER(M137),ROUND(M137*(1-Condizioni!$B$2),2),"")</f>
        <v/>
      </c>
      <c r="P137" s="17" t="inlineStr">
        <is>
          <t>Sì</t>
        </is>
      </c>
    </row>
    <row r="138">
      <c r="A138" s="14" t="inlineStr">
        <is>
          <t>Terre di Mezzo</t>
        </is>
      </c>
      <c r="B138" s="14" t="inlineStr">
        <is>
          <t>Alice nel paese delle meraviglie</t>
        </is>
      </c>
      <c r="C138" s="14" t="inlineStr">
        <is>
          <t>Lewis Carroll, Valeria Docampo</t>
        </is>
      </c>
      <c r="D138" s="14" t="inlineStr">
        <is>
          <t>L'Acchiappastorie – Albi illustrati</t>
        </is>
      </c>
      <c r="E138" s="14" t="inlineStr">
        <is>
          <t>albi illustrati (età indicativa)</t>
        </is>
      </c>
      <c r="F138" s="14" t="inlineStr">
        <is>
          <t>3-6 anni</t>
        </is>
      </c>
      <c r="G138" s="14" t="inlineStr">
        <is>
          <t>Albo illustrato</t>
        </is>
      </c>
      <c r="H138" s="14" t="inlineStr"/>
      <c r="I138" s="14" t="inlineStr">
        <is>
          <t>No</t>
        </is>
      </c>
      <c r="J138" s="14" t="inlineStr">
        <is>
          <t>Collana</t>
        </is>
      </c>
      <c r="K138" s="14" t="inlineStr">
        <is>
          <t>3-6 anni</t>
        </is>
      </c>
      <c r="L138" s="14" t="inlineStr">
        <is>
          <t>Catalogo Terre di Mezzo 1° semestre 2026, p. 33 (ISBN 9788861896475)</t>
        </is>
      </c>
      <c r="M138" s="16" t="n">
        <v>20</v>
      </c>
      <c r="N138" s="14" t="inlineStr">
        <is>
          <t>Catalogo Terre di Mezzo 1° semestre 2026</t>
        </is>
      </c>
      <c r="O138" s="16">
        <f>IF(ISNUMBER(M138),ROUND(M138*(1-Condizioni!$B$2),2),"")</f>
        <v/>
      </c>
      <c r="P138" s="17" t="inlineStr">
        <is>
          <t>No</t>
        </is>
      </c>
    </row>
    <row r="139">
      <c r="A139" s="14" t="inlineStr">
        <is>
          <t>Terre di Mezzo</t>
        </is>
      </c>
      <c r="B139" s="14" t="inlineStr">
        <is>
          <t>Alla ricerca dell’uccello arcobaleno</t>
        </is>
      </c>
      <c r="C139" s="14" t="inlineStr">
        <is>
          <t>Nora Brech</t>
        </is>
      </c>
      <c r="D139" s="14" t="inlineStr">
        <is>
          <t>L'Acchiappastorie – Albi illustrati</t>
        </is>
      </c>
      <c r="E139" s="14" t="inlineStr">
        <is>
          <t>albi illustrati (età indicativa)</t>
        </is>
      </c>
      <c r="F139" s="14" t="inlineStr">
        <is>
          <t>3-6 anni</t>
        </is>
      </c>
      <c r="G139" s="14" t="inlineStr">
        <is>
          <t>Albo illustrato</t>
        </is>
      </c>
      <c r="H139" s="14" t="inlineStr"/>
      <c r="I139" s="14" t="inlineStr">
        <is>
          <t>No</t>
        </is>
      </c>
      <c r="J139" s="14" t="inlineStr">
        <is>
          <t>Collana</t>
        </is>
      </c>
      <c r="K139" s="14" t="inlineStr">
        <is>
          <t>3-6 anni</t>
        </is>
      </c>
      <c r="L139" s="14" t="inlineStr">
        <is>
          <t>Catalogo Terre di Mezzo 1° semestre 2026, p. 29 (ISBN 9791259960740)</t>
        </is>
      </c>
      <c r="M139" s="16" t="n">
        <v>16</v>
      </c>
      <c r="N139" s="14" t="inlineStr">
        <is>
          <t>Catalogo Terre di Mezzo 1° semestre 2026</t>
        </is>
      </c>
      <c r="O139" s="16">
        <f>IF(ISNUMBER(M139),ROUND(M139*(1-Condizioni!$B$2),2),"")</f>
        <v/>
      </c>
      <c r="P139" s="17" t="inlineStr">
        <is>
          <t>No</t>
        </is>
      </c>
    </row>
    <row r="140">
      <c r="A140" s="14" t="inlineStr">
        <is>
          <t>Terre di Mezzo</t>
        </is>
      </c>
      <c r="B140" s="14" t="inlineStr">
        <is>
          <t>Amico albero</t>
        </is>
      </c>
      <c r="C140" s="14" t="inlineStr">
        <is>
          <t>Sara Donati</t>
        </is>
      </c>
      <c r="D140" s="14" t="inlineStr">
        <is>
          <t>L'Acchiappastorie – Albi illustrati</t>
        </is>
      </c>
      <c r="E140" s="14" t="inlineStr">
        <is>
          <t>albi illustrati (età indicativa)</t>
        </is>
      </c>
      <c r="F140" s="14" t="inlineStr">
        <is>
          <t>3-6 anni</t>
        </is>
      </c>
      <c r="G140" s="14" t="inlineStr">
        <is>
          <t>Albo illustrato</t>
        </is>
      </c>
      <c r="H140" s="14" t="inlineStr"/>
      <c r="I140" s="14" t="inlineStr">
        <is>
          <t>No</t>
        </is>
      </c>
      <c r="J140" s="14" t="inlineStr">
        <is>
          <t>Collana</t>
        </is>
      </c>
      <c r="K140" s="14" t="inlineStr">
        <is>
          <t>3-6 anni</t>
        </is>
      </c>
      <c r="L140" s="14" t="inlineStr">
        <is>
          <t>Catalogo Terre di Mezzo 1° semestre 2026, p. 10 (ISBN 9791259961266)</t>
        </is>
      </c>
      <c r="M140" s="16" t="n">
        <v>16</v>
      </c>
      <c r="N140" s="14" t="inlineStr">
        <is>
          <t>Catalogo Terre di Mezzo 1° semestre 2026</t>
        </is>
      </c>
      <c r="O140" s="16">
        <f>IF(ISNUMBER(M140),ROUND(M140*(1-Condizioni!$B$2),2),"")</f>
        <v/>
      </c>
      <c r="P140" s="17" t="inlineStr">
        <is>
          <t>No</t>
        </is>
      </c>
    </row>
    <row r="141">
      <c r="A141" s="14" t="inlineStr">
        <is>
          <t>Terre di Mezzo</t>
        </is>
      </c>
      <c r="B141" s="14" t="inlineStr">
        <is>
          <t>Ancora, papà!</t>
        </is>
      </c>
      <c r="C141" s="14" t="inlineStr">
        <is>
          <t>Mariapaola Pesce, Irene Penazzi</t>
        </is>
      </c>
      <c r="D141" s="14" t="inlineStr">
        <is>
          <t>L'Acchiappastorie – Albi illustrati</t>
        </is>
      </c>
      <c r="E141" s="14" t="inlineStr">
        <is>
          <t>albi illustrati (età indicativa)</t>
        </is>
      </c>
      <c r="F141" s="14" t="inlineStr">
        <is>
          <t>3-6 anni</t>
        </is>
      </c>
      <c r="G141" s="14" t="inlineStr">
        <is>
          <t>Albo illustrato</t>
        </is>
      </c>
      <c r="H141" s="14" t="inlineStr"/>
      <c r="I141" s="14" t="inlineStr">
        <is>
          <t>No</t>
        </is>
      </c>
      <c r="J141" s="14" t="inlineStr">
        <is>
          <t>Collana</t>
        </is>
      </c>
      <c r="K141" s="14" t="inlineStr">
        <is>
          <t>3-6 anni</t>
        </is>
      </c>
      <c r="L141" s="14" t="inlineStr">
        <is>
          <t>Catalogo Terre di Mezzo 1° semestre 2026, p. 27 (ISBN 9788861896017)</t>
        </is>
      </c>
      <c r="M141" s="16" t="n">
        <v>15</v>
      </c>
      <c r="N141" s="14" t="inlineStr">
        <is>
          <t>Catalogo Terre di Mezzo 1° semestre 2026</t>
        </is>
      </c>
      <c r="O141" s="16">
        <f>IF(ISNUMBER(M141),ROUND(M141*(1-Condizioni!$B$2),2),"")</f>
        <v/>
      </c>
      <c r="P141" s="17" t="inlineStr">
        <is>
          <t>No</t>
        </is>
      </c>
    </row>
    <row r="142">
      <c r="A142" s="14" t="inlineStr">
        <is>
          <t>Terre di Mezzo</t>
        </is>
      </c>
      <c r="B142" s="14" t="inlineStr">
        <is>
          <t>Barboncini e patatine</t>
        </is>
      </c>
      <c r="C142" s="14" t="inlineStr">
        <is>
          <t>Pija Lindenbaum</t>
        </is>
      </c>
      <c r="D142" s="14" t="inlineStr">
        <is>
          <t>L'Acchiappastorie – Albi illustrati</t>
        </is>
      </c>
      <c r="E142" s="14" t="inlineStr">
        <is>
          <t>albi illustrati (età indicativa)</t>
        </is>
      </c>
      <c r="F142" s="14" t="inlineStr">
        <is>
          <t>3-6 anni</t>
        </is>
      </c>
      <c r="G142" s="14" t="inlineStr">
        <is>
          <t>Albo illustrato</t>
        </is>
      </c>
      <c r="H142" s="14" t="inlineStr"/>
      <c r="I142" s="14" t="inlineStr">
        <is>
          <t>No</t>
        </is>
      </c>
      <c r="J142" s="14" t="inlineStr">
        <is>
          <t>Collana</t>
        </is>
      </c>
      <c r="K142" s="14" t="inlineStr">
        <is>
          <t>3-6 anni</t>
        </is>
      </c>
      <c r="L142" s="14" t="inlineStr">
        <is>
          <t>Catalogo Terre di Mezzo 1° semestre 2026, p. 22 (ISBN 9791259960405)</t>
        </is>
      </c>
      <c r="M142" s="16" t="n">
        <v>15</v>
      </c>
      <c r="N142" s="14" t="inlineStr">
        <is>
          <t>Catalogo Terre di Mezzo 1° semestre 2026</t>
        </is>
      </c>
      <c r="O142" s="16">
        <f>IF(ISNUMBER(M142),ROUND(M142*(1-Condizioni!$B$2),2),"")</f>
        <v/>
      </c>
      <c r="P142" s="17" t="inlineStr">
        <is>
          <t>No</t>
        </is>
      </c>
    </row>
    <row r="143">
      <c r="A143" s="14" t="inlineStr">
        <is>
          <t>Terre di Mezzo</t>
        </is>
      </c>
      <c r="B143" s="14" t="inlineStr">
        <is>
          <t>Barnabé alla scoperta del mondo</t>
        </is>
      </c>
      <c r="C143" s="14" t="inlineStr">
        <is>
          <t>Gilles Bizouerne, Béatrice Rodriguez</t>
        </is>
      </c>
      <c r="D143" s="14" t="inlineStr">
        <is>
          <t>L'Acchiappastorie – Albi illustrati</t>
        </is>
      </c>
      <c r="E143" s="14" t="inlineStr">
        <is>
          <t>albi illustrati (età indicativa)</t>
        </is>
      </c>
      <c r="F143" s="14" t="inlineStr">
        <is>
          <t>3-6 anni</t>
        </is>
      </c>
      <c r="G143" s="14" t="inlineStr">
        <is>
          <t>Albo illustrato</t>
        </is>
      </c>
      <c r="H143" s="14" t="inlineStr"/>
      <c r="I143" s="14" t="inlineStr">
        <is>
          <t>No</t>
        </is>
      </c>
      <c r="J143" s="14" t="inlineStr">
        <is>
          <t>Collana</t>
        </is>
      </c>
      <c r="K143" s="14" t="inlineStr">
        <is>
          <t>3-6 anni</t>
        </is>
      </c>
      <c r="L143" s="14" t="inlineStr">
        <is>
          <t>Catalogo Terre di Mezzo 1° semestre 2026, p. 35 (ISBN 9788861896550)</t>
        </is>
      </c>
      <c r="M143" s="16" t="n">
        <v>12</v>
      </c>
      <c r="N143" s="14" t="inlineStr">
        <is>
          <t>Catalogo Terre di Mezzo 1° semestre 2026</t>
        </is>
      </c>
      <c r="O143" s="16">
        <f>IF(ISNUMBER(M143),ROUND(M143*(1-Condizioni!$B$2),2),"")</f>
        <v/>
      </c>
      <c r="P143" s="17" t="inlineStr">
        <is>
          <t>No</t>
        </is>
      </c>
    </row>
    <row r="144">
      <c r="A144" s="14" t="inlineStr">
        <is>
          <t>Terre di Mezzo</t>
        </is>
      </c>
      <c r="B144" s="14" t="inlineStr">
        <is>
          <t>Barnabé cura il pianeta</t>
        </is>
      </c>
      <c r="C144" s="14" t="inlineStr">
        <is>
          <t>Gilles Bizouerne, Béatrice Rodriguez</t>
        </is>
      </c>
      <c r="D144" s="14" t="inlineStr">
        <is>
          <t>L'Acchiappastorie – Albi illustrati</t>
        </is>
      </c>
      <c r="E144" s="14" t="inlineStr">
        <is>
          <t>albi illustrati (età indicativa)</t>
        </is>
      </c>
      <c r="F144" s="14" t="inlineStr">
        <is>
          <t>3-6 anni</t>
        </is>
      </c>
      <c r="G144" s="14" t="inlineStr">
        <is>
          <t>Albo illustrato</t>
        </is>
      </c>
      <c r="H144" s="14" t="inlineStr"/>
      <c r="I144" s="14" t="inlineStr">
        <is>
          <t>No</t>
        </is>
      </c>
      <c r="J144" s="14" t="inlineStr">
        <is>
          <t>Collana</t>
        </is>
      </c>
      <c r="K144" s="14" t="inlineStr">
        <is>
          <t>3-6 anni</t>
        </is>
      </c>
      <c r="L144" s="14" t="inlineStr">
        <is>
          <t>Catalogo Terre di Mezzo 1° semestre 2026, p. 35 (ISBN 9788861896956)</t>
        </is>
      </c>
      <c r="M144" s="16" t="n">
        <v>12</v>
      </c>
      <c r="N144" s="14" t="inlineStr">
        <is>
          <t>Catalogo Terre di Mezzo 1° semestre 2026</t>
        </is>
      </c>
      <c r="O144" s="16">
        <f>IF(ISNUMBER(M144),ROUND(M144*(1-Condizioni!$B$2),2),"")</f>
        <v/>
      </c>
      <c r="P144" s="17" t="inlineStr">
        <is>
          <t>No</t>
        </is>
      </c>
    </row>
    <row r="145">
      <c r="A145" s="14" t="inlineStr">
        <is>
          <t>Terre di Mezzo</t>
        </is>
      </c>
      <c r="B145" s="14" t="inlineStr">
        <is>
          <t>Bravo Buz!</t>
        </is>
      </c>
      <c r="C145" s="14" t="inlineStr">
        <is>
          <t>Marianna Coppo</t>
        </is>
      </c>
      <c r="D145" s="14" t="inlineStr">
        <is>
          <t>L'Acchiappastorie – Albi illustrati</t>
        </is>
      </c>
      <c r="E145" s="14" t="inlineStr">
        <is>
          <t>albi illustrati (età indicativa)</t>
        </is>
      </c>
      <c r="F145" s="14" t="inlineStr">
        <is>
          <t>3-6 anni</t>
        </is>
      </c>
      <c r="G145" s="14" t="inlineStr">
        <is>
          <t>Albo illustrato</t>
        </is>
      </c>
      <c r="H145" s="14" t="inlineStr"/>
      <c r="I145" s="14" t="inlineStr">
        <is>
          <t>No</t>
        </is>
      </c>
      <c r="J145" s="14" t="inlineStr">
        <is>
          <t>Collana</t>
        </is>
      </c>
      <c r="K145" s="14" t="inlineStr">
        <is>
          <t>3-6 anni</t>
        </is>
      </c>
      <c r="L145" s="14" t="inlineStr">
        <is>
          <t>Catalogo Terre di Mezzo 1° semestre 2026, p. 36 (ISBN 9788861895980)</t>
        </is>
      </c>
      <c r="M145" s="16" t="n">
        <v>15</v>
      </c>
      <c r="N145" s="14" t="inlineStr">
        <is>
          <t>Catalogo Terre di Mezzo 1° semestre 2026</t>
        </is>
      </c>
      <c r="O145" s="16">
        <f>IF(ISNUMBER(M145),ROUND(M145*(1-Condizioni!$B$2),2),"")</f>
        <v/>
      </c>
      <c r="P145" s="17" t="inlineStr">
        <is>
          <t>No</t>
        </is>
      </c>
    </row>
    <row r="146">
      <c r="A146" s="14" t="inlineStr">
        <is>
          <t>Terre di Mezzo</t>
        </is>
      </c>
      <c r="B146" s="14" t="inlineStr">
        <is>
          <t>Buon compleanno!</t>
        </is>
      </c>
      <c r="C146" s="14" t="inlineStr">
        <is>
          <t>Heena Baek</t>
        </is>
      </c>
      <c r="D146" s="14" t="inlineStr">
        <is>
          <t>L'Acchiappastorie – Albi illustrati</t>
        </is>
      </c>
      <c r="E146" s="14" t="inlineStr">
        <is>
          <t>albi illustrati (età indicativa)</t>
        </is>
      </c>
      <c r="F146" s="14" t="inlineStr">
        <is>
          <t>3-6 anni</t>
        </is>
      </c>
      <c r="G146" s="14" t="inlineStr">
        <is>
          <t>Albo illustrato</t>
        </is>
      </c>
      <c r="H146" s="14" t="inlineStr"/>
      <c r="I146" s="14" t="inlineStr">
        <is>
          <t>No</t>
        </is>
      </c>
      <c r="J146" s="14" t="inlineStr">
        <is>
          <t>Collana</t>
        </is>
      </c>
      <c r="K146" s="14" t="inlineStr">
        <is>
          <t>3-6 anni</t>
        </is>
      </c>
      <c r="L146" s="14" t="inlineStr">
        <is>
          <t>Catalogo Terre di Mezzo 1° semestre 2026, p. 20 (ISBN 9791259963574)</t>
        </is>
      </c>
      <c r="M146" s="16" t="n">
        <v>16</v>
      </c>
      <c r="N146" s="14" t="inlineStr">
        <is>
          <t>Catalogo Terre di Mezzo 1° semestre 2026</t>
        </is>
      </c>
      <c r="O146" s="16">
        <f>IF(ISNUMBER(M146),ROUND(M146*(1-Condizioni!$B$2),2),"")</f>
        <v/>
      </c>
      <c r="P146" s="17" t="inlineStr">
        <is>
          <t>No</t>
        </is>
      </c>
    </row>
    <row r="147">
      <c r="A147" s="14" t="inlineStr">
        <is>
          <t>Terre di Mezzo</t>
        </is>
      </c>
      <c r="B147" s="14" t="inlineStr">
        <is>
          <t>Buonanotte bosco</t>
        </is>
      </c>
      <c r="C147" s="14" t="inlineStr">
        <is>
          <t>Karen Jameson, Marc Boutavant, traduzione di Chiara Carminati</t>
        </is>
      </c>
      <c r="D147" s="14" t="inlineStr">
        <is>
          <t>L'Acchiappastorie – Albi illustrati</t>
        </is>
      </c>
      <c r="E147" s="14" t="inlineStr">
        <is>
          <t>albi illustrati (età indicativa)</t>
        </is>
      </c>
      <c r="F147" s="14" t="inlineStr">
        <is>
          <t>3-6 anni</t>
        </is>
      </c>
      <c r="G147" s="14" t="inlineStr">
        <is>
          <t>Albo illustrato</t>
        </is>
      </c>
      <c r="H147" s="14" t="inlineStr"/>
      <c r="I147" s="14" t="inlineStr">
        <is>
          <t>No</t>
        </is>
      </c>
      <c r="J147" s="14" t="inlineStr">
        <is>
          <t>Collana</t>
        </is>
      </c>
      <c r="K147" s="14" t="inlineStr">
        <is>
          <t>3-6 anni</t>
        </is>
      </c>
      <c r="L147" s="14" t="inlineStr">
        <is>
          <t>Catalogo Terre di Mezzo 1° semestre 2026, p. 24 (ISBN 9788861896963)</t>
        </is>
      </c>
      <c r="M147" s="16" t="n">
        <v>16</v>
      </c>
      <c r="N147" s="14" t="inlineStr">
        <is>
          <t>Catalogo Terre di Mezzo 1° semestre 2026</t>
        </is>
      </c>
      <c r="O147" s="16">
        <f>IF(ISNUMBER(M147),ROUND(M147*(1-Condizioni!$B$2),2),"")</f>
        <v/>
      </c>
      <c r="P147" s="17" t="inlineStr">
        <is>
          <t>No</t>
        </is>
      </c>
    </row>
    <row r="148">
      <c r="A148" s="14" t="inlineStr">
        <is>
          <t>Terre di Mezzo</t>
        </is>
      </c>
      <c r="B148" s="14" t="inlineStr">
        <is>
          <t>Buongiorno bosco!</t>
        </is>
      </c>
      <c r="C148" s="14" t="inlineStr">
        <is>
          <t>Karen Jameson, Marc Boutavant, traduzione di Chiara Carminati</t>
        </is>
      </c>
      <c r="D148" s="14" t="inlineStr">
        <is>
          <t>L'Acchiappastorie – Albi illustrati</t>
        </is>
      </c>
      <c r="E148" s="14" t="inlineStr">
        <is>
          <t>albi illustrati (età indicativa)</t>
        </is>
      </c>
      <c r="F148" s="14" t="inlineStr">
        <is>
          <t>3-6 anni</t>
        </is>
      </c>
      <c r="G148" s="14" t="inlineStr">
        <is>
          <t>Albo illustrato</t>
        </is>
      </c>
      <c r="H148" s="14" t="inlineStr"/>
      <c r="I148" s="14" t="inlineStr">
        <is>
          <t>No</t>
        </is>
      </c>
      <c r="J148" s="14" t="inlineStr">
        <is>
          <t>Collana</t>
        </is>
      </c>
      <c r="K148" s="14" t="inlineStr">
        <is>
          <t>3-6 anni</t>
        </is>
      </c>
      <c r="L148" s="14" t="inlineStr">
        <is>
          <t>Catalogo Terre di Mezzo 1° semestre 2026, p. 24 (ISBN 9791259961860)</t>
        </is>
      </c>
      <c r="M148" s="16" t="n">
        <v>16</v>
      </c>
      <c r="N148" s="14" t="inlineStr">
        <is>
          <t>Catalogo Terre di Mezzo 1° semestre 2026</t>
        </is>
      </c>
      <c r="O148" s="16">
        <f>IF(ISNUMBER(M148),ROUND(M148*(1-Condizioni!$B$2),2),"")</f>
        <v/>
      </c>
      <c r="P148" s="17" t="inlineStr">
        <is>
          <t>No</t>
        </is>
      </c>
    </row>
    <row r="149">
      <c r="A149" s="14" t="inlineStr">
        <is>
          <t>Terre di Mezzo</t>
        </is>
      </c>
      <c r="B149" s="14" t="inlineStr">
        <is>
          <t>Cane Nero</t>
        </is>
      </c>
      <c r="C149" s="14" t="inlineStr">
        <is>
          <t>Levi Pinfold</t>
        </is>
      </c>
      <c r="D149" s="14" t="inlineStr">
        <is>
          <t>L'Acchiappastorie – Albi illustrati</t>
        </is>
      </c>
      <c r="E149" s="14" t="inlineStr">
        <is>
          <t>albi illustrati (età indicativa)</t>
        </is>
      </c>
      <c r="F149" s="14" t="inlineStr">
        <is>
          <t>3-6 anni</t>
        </is>
      </c>
      <c r="G149" s="14" t="inlineStr">
        <is>
          <t>Albo illustrato</t>
        </is>
      </c>
      <c r="H149" s="14" t="inlineStr"/>
      <c r="I149" s="14" t="inlineStr">
        <is>
          <t>No</t>
        </is>
      </c>
      <c r="J149" s="14" t="inlineStr">
        <is>
          <t>Collana</t>
        </is>
      </c>
      <c r="K149" s="14" t="inlineStr">
        <is>
          <t>3-6 anni</t>
        </is>
      </c>
      <c r="L149" s="14" t="inlineStr">
        <is>
          <t>Catalogo Terre di Mezzo 1° semestre 2026, p. 35 (ISBN 9788861892767)</t>
        </is>
      </c>
      <c r="M149" s="16" t="n">
        <v>16</v>
      </c>
      <c r="N149" s="14" t="inlineStr">
        <is>
          <t>Catalogo Terre di Mezzo 1° semestre 2026</t>
        </is>
      </c>
      <c r="O149" s="16">
        <f>IF(ISNUMBER(M149),ROUND(M149*(1-Condizioni!$B$2),2),"")</f>
        <v/>
      </c>
      <c r="P149" s="17" t="inlineStr">
        <is>
          <t>No</t>
        </is>
      </c>
    </row>
    <row r="150">
      <c r="A150" s="14" t="inlineStr">
        <is>
          <t>Terre di Mezzo</t>
        </is>
      </c>
      <c r="B150" s="14" t="inlineStr">
        <is>
          <t>Canto per una casa ritrovata</t>
        </is>
      </c>
      <c r="C150" s="14" t="inlineStr">
        <is>
          <t>Sophie Blackall, traduzione di Chiara Carminati</t>
        </is>
      </c>
      <c r="D150" s="14" t="inlineStr">
        <is>
          <t>L'Acchiappastorie – Albi illustrati</t>
        </is>
      </c>
      <c r="E150" s="14" t="inlineStr">
        <is>
          <t>albi illustrati (età indicativa)</t>
        </is>
      </c>
      <c r="F150" s="14" t="inlineStr">
        <is>
          <t>3-6 anni</t>
        </is>
      </c>
      <c r="G150" s="14" t="inlineStr">
        <is>
          <t>Albo illustrato</t>
        </is>
      </c>
      <c r="H150" s="14" t="inlineStr"/>
      <c r="I150" s="14" t="inlineStr">
        <is>
          <t>No</t>
        </is>
      </c>
      <c r="J150" s="14" t="inlineStr">
        <is>
          <t>Collana</t>
        </is>
      </c>
      <c r="K150" s="14" t="inlineStr">
        <is>
          <t>3-6 anni</t>
        </is>
      </c>
      <c r="L150" s="14" t="inlineStr">
        <is>
          <t>Catalogo Terre di Mezzo 1° semestre 2026, p. 27 (ISBN 9791259961150)</t>
        </is>
      </c>
      <c r="M150" s="16" t="n">
        <v>16</v>
      </c>
      <c r="N150" s="14" t="inlineStr">
        <is>
          <t>Catalogo Terre di Mezzo 1° semestre 2026</t>
        </is>
      </c>
      <c r="O150" s="16">
        <f>IF(ISNUMBER(M150),ROUND(M150*(1-Condizioni!$B$2),2),"")</f>
        <v/>
      </c>
      <c r="P150" s="17" t="inlineStr">
        <is>
          <t>No</t>
        </is>
      </c>
    </row>
    <row r="151">
      <c r="A151" s="14" t="inlineStr">
        <is>
          <t>Terre di Mezzo</t>
        </is>
      </c>
      <c r="B151" s="14" t="inlineStr">
        <is>
          <t>Celeste e la gemella Blu</t>
        </is>
      </c>
      <c r="C151" s="14" t="inlineStr">
        <is>
          <t>Angelo Mozzillo, Deco</t>
        </is>
      </c>
      <c r="D151" s="14" t="inlineStr">
        <is>
          <t>L'Acchiappastorie – Albi illustrati</t>
        </is>
      </c>
      <c r="E151" s="14" t="inlineStr">
        <is>
          <t>albi illustrati (età indicativa)</t>
        </is>
      </c>
      <c r="F151" s="14" t="inlineStr">
        <is>
          <t>3-6 anni</t>
        </is>
      </c>
      <c r="G151" s="14" t="inlineStr">
        <is>
          <t>Albo illustrato</t>
        </is>
      </c>
      <c r="H151" s="14" t="inlineStr"/>
      <c r="I151" s="14" t="inlineStr">
        <is>
          <t>No</t>
        </is>
      </c>
      <c r="J151" s="14" t="inlineStr">
        <is>
          <t>Collana</t>
        </is>
      </c>
      <c r="K151" s="14" t="inlineStr">
        <is>
          <t>3-6 anni</t>
        </is>
      </c>
      <c r="L151" s="14" t="inlineStr">
        <is>
          <t>Catalogo Terre di Mezzo 1° semestre 2026, p. 26 (ISBN 9791259961907)</t>
        </is>
      </c>
      <c r="M151" s="16" t="n">
        <v>16</v>
      </c>
      <c r="N151" s="14" t="inlineStr">
        <is>
          <t>Catalogo Terre di Mezzo 1° semestre 2026</t>
        </is>
      </c>
      <c r="O151" s="16">
        <f>IF(ISNUMBER(M151),ROUND(M151*(1-Condizioni!$B$2),2),"")</f>
        <v/>
      </c>
      <c r="P151" s="17" t="inlineStr">
        <is>
          <t>Sì</t>
        </is>
      </c>
    </row>
    <row r="152">
      <c r="A152" s="14" t="inlineStr">
        <is>
          <t>Terre di Mezzo</t>
        </is>
      </c>
      <c r="B152" s="14" t="inlineStr">
        <is>
          <t>Chapeau!</t>
        </is>
      </c>
      <c r="C152" s="14" t="inlineStr">
        <is>
          <t>Marianna Coppo</t>
        </is>
      </c>
      <c r="D152" s="14" t="inlineStr">
        <is>
          <t>L'Acchiappastorie – Albi illustrati</t>
        </is>
      </c>
      <c r="E152" s="14" t="inlineStr">
        <is>
          <t>albi illustrati (età indicativa)</t>
        </is>
      </c>
      <c r="F152" s="14" t="inlineStr">
        <is>
          <t>3-6 anni</t>
        </is>
      </c>
      <c r="G152" s="14" t="inlineStr">
        <is>
          <t>Albo illustrato</t>
        </is>
      </c>
      <c r="H152" s="14" t="inlineStr"/>
      <c r="I152" s="14" t="inlineStr">
        <is>
          <t>No</t>
        </is>
      </c>
      <c r="J152" s="14" t="inlineStr">
        <is>
          <t>Collana</t>
        </is>
      </c>
      <c r="K152" s="14" t="inlineStr">
        <is>
          <t>3-6 anni</t>
        </is>
      </c>
      <c r="L152" s="14" t="inlineStr">
        <is>
          <t>Catalogo Terre di Mezzo 1° semestre 2026, p. 36 (ISBN 9788861893061)</t>
        </is>
      </c>
      <c r="M152" s="16" t="n">
        <v>15</v>
      </c>
      <c r="N152" s="14" t="inlineStr">
        <is>
          <t>Catalogo Terre di Mezzo 1° semestre 2026</t>
        </is>
      </c>
      <c r="O152" s="16">
        <f>IF(ISNUMBER(M152),ROUND(M152*(1-Condizioni!$B$2),2),"")</f>
        <v/>
      </c>
      <c r="P152" s="17" t="inlineStr">
        <is>
          <t>No</t>
        </is>
      </c>
    </row>
    <row r="153">
      <c r="A153" s="14" t="inlineStr">
        <is>
          <t>Terre di Mezzo</t>
        </is>
      </c>
      <c r="B153" s="14" t="inlineStr">
        <is>
          <t>Che cos’è il tempo?</t>
        </is>
      </c>
      <c r="C153" s="14" t="inlineStr">
        <is>
          <t>Julie Morstad</t>
        </is>
      </c>
      <c r="D153" s="14" t="inlineStr">
        <is>
          <t>L'Acchiappastorie – Albi illustrati</t>
        </is>
      </c>
      <c r="E153" s="14" t="inlineStr">
        <is>
          <t>albi illustrati (età indicativa)</t>
        </is>
      </c>
      <c r="F153" s="14" t="inlineStr">
        <is>
          <t>3-6 anni</t>
        </is>
      </c>
      <c r="G153" s="14" t="inlineStr">
        <is>
          <t>Albo illustrato</t>
        </is>
      </c>
      <c r="H153" s="14" t="inlineStr"/>
      <c r="I153" s="14" t="inlineStr">
        <is>
          <t>No</t>
        </is>
      </c>
      <c r="J153" s="14" t="inlineStr">
        <is>
          <t>Collana</t>
        </is>
      </c>
      <c r="K153" s="14" t="inlineStr">
        <is>
          <t>3-6 anni</t>
        </is>
      </c>
      <c r="L153" s="14" t="inlineStr">
        <is>
          <t>Catalogo Terre di Mezzo 1° semestre 2026, p. 22 (ISBN 9791259960931)</t>
        </is>
      </c>
      <c r="M153" s="16" t="n">
        <v>18</v>
      </c>
      <c r="N153" s="14" t="inlineStr">
        <is>
          <t>Catalogo Terre di Mezzo 1° semestre 2026</t>
        </is>
      </c>
      <c r="O153" s="16">
        <f>IF(ISNUMBER(M153),ROUND(M153*(1-Condizioni!$B$2),2),"")</f>
        <v/>
      </c>
      <c r="P153" s="17" t="inlineStr">
        <is>
          <t>No</t>
        </is>
      </c>
    </row>
    <row r="154">
      <c r="A154" s="14" t="inlineStr">
        <is>
          <t>Terre di Mezzo</t>
        </is>
      </c>
      <c r="B154" s="14" t="inlineStr">
        <is>
          <t>Che cos’è la scuola?</t>
        </is>
      </c>
      <c r="C154" s="14" t="inlineStr">
        <is>
          <t>Luca Tortolini, Marco Somà</t>
        </is>
      </c>
      <c r="D154" s="14" t="inlineStr">
        <is>
          <t>L'Acchiappastorie – Albi illustrati</t>
        </is>
      </c>
      <c r="E154" s="14" t="inlineStr">
        <is>
          <t>albi illustrati (età indicativa)</t>
        </is>
      </c>
      <c r="F154" s="14" t="inlineStr">
        <is>
          <t>3-6 anni</t>
        </is>
      </c>
      <c r="G154" s="14" t="inlineStr">
        <is>
          <t>Albo illustrato</t>
        </is>
      </c>
      <c r="H154" s="14" t="inlineStr"/>
      <c r="I154" s="14" t="inlineStr">
        <is>
          <t>No</t>
        </is>
      </c>
      <c r="J154" s="14" t="inlineStr">
        <is>
          <t>Collana</t>
        </is>
      </c>
      <c r="K154" s="14" t="inlineStr">
        <is>
          <t>3-6 anni</t>
        </is>
      </c>
      <c r="L154" s="14" t="inlineStr">
        <is>
          <t>Catalogo Terre di Mezzo 1° semestre 2026, p. 11 (ISBN 9788861896383)</t>
        </is>
      </c>
      <c r="M154" s="16" t="n">
        <v>16</v>
      </c>
      <c r="N154" s="14" t="inlineStr">
        <is>
          <t>Catalogo Terre di Mezzo 1° semestre 2026</t>
        </is>
      </c>
      <c r="O154" s="16">
        <f>IF(ISNUMBER(M154),ROUND(M154*(1-Condizioni!$B$2),2),"")</f>
        <v/>
      </c>
      <c r="P154" s="17" t="inlineStr">
        <is>
          <t>Sì</t>
        </is>
      </c>
    </row>
    <row r="155">
      <c r="A155" s="14" t="inlineStr">
        <is>
          <t>Terre di Mezzo</t>
        </is>
      </c>
      <c r="B155" s="14" t="inlineStr">
        <is>
          <t>Che cos’è l’amicizia?</t>
        </is>
      </c>
      <c r="C155" s="14" t="inlineStr">
        <is>
          <t>Luca Tortolini, Paolo Proietti</t>
        </is>
      </c>
      <c r="D155" s="14" t="inlineStr">
        <is>
          <t>L'Acchiappastorie – Albi illustrati</t>
        </is>
      </c>
      <c r="E155" s="14" t="inlineStr">
        <is>
          <t>albi illustrati (età indicativa)</t>
        </is>
      </c>
      <c r="F155" s="14" t="inlineStr">
        <is>
          <t>3-6 anni</t>
        </is>
      </c>
      <c r="G155" s="14" t="inlineStr">
        <is>
          <t>Albo illustrato</t>
        </is>
      </c>
      <c r="H155" s="14" t="inlineStr"/>
      <c r="I155" s="14" t="inlineStr">
        <is>
          <t>No</t>
        </is>
      </c>
      <c r="J155" s="14" t="inlineStr">
        <is>
          <t>Collana</t>
        </is>
      </c>
      <c r="K155" s="14" t="inlineStr">
        <is>
          <t>3-6 anni</t>
        </is>
      </c>
      <c r="L155" s="14" t="inlineStr">
        <is>
          <t>Catalogo Terre di Mezzo 1° semestre 2026, p. 11 (ISBN 9791259963987)</t>
        </is>
      </c>
      <c r="M155" s="16" t="n">
        <v>16</v>
      </c>
      <c r="N155" s="14" t="inlineStr">
        <is>
          <t>Catalogo Terre di Mezzo 1° semestre 2026</t>
        </is>
      </c>
      <c r="O155" s="16">
        <f>IF(ISNUMBER(M155),ROUND(M155*(1-Condizioni!$B$2),2),"")</f>
        <v/>
      </c>
      <c r="P155" s="17" t="inlineStr">
        <is>
          <t>Sì</t>
        </is>
      </c>
    </row>
    <row r="156">
      <c r="A156" s="14" t="inlineStr">
        <is>
          <t>Terre di Mezzo</t>
        </is>
      </c>
      <c r="B156" s="14" t="inlineStr">
        <is>
          <t>Che cos’è l’amore?</t>
        </is>
      </c>
      <c r="C156" s="14" t="inlineStr">
        <is>
          <t>Mac Barnett, Carson Ellis</t>
        </is>
      </c>
      <c r="D156" s="14" t="inlineStr">
        <is>
          <t>L'Acchiappastorie – Albi illustrati</t>
        </is>
      </c>
      <c r="E156" s="14" t="inlineStr">
        <is>
          <t>albi illustrati (età indicativa)</t>
        </is>
      </c>
      <c r="F156" s="14" t="inlineStr">
        <is>
          <t>3-6 anni</t>
        </is>
      </c>
      <c r="G156" s="14" t="inlineStr">
        <is>
          <t>Albo illustrato</t>
        </is>
      </c>
      <c r="H156" s="14" t="inlineStr"/>
      <c r="I156" s="14" t="inlineStr">
        <is>
          <t>No</t>
        </is>
      </c>
      <c r="J156" s="14" t="inlineStr">
        <is>
          <t>Collana</t>
        </is>
      </c>
      <c r="K156" s="14" t="inlineStr">
        <is>
          <t>3-6 anni</t>
        </is>
      </c>
      <c r="L156" s="14" t="inlineStr">
        <is>
          <t>Catalogo Terre di Mezzo 1° semestre 2026, p. 25 (ISBN 9788861897380)</t>
        </is>
      </c>
      <c r="M156" s="16" t="n">
        <v>16</v>
      </c>
      <c r="N156" s="14" t="inlineStr">
        <is>
          <t>Catalogo Terre di Mezzo 1° semestre 2026</t>
        </is>
      </c>
      <c r="O156" s="16">
        <f>IF(ISNUMBER(M156),ROUND(M156*(1-Condizioni!$B$2),2),"")</f>
        <v/>
      </c>
      <c r="P156" s="17" t="inlineStr">
        <is>
          <t>No</t>
        </is>
      </c>
    </row>
    <row r="157">
      <c r="A157" s="14" t="inlineStr">
        <is>
          <t>Terre di Mezzo</t>
        </is>
      </c>
      <c r="B157" s="14" t="inlineStr">
        <is>
          <t>Che fretta c’è?</t>
        </is>
      </c>
      <c r="C157" s="14" t="inlineStr">
        <is>
          <t>Yiting Lee</t>
        </is>
      </c>
      <c r="D157" s="14" t="inlineStr">
        <is>
          <t>L'Acchiappastorie – Albi illustrati</t>
        </is>
      </c>
      <c r="E157" s="14" t="inlineStr">
        <is>
          <t>albi illustrati (età indicativa)</t>
        </is>
      </c>
      <c r="F157" s="14" t="inlineStr">
        <is>
          <t>3-6 anni</t>
        </is>
      </c>
      <c r="G157" s="14" t="inlineStr">
        <is>
          <t>Albo illustrato</t>
        </is>
      </c>
      <c r="H157" s="14" t="inlineStr"/>
      <c r="I157" s="14" t="inlineStr">
        <is>
          <t>No</t>
        </is>
      </c>
      <c r="J157" s="14" t="inlineStr">
        <is>
          <t>Collana</t>
        </is>
      </c>
      <c r="K157" s="14" t="inlineStr">
        <is>
          <t>3-6 anni</t>
        </is>
      </c>
      <c r="L157" s="14" t="inlineStr">
        <is>
          <t>Catalogo Terre di Mezzo 1° semestre 2026, p. 23 (ISBN 9791259961433)</t>
        </is>
      </c>
      <c r="M157" s="16" t="n">
        <v>15</v>
      </c>
      <c r="N157" s="14" t="inlineStr">
        <is>
          <t>Catalogo Terre di Mezzo 1° semestre 2026</t>
        </is>
      </c>
      <c r="O157" s="16">
        <f>IF(ISNUMBER(M157),ROUND(M157*(1-Condizioni!$B$2),2),"")</f>
        <v/>
      </c>
      <c r="P157" s="17" t="inlineStr">
        <is>
          <t>No</t>
        </is>
      </c>
    </row>
    <row r="158">
      <c r="A158" s="14" t="inlineStr">
        <is>
          <t>Terre di Mezzo</t>
        </is>
      </c>
      <c r="B158" s="14" t="inlineStr">
        <is>
          <t>Che noia!</t>
        </is>
      </c>
      <c r="C158" s="14" t="inlineStr">
        <is>
          <t>Felicita Sala</t>
        </is>
      </c>
      <c r="D158" s="14" t="inlineStr">
        <is>
          <t>L'Acchiappastorie – Albi illustrati</t>
        </is>
      </c>
      <c r="E158" s="14" t="inlineStr">
        <is>
          <t>albi illustrati (età indicativa)</t>
        </is>
      </c>
      <c r="F158" s="14" t="inlineStr">
        <is>
          <t>3-6 anni</t>
        </is>
      </c>
      <c r="G158" s="14" t="inlineStr">
        <is>
          <t>Albo illustrato</t>
        </is>
      </c>
      <c r="H158" s="14" t="inlineStr"/>
      <c r="I158" s="14" t="inlineStr">
        <is>
          <t>No</t>
        </is>
      </c>
      <c r="J158" s="14" t="inlineStr">
        <is>
          <t>Collana</t>
        </is>
      </c>
      <c r="K158" s="14" t="inlineStr">
        <is>
          <t>3-6 anni</t>
        </is>
      </c>
      <c r="L158" s="14" t="inlineStr">
        <is>
          <t>Catalogo Terre di Mezzo 1° semestre 2026, p. 15 (ISBN 9791259964205)</t>
        </is>
      </c>
      <c r="M158" s="16" t="n">
        <v>16</v>
      </c>
      <c r="N158" s="14" t="inlineStr">
        <is>
          <t>Catalogo Terre di Mezzo 1° semestre 2026</t>
        </is>
      </c>
      <c r="O158" s="16">
        <f>IF(ISNUMBER(M158),ROUND(M158*(1-Condizioni!$B$2),2),"")</f>
        <v/>
      </c>
      <c r="P158" s="17" t="inlineStr">
        <is>
          <t>No</t>
        </is>
      </c>
    </row>
    <row r="159">
      <c r="A159" s="14" t="inlineStr">
        <is>
          <t>Terre di Mezzo</t>
        </is>
      </c>
      <c r="B159" s="14" t="inlineStr">
        <is>
          <t>Chi è che fa beee? grosso guaio in fattoria</t>
        </is>
      </c>
      <c r="C159" s="14" t="inlineStr">
        <is>
          <t>Matthew Diffee</t>
        </is>
      </c>
      <c r="D159" s="14" t="inlineStr">
        <is>
          <t>L'Acchiappastorie – Albi illustrati</t>
        </is>
      </c>
      <c r="E159" s="14" t="inlineStr">
        <is>
          <t>albi illustrati (età indicativa)</t>
        </is>
      </c>
      <c r="F159" s="14" t="inlineStr">
        <is>
          <t>3-6 anni</t>
        </is>
      </c>
      <c r="G159" s="14" t="inlineStr">
        <is>
          <t>Albo illustrato</t>
        </is>
      </c>
      <c r="H159" s="14" t="inlineStr"/>
      <c r="I159" s="14" t="inlineStr">
        <is>
          <t>No</t>
        </is>
      </c>
      <c r="J159" s="14" t="inlineStr">
        <is>
          <t>Collana</t>
        </is>
      </c>
      <c r="K159" s="14" t="inlineStr">
        <is>
          <t>3-6 anni</t>
        </is>
      </c>
      <c r="L159" s="14" t="inlineStr">
        <is>
          <t>Catalogo Terre di Mezzo 1° semestre 2026, p. 10 (ISBN 9791259964038)</t>
        </is>
      </c>
      <c r="M159" s="16" t="n">
        <v>16</v>
      </c>
      <c r="N159" s="14" t="inlineStr">
        <is>
          <t>Catalogo Terre di Mezzo 1° semestre 2026</t>
        </is>
      </c>
      <c r="O159" s="16">
        <f>IF(ISNUMBER(M159),ROUND(M159*(1-Condizioni!$B$2),2),"")</f>
        <v/>
      </c>
      <c r="P159" s="17" t="inlineStr">
        <is>
          <t>No</t>
        </is>
      </c>
    </row>
    <row r="160">
      <c r="A160" s="14" t="inlineStr">
        <is>
          <t>Terre di Mezzo</t>
        </is>
      </c>
      <c r="B160" s="14" t="inlineStr">
        <is>
          <t>Chiedimi Cosa mi piace</t>
        </is>
      </c>
      <c r="C160" s="14" t="inlineStr">
        <is>
          <t>Bernard Waber, Suzy Lee</t>
        </is>
      </c>
      <c r="D160" s="14" t="inlineStr">
        <is>
          <t>L'Acchiappastorie – Albi illustrati</t>
        </is>
      </c>
      <c r="E160" s="14" t="inlineStr">
        <is>
          <t>albi illustrati (età indicativa)</t>
        </is>
      </c>
      <c r="F160" s="14" t="inlineStr">
        <is>
          <t>3-6 anni</t>
        </is>
      </c>
      <c r="G160" s="14" t="inlineStr">
        <is>
          <t>Albo illustrato</t>
        </is>
      </c>
      <c r="H160" s="14" t="inlineStr"/>
      <c r="I160" s="14" t="inlineStr">
        <is>
          <t>No</t>
        </is>
      </c>
      <c r="J160" s="14" t="inlineStr">
        <is>
          <t>Collana</t>
        </is>
      </c>
      <c r="K160" s="14" t="inlineStr">
        <is>
          <t>3-6 anni</t>
        </is>
      </c>
      <c r="L160" s="14" t="inlineStr">
        <is>
          <t>Catalogo Terre di Mezzo 1° semestre 2026, p. 38 (ISBN 9788861894006)</t>
        </is>
      </c>
      <c r="M160" s="16" t="n">
        <v>15</v>
      </c>
      <c r="N160" s="14" t="inlineStr">
        <is>
          <t>Catalogo Terre di Mezzo 1° semestre 2026</t>
        </is>
      </c>
      <c r="O160" s="16">
        <f>IF(ISNUMBER(M160),ROUND(M160*(1-Condizioni!$B$2),2),"")</f>
        <v/>
      </c>
      <c r="P160" s="17" t="inlineStr">
        <is>
          <t>No</t>
        </is>
      </c>
    </row>
    <row r="161">
      <c r="A161" s="14" t="inlineStr">
        <is>
          <t>Terre di Mezzo</t>
        </is>
      </c>
      <c r="B161" s="14" t="inlineStr">
        <is>
          <t>Ci conosciamo?</t>
        </is>
      </c>
      <c r="C161" s="14" t="inlineStr">
        <is>
          <t>Tina Oziewicz, Aleksandra Zając</t>
        </is>
      </c>
      <c r="D161" s="14" t="inlineStr">
        <is>
          <t>L'Acchiappastorie – Albi illustrati</t>
        </is>
      </c>
      <c r="E161" s="14" t="inlineStr">
        <is>
          <t>albi illustrati (età indicativa)</t>
        </is>
      </c>
      <c r="F161" s="14" t="inlineStr">
        <is>
          <t>3-6 anni</t>
        </is>
      </c>
      <c r="G161" s="14" t="inlineStr">
        <is>
          <t>Albo illustrato</t>
        </is>
      </c>
      <c r="H161" s="14" t="inlineStr"/>
      <c r="I161" s="14" t="inlineStr">
        <is>
          <t>No</t>
        </is>
      </c>
      <c r="J161" s="14" t="inlineStr">
        <is>
          <t>Collana</t>
        </is>
      </c>
      <c r="K161" s="14" t="inlineStr">
        <is>
          <t>3-6 anni</t>
        </is>
      </c>
      <c r="L161" s="14" t="inlineStr">
        <is>
          <t>Catalogo Terre di Mezzo 1° semestre 2026, p. 19 (ISBN 9788861897021)</t>
        </is>
      </c>
      <c r="M161" s="16" t="n">
        <v>16</v>
      </c>
      <c r="N161" s="14" t="inlineStr">
        <is>
          <t>Catalogo Terre di Mezzo 1° semestre 2026</t>
        </is>
      </c>
      <c r="O161" s="16">
        <f>IF(ISNUMBER(M161),ROUND(M161*(1-Condizioni!$B$2),2),"")</f>
        <v/>
      </c>
      <c r="P161" s="17" t="inlineStr">
        <is>
          <t>No</t>
        </is>
      </c>
    </row>
    <row r="162">
      <c r="A162" s="14" t="inlineStr">
        <is>
          <t>Terre di Mezzo</t>
        </is>
      </c>
      <c r="B162" s="14" t="inlineStr">
        <is>
          <t>Ci vediamo fuori?</t>
        </is>
      </c>
      <c r="C162" s="14" t="inlineStr">
        <is>
          <t>Emma Lidia Squillari</t>
        </is>
      </c>
      <c r="D162" s="14" t="inlineStr">
        <is>
          <t>L'Acchiappastorie – Albi illustrati</t>
        </is>
      </c>
      <c r="E162" s="14" t="inlineStr">
        <is>
          <t>albi illustrati (età indicativa)</t>
        </is>
      </c>
      <c r="F162" s="14" t="inlineStr">
        <is>
          <t>3-6 anni</t>
        </is>
      </c>
      <c r="G162" s="14" t="inlineStr">
        <is>
          <t>Albo illustrato</t>
        </is>
      </c>
      <c r="H162" s="14" t="inlineStr"/>
      <c r="I162" s="14" t="inlineStr">
        <is>
          <t>No</t>
        </is>
      </c>
      <c r="J162" s="14" t="inlineStr">
        <is>
          <t>Collana</t>
        </is>
      </c>
      <c r="K162" s="14" t="inlineStr">
        <is>
          <t>3-6 anni</t>
        </is>
      </c>
      <c r="L162" s="14" t="inlineStr">
        <is>
          <t>Catalogo Terre di Mezzo 1° semestre 2026, p. 13 (ISBN 9788861896321)</t>
        </is>
      </c>
      <c r="M162" s="16" t="n">
        <v>15</v>
      </c>
      <c r="N162" s="14" t="inlineStr">
        <is>
          <t>Catalogo Terre di Mezzo 1° semestre 2026</t>
        </is>
      </c>
      <c r="O162" s="16">
        <f>IF(ISNUMBER(M162),ROUND(M162*(1-Condizioni!$B$2),2),"")</f>
        <v/>
      </c>
      <c r="P162" s="17" t="inlineStr">
        <is>
          <t>No</t>
        </is>
      </c>
    </row>
    <row r="163">
      <c r="A163" s="14" t="inlineStr">
        <is>
          <t>Terre di Mezzo</t>
        </is>
      </c>
      <c r="B163" s="14" t="inlineStr">
        <is>
          <t>Ciri e Cirirì. che spasso la pioggia!</t>
        </is>
      </c>
      <c r="C163" s="14" t="inlineStr">
        <is>
          <t>Kaya Doi</t>
        </is>
      </c>
      <c r="D163" s="14" t="inlineStr">
        <is>
          <t>L'Acchiappastorie – Albi illustrati</t>
        </is>
      </c>
      <c r="E163" s="14" t="inlineStr">
        <is>
          <t>albi illustrati (età indicativa)</t>
        </is>
      </c>
      <c r="F163" s="14" t="inlineStr">
        <is>
          <t>3-6 anni</t>
        </is>
      </c>
      <c r="G163" s="14" t="inlineStr">
        <is>
          <t>Albo illustrato</t>
        </is>
      </c>
      <c r="H163" s="14" t="inlineStr"/>
      <c r="I163" s="14" t="inlineStr">
        <is>
          <t>No</t>
        </is>
      </c>
      <c r="J163" s="14" t="inlineStr">
        <is>
          <t>Collana</t>
        </is>
      </c>
      <c r="K163" s="14" t="inlineStr">
        <is>
          <t>3-6 anni</t>
        </is>
      </c>
      <c r="L163" s="14" t="inlineStr">
        <is>
          <t>Catalogo Terre di Mezzo 1° semestre 2026, p. 30 (ISBN 9788861897717)</t>
        </is>
      </c>
      <c r="M163" s="16" t="n">
        <v>12.9</v>
      </c>
      <c r="N163" s="14" t="inlineStr">
        <is>
          <t>Catalogo Terre di Mezzo 1° semestre 2026</t>
        </is>
      </c>
      <c r="O163" s="16">
        <f>IF(ISNUMBER(M163),ROUND(M163*(1-Condizioni!$B$2),2),"")</f>
        <v/>
      </c>
      <c r="P163" s="17" t="inlineStr">
        <is>
          <t>No</t>
        </is>
      </c>
    </row>
    <row r="164">
      <c r="A164" s="14" t="inlineStr">
        <is>
          <t>Terre di Mezzo</t>
        </is>
      </c>
      <c r="B164" s="14" t="inlineStr">
        <is>
          <t>Come fa Babbo Natale a passare dal camino?</t>
        </is>
      </c>
      <c r="C164" s="14" t="inlineStr">
        <is>
          <t>Mac Barnett, Jon Klassen</t>
        </is>
      </c>
      <c r="D164" s="14" t="inlineStr">
        <is>
          <t>L'Acchiappastorie – Albi illustrati</t>
        </is>
      </c>
      <c r="E164" s="14" t="inlineStr">
        <is>
          <t>albi illustrati (età indicativa)</t>
        </is>
      </c>
      <c r="F164" s="14" t="inlineStr">
        <is>
          <t>3-6 anni</t>
        </is>
      </c>
      <c r="G164" s="14" t="inlineStr">
        <is>
          <t>Albo illustrato</t>
        </is>
      </c>
      <c r="H164" s="14" t="inlineStr"/>
      <c r="I164" s="14" t="inlineStr">
        <is>
          <t>No</t>
        </is>
      </c>
      <c r="J164" s="14" t="inlineStr">
        <is>
          <t>Collana</t>
        </is>
      </c>
      <c r="K164" s="14" t="inlineStr">
        <is>
          <t>3-6 anni</t>
        </is>
      </c>
      <c r="L164" s="14" t="inlineStr">
        <is>
          <t>Catalogo Terre di Mezzo 1° semestre 2026, p. 25 (ISBN 9791259961501)</t>
        </is>
      </c>
      <c r="M164" s="16" t="n">
        <v>16</v>
      </c>
      <c r="N164" s="14" t="inlineStr">
        <is>
          <t>Catalogo Terre di Mezzo 1° semestre 2026</t>
        </is>
      </c>
      <c r="O164" s="16">
        <f>IF(ISNUMBER(M164),ROUND(M164*(1-Condizioni!$B$2),2),"")</f>
        <v/>
      </c>
      <c r="P164" s="17" t="inlineStr">
        <is>
          <t>No</t>
        </is>
      </c>
    </row>
    <row r="165">
      <c r="A165" s="14" t="inlineStr">
        <is>
          <t>Terre di Mezzo</t>
        </is>
      </c>
      <c r="B165" s="14" t="inlineStr">
        <is>
          <t>Come si fanno le caramelle magiche</t>
        </is>
      </c>
      <c r="C165" s="14" t="inlineStr">
        <is>
          <t>Heena Baek</t>
        </is>
      </c>
      <c r="D165" s="14" t="inlineStr">
        <is>
          <t>L'Acchiappastorie – Albi illustrati</t>
        </is>
      </c>
      <c r="E165" s="14" t="inlineStr">
        <is>
          <t>albi illustrati (età indicativa)</t>
        </is>
      </c>
      <c r="F165" s="14" t="inlineStr">
        <is>
          <t>3-6 anni</t>
        </is>
      </c>
      <c r="G165" s="14" t="inlineStr">
        <is>
          <t>Albo illustrato</t>
        </is>
      </c>
      <c r="H165" s="14" t="inlineStr"/>
      <c r="I165" s="14" t="inlineStr">
        <is>
          <t>No</t>
        </is>
      </c>
      <c r="J165" s="14" t="inlineStr">
        <is>
          <t>Collana</t>
        </is>
      </c>
      <c r="K165" s="14" t="inlineStr">
        <is>
          <t>3-6 anni</t>
        </is>
      </c>
      <c r="L165" s="14" t="inlineStr">
        <is>
          <t>Catalogo Terre di Mezzo 1° semestre 2026, p. 20 (ISBN 9791259962966)</t>
        </is>
      </c>
      <c r="M165" s="16" t="n">
        <v>13.5</v>
      </c>
      <c r="N165" s="14" t="inlineStr">
        <is>
          <t>Catalogo Terre di Mezzo 1° semestre 2026</t>
        </is>
      </c>
      <c r="O165" s="16">
        <f>IF(ISNUMBER(M165),ROUND(M165*(1-Condizioni!$B$2),2),"")</f>
        <v/>
      </c>
      <c r="P165" s="17" t="inlineStr">
        <is>
          <t>No</t>
        </is>
      </c>
    </row>
    <row r="166">
      <c r="A166" s="14" t="inlineStr">
        <is>
          <t>Terre di Mezzo</t>
        </is>
      </c>
      <c r="B166" s="14" t="inlineStr">
        <is>
          <t>Compleanno al Polo nord</t>
        </is>
      </c>
      <c r="C166" s="14" t="inlineStr">
        <is>
          <t>Nora Brech</t>
        </is>
      </c>
      <c r="D166" s="14" t="inlineStr">
        <is>
          <t>L'Acchiappastorie – Albi illustrati</t>
        </is>
      </c>
      <c r="E166" s="14" t="inlineStr">
        <is>
          <t>albi illustrati (età indicativa)</t>
        </is>
      </c>
      <c r="F166" s="14" t="inlineStr">
        <is>
          <t>3-6 anni</t>
        </is>
      </c>
      <c r="G166" s="14" t="inlineStr">
        <is>
          <t>Albo illustrato</t>
        </is>
      </c>
      <c r="H166" s="14" t="inlineStr"/>
      <c r="I166" s="14" t="inlineStr">
        <is>
          <t>No</t>
        </is>
      </c>
      <c r="J166" s="14" t="inlineStr">
        <is>
          <t>Collana</t>
        </is>
      </c>
      <c r="K166" s="14" t="inlineStr">
        <is>
          <t>3-6 anni</t>
        </is>
      </c>
      <c r="L166" s="14" t="inlineStr">
        <is>
          <t>Catalogo Terre di Mezzo 1° semestre 2026, p. 29 (ISBN 9791259960658)</t>
        </is>
      </c>
      <c r="M166" s="16" t="n">
        <v>16</v>
      </c>
      <c r="N166" s="14" t="inlineStr">
        <is>
          <t>Catalogo Terre di Mezzo 1° semestre 2026</t>
        </is>
      </c>
      <c r="O166" s="16">
        <f>IF(ISNUMBER(M166),ROUND(M166*(1-Condizioni!$B$2),2),"")</f>
        <v/>
      </c>
      <c r="P166" s="17" t="inlineStr">
        <is>
          <t>No</t>
        </is>
      </c>
    </row>
    <row r="167">
      <c r="A167" s="14" t="inlineStr">
        <is>
          <t>Terre di Mezzo</t>
        </is>
      </c>
      <c r="B167" s="14" t="inlineStr">
        <is>
          <t>Coraggioso come un topo</t>
        </is>
      </c>
      <c r="C167" s="14" t="inlineStr">
        <is>
          <t>Nicolò Carozzi</t>
        </is>
      </c>
      <c r="D167" s="14" t="inlineStr">
        <is>
          <t>L'Acchiappastorie – Albi illustrati</t>
        </is>
      </c>
      <c r="E167" s="14" t="inlineStr">
        <is>
          <t>albi illustrati (età indicativa)</t>
        </is>
      </c>
      <c r="F167" s="14" t="inlineStr">
        <is>
          <t>3-6 anni</t>
        </is>
      </c>
      <c r="G167" s="14" t="inlineStr">
        <is>
          <t>Albo illustrato</t>
        </is>
      </c>
      <c r="H167" s="14" t="inlineStr"/>
      <c r="I167" s="14" t="inlineStr">
        <is>
          <t>No</t>
        </is>
      </c>
      <c r="J167" s="14" t="inlineStr">
        <is>
          <t>Collana</t>
        </is>
      </c>
      <c r="K167" s="14" t="inlineStr">
        <is>
          <t>3-6 anni</t>
        </is>
      </c>
      <c r="L167" s="14" t="inlineStr">
        <is>
          <t>Catalogo Terre di Mezzo 1° semestre 2026, p. 30 (ISBN 9791259960146)</t>
        </is>
      </c>
      <c r="M167" s="16" t="n">
        <v>15</v>
      </c>
      <c r="N167" s="14" t="inlineStr">
        <is>
          <t>Catalogo Terre di Mezzo 1° semestre 2026</t>
        </is>
      </c>
      <c r="O167" s="16">
        <f>IF(ISNUMBER(M167),ROUND(M167*(1-Condizioni!$B$2),2),"")</f>
        <v/>
      </c>
      <c r="P167" s="17" t="inlineStr">
        <is>
          <t>No</t>
        </is>
      </c>
    </row>
    <row r="168">
      <c r="A168" s="14" t="inlineStr">
        <is>
          <t>Terre di Mezzo</t>
        </is>
      </c>
      <c r="B168" s="14" t="inlineStr">
        <is>
          <t>Corrado Rospigliosi e l’abbraccio perfetto</t>
        </is>
      </c>
      <c r="C168" s="14" t="inlineStr">
        <is>
          <t>Oren Lavie, Anke Kuhl</t>
        </is>
      </c>
      <c r="D168" s="14" t="inlineStr">
        <is>
          <t>L'Acchiappastorie – Albi illustrati</t>
        </is>
      </c>
      <c r="E168" s="14" t="inlineStr">
        <is>
          <t>albi illustrati (età indicativa)</t>
        </is>
      </c>
      <c r="F168" s="14" t="inlineStr">
        <is>
          <t>3-6 anni</t>
        </is>
      </c>
      <c r="G168" s="14" t="inlineStr">
        <is>
          <t>Albo illustrato</t>
        </is>
      </c>
      <c r="H168" s="14" t="inlineStr"/>
      <c r="I168" s="14" t="inlineStr">
        <is>
          <t>No</t>
        </is>
      </c>
      <c r="J168" s="14" t="inlineStr">
        <is>
          <t>Collana</t>
        </is>
      </c>
      <c r="K168" s="14" t="inlineStr">
        <is>
          <t>3-6 anni</t>
        </is>
      </c>
      <c r="L168" s="14" t="inlineStr">
        <is>
          <t>Catalogo Terre di Mezzo 1° semestre 2026, p. 28 (ISBN 9791259962072)</t>
        </is>
      </c>
      <c r="M168" s="16" t="n">
        <v>16</v>
      </c>
      <c r="N168" s="14" t="inlineStr">
        <is>
          <t>Catalogo Terre di Mezzo 1° semestre 2026</t>
        </is>
      </c>
      <c r="O168" s="16">
        <f>IF(ISNUMBER(M168),ROUND(M168*(1-Condizioni!$B$2),2),"")</f>
        <v/>
      </c>
      <c r="P168" s="17" t="inlineStr">
        <is>
          <t>No</t>
        </is>
      </c>
    </row>
    <row r="169">
      <c r="A169" s="14" t="inlineStr">
        <is>
          <t>Terre di Mezzo</t>
        </is>
      </c>
      <c r="B169" s="14" t="inlineStr">
        <is>
          <t>Cosa c’è nella scatola?</t>
        </is>
      </c>
      <c r="C169" s="14" t="inlineStr">
        <is>
          <t>Alberto Lot</t>
        </is>
      </c>
      <c r="D169" s="14" t="inlineStr">
        <is>
          <t>L'Acchiappastorie – Albi illustrati</t>
        </is>
      </c>
      <c r="E169" s="14" t="inlineStr">
        <is>
          <t>albi illustrati (età indicativa)</t>
        </is>
      </c>
      <c r="F169" s="14" t="inlineStr">
        <is>
          <t>3-6 anni</t>
        </is>
      </c>
      <c r="G169" s="14" t="inlineStr">
        <is>
          <t>Albo illustrato</t>
        </is>
      </c>
      <c r="H169" s="14" t="inlineStr"/>
      <c r="I169" s="14" t="inlineStr">
        <is>
          <t>No</t>
        </is>
      </c>
      <c r="J169" s="14" t="inlineStr">
        <is>
          <t>Collana</t>
        </is>
      </c>
      <c r="K169" s="14" t="inlineStr">
        <is>
          <t>3-6 anni</t>
        </is>
      </c>
      <c r="L169" s="14" t="inlineStr">
        <is>
          <t>Catalogo Terre di Mezzo 1° semestre 2026, p. 22 (ISBN 9791259962621)</t>
        </is>
      </c>
      <c r="M169" s="16" t="n">
        <v>16</v>
      </c>
      <c r="N169" s="14" t="inlineStr">
        <is>
          <t>Catalogo Terre di Mezzo 1° semestre 2026</t>
        </is>
      </c>
      <c r="O169" s="16">
        <f>IF(ISNUMBER(M169),ROUND(M169*(1-Condizioni!$B$2),2),"")</f>
        <v/>
      </c>
      <c r="P169" s="17" t="inlineStr">
        <is>
          <t>No</t>
        </is>
      </c>
    </row>
    <row r="170">
      <c r="A170" s="14" t="inlineStr">
        <is>
          <t>Terre di Mezzo</t>
        </is>
      </c>
      <c r="B170" s="14" t="inlineStr">
        <is>
          <t>Cosa c’è nella tua valigia?</t>
        </is>
      </c>
      <c r="C170" s="14" t="inlineStr">
        <is>
          <t>Chris Naylor-Ballesteros</t>
        </is>
      </c>
      <c r="D170" s="14" t="inlineStr">
        <is>
          <t>L'Acchiappastorie – Albi illustrati</t>
        </is>
      </c>
      <c r="E170" s="14" t="inlineStr">
        <is>
          <t>albi illustrati (età indicativa)</t>
        </is>
      </c>
      <c r="F170" s="14" t="inlineStr">
        <is>
          <t>3-6 anni</t>
        </is>
      </c>
      <c r="G170" s="14" t="inlineStr">
        <is>
          <t>Albo illustrato</t>
        </is>
      </c>
      <c r="H170" s="14" t="inlineStr"/>
      <c r="I170" s="14" t="inlineStr">
        <is>
          <t>No</t>
        </is>
      </c>
      <c r="J170" s="14" t="inlineStr">
        <is>
          <t>Collana</t>
        </is>
      </c>
      <c r="K170" s="14" t="inlineStr">
        <is>
          <t>3-6 anni</t>
        </is>
      </c>
      <c r="L170" s="14" t="inlineStr">
        <is>
          <t>Catalogo Terre di Mezzo 1° semestre 2026, p. 23 (ISBN 9788861895560)</t>
        </is>
      </c>
      <c r="M170" s="16" t="n">
        <v>15</v>
      </c>
      <c r="N170" s="14" t="inlineStr">
        <is>
          <t>Catalogo Terre di Mezzo 1° semestre 2026</t>
        </is>
      </c>
      <c r="O170" s="16">
        <f>IF(ISNUMBER(M170),ROUND(M170*(1-Condizioni!$B$2),2),"")</f>
        <v/>
      </c>
      <c r="P170" s="17" t="inlineStr">
        <is>
          <t>No</t>
        </is>
      </c>
    </row>
    <row r="171">
      <c r="A171" s="14" t="inlineStr">
        <is>
          <t>Terre di Mezzo</t>
        </is>
      </c>
      <c r="B171" s="14" t="inlineStr">
        <is>
          <t>Cosa fanno i sentimenti di notte?</t>
        </is>
      </c>
      <c r="C171" s="14" t="inlineStr">
        <is>
          <t>Tina Oziewicz, Aleksandra Zając</t>
        </is>
      </c>
      <c r="D171" s="14" t="inlineStr">
        <is>
          <t>L'Acchiappastorie – Albi illustrati</t>
        </is>
      </c>
      <c r="E171" s="14" t="inlineStr">
        <is>
          <t>albi illustrati (età indicativa)</t>
        </is>
      </c>
      <c r="F171" s="14" t="inlineStr">
        <is>
          <t>3-6 anni</t>
        </is>
      </c>
      <c r="G171" s="14" t="inlineStr">
        <is>
          <t>Albo illustrato</t>
        </is>
      </c>
      <c r="H171" s="14" t="inlineStr"/>
      <c r="I171" s="14" t="inlineStr">
        <is>
          <t>No</t>
        </is>
      </c>
      <c r="J171" s="14" t="inlineStr">
        <is>
          <t>Collana</t>
        </is>
      </c>
      <c r="K171" s="14" t="inlineStr">
        <is>
          <t>3-6 anni</t>
        </is>
      </c>
      <c r="L171" s="14" t="inlineStr">
        <is>
          <t>Catalogo Terre di Mezzo 1° semestre 2026, p. 19 (ISBN 9791259962317)</t>
        </is>
      </c>
      <c r="M171" s="16" t="n">
        <v>16</v>
      </c>
      <c r="N171" s="14" t="inlineStr">
        <is>
          <t>Catalogo Terre di Mezzo 1° semestre 2026</t>
        </is>
      </c>
      <c r="O171" s="16">
        <f>IF(ISNUMBER(M171),ROUND(M171*(1-Condizioni!$B$2),2),"")</f>
        <v/>
      </c>
      <c r="P171" s="17" t="inlineStr">
        <is>
          <t>Sì</t>
        </is>
      </c>
    </row>
    <row r="172">
      <c r="A172" s="14" t="inlineStr">
        <is>
          <t>Terre di Mezzo</t>
        </is>
      </c>
      <c r="B172" s="14" t="inlineStr">
        <is>
          <t>C’è posta per Volpe</t>
        </is>
      </c>
      <c r="C172" s="14" t="inlineStr">
        <is>
          <t>Alex G. Griffiths</t>
        </is>
      </c>
      <c r="D172" s="14" t="inlineStr">
        <is>
          <t>L'Acchiappastorie – Albi illustrati</t>
        </is>
      </c>
      <c r="E172" s="14" t="inlineStr">
        <is>
          <t>albi illustrati (età indicativa)</t>
        </is>
      </c>
      <c r="F172" s="14" t="inlineStr">
        <is>
          <t>3-6 anni</t>
        </is>
      </c>
      <c r="G172" s="14" t="inlineStr">
        <is>
          <t>Albo illustrato</t>
        </is>
      </c>
      <c r="H172" s="14" t="inlineStr"/>
      <c r="I172" s="14" t="inlineStr">
        <is>
          <t>No</t>
        </is>
      </c>
      <c r="J172" s="14" t="inlineStr">
        <is>
          <t>Collana</t>
        </is>
      </c>
      <c r="K172" s="14" t="inlineStr">
        <is>
          <t>3-6 anni</t>
        </is>
      </c>
      <c r="L172" s="14" t="inlineStr">
        <is>
          <t>Catalogo Terre di Mezzo 1° semestre 2026, p. 12 (ISBN 9791259964045)</t>
        </is>
      </c>
      <c r="M172" s="16" t="n">
        <v>16</v>
      </c>
      <c r="N172" s="14" t="inlineStr">
        <is>
          <t>Catalogo Terre di Mezzo 1° semestre 2026</t>
        </is>
      </c>
      <c r="O172" s="16">
        <f>IF(ISNUMBER(M172),ROUND(M172*(1-Condizioni!$B$2),2),"")</f>
        <v/>
      </c>
      <c r="P172" s="17" t="inlineStr">
        <is>
          <t>Sì</t>
        </is>
      </c>
    </row>
    <row r="173">
      <c r="A173" s="14" t="inlineStr">
        <is>
          <t>Terre di Mezzo</t>
        </is>
      </c>
      <c r="B173" s="14" t="inlineStr">
        <is>
          <t>C’è un mostro nel lago?</t>
        </is>
      </c>
      <c r="C173" s="14" t="inlineStr">
        <is>
          <t>Leo Timmers</t>
        </is>
      </c>
      <c r="D173" s="14" t="inlineStr">
        <is>
          <t>L'Acchiappastorie – Albi illustrati</t>
        </is>
      </c>
      <c r="E173" s="14" t="inlineStr">
        <is>
          <t>albi illustrati (età indicativa)</t>
        </is>
      </c>
      <c r="F173" s="14" t="inlineStr">
        <is>
          <t>3-6 anni</t>
        </is>
      </c>
      <c r="G173" s="14" t="inlineStr">
        <is>
          <t>Albo illustrato</t>
        </is>
      </c>
      <c r="H173" s="14" t="inlineStr"/>
      <c r="I173" s="14" t="inlineStr">
        <is>
          <t>No</t>
        </is>
      </c>
      <c r="J173" s="14" t="inlineStr">
        <is>
          <t>Collana</t>
        </is>
      </c>
      <c r="K173" s="14" t="inlineStr">
        <is>
          <t>3-6 anni</t>
        </is>
      </c>
      <c r="L173" s="14" t="inlineStr">
        <is>
          <t>Catalogo Terre di Mezzo 1° semestre 2026, p. 24 (ISBN 9791259961556)</t>
        </is>
      </c>
      <c r="M173" s="16" t="n">
        <v>16</v>
      </c>
      <c r="N173" s="14" t="inlineStr">
        <is>
          <t>Catalogo Terre di Mezzo 1° semestre 2026</t>
        </is>
      </c>
      <c r="O173" s="16">
        <f>IF(ISNUMBER(M173),ROUND(M173*(1-Condizioni!$B$2),2),"")</f>
        <v/>
      </c>
      <c r="P173" s="17" t="inlineStr">
        <is>
          <t>No</t>
        </is>
      </c>
    </row>
    <row r="174">
      <c r="A174" s="14" t="inlineStr">
        <is>
          <t>Terre di Mezzo</t>
        </is>
      </c>
      <c r="B174" s="14" t="inlineStr">
        <is>
          <t>Dall’altra parte del mare</t>
        </is>
      </c>
      <c r="C174" s="14" t="inlineStr">
        <is>
          <t>Yukiko Noritake</t>
        </is>
      </c>
      <c r="D174" s="14" t="inlineStr">
        <is>
          <t>L'Acchiappastorie – Albi illustrati</t>
        </is>
      </c>
      <c r="E174" s="14" t="inlineStr">
        <is>
          <t>albi illustrati (età indicativa)</t>
        </is>
      </c>
      <c r="F174" s="14" t="inlineStr">
        <is>
          <t>3-6 anni</t>
        </is>
      </c>
      <c r="G174" s="14" t="inlineStr">
        <is>
          <t>Albo illustrato</t>
        </is>
      </c>
      <c r="H174" s="14" t="inlineStr"/>
      <c r="I174" s="14" t="inlineStr">
        <is>
          <t>No</t>
        </is>
      </c>
      <c r="J174" s="14" t="inlineStr">
        <is>
          <t>Collana</t>
        </is>
      </c>
      <c r="K174" s="14" t="inlineStr">
        <is>
          <t>3-6 anni</t>
        </is>
      </c>
      <c r="L174" s="14" t="inlineStr">
        <is>
          <t>Catalogo Terre di Mezzo 1° semestre 2026, p. 28 (ISBN 9791259961426)</t>
        </is>
      </c>
      <c r="M174" s="16" t="n">
        <v>16</v>
      </c>
      <c r="N174" s="14" t="inlineStr">
        <is>
          <t>Catalogo Terre di Mezzo 1° semestre 2026</t>
        </is>
      </c>
      <c r="O174" s="16">
        <f>IF(ISNUMBER(M174),ROUND(M174*(1-Condizioni!$B$2),2),"")</f>
        <v/>
      </c>
      <c r="P174" s="17" t="inlineStr">
        <is>
          <t>Sì</t>
        </is>
      </c>
    </row>
    <row r="175">
      <c r="A175" s="14" t="inlineStr">
        <is>
          <t>Terre di Mezzo</t>
        </is>
      </c>
      <c r="B175" s="14" t="inlineStr">
        <is>
          <t>Dentro me cosa c’è?</t>
        </is>
      </c>
      <c r="C175" s="14" t="inlineStr">
        <is>
          <t>Daniela Carucci, Giulia Pastorino</t>
        </is>
      </c>
      <c r="D175" s="14" t="inlineStr">
        <is>
          <t>L'Acchiappastorie – Albi illustrati</t>
        </is>
      </c>
      <c r="E175" s="14" t="inlineStr">
        <is>
          <t>albi illustrati (età indicativa)</t>
        </is>
      </c>
      <c r="F175" s="14" t="inlineStr">
        <is>
          <t>3-6 anni</t>
        </is>
      </c>
      <c r="G175" s="14" t="inlineStr">
        <is>
          <t>Albo illustrato</t>
        </is>
      </c>
      <c r="H175" s="14" t="inlineStr"/>
      <c r="I175" s="14" t="inlineStr">
        <is>
          <t>No</t>
        </is>
      </c>
      <c r="J175" s="14" t="inlineStr">
        <is>
          <t>Collana</t>
        </is>
      </c>
      <c r="K175" s="14" t="inlineStr">
        <is>
          <t>3-6 anni</t>
        </is>
      </c>
      <c r="L175" s="14" t="inlineStr">
        <is>
          <t>Catalogo Terre di Mezzo 1° semestre 2026, p. 27 (ISBN 9788861897861)</t>
        </is>
      </c>
      <c r="M175" s="16" t="n">
        <v>15</v>
      </c>
      <c r="N175" s="14" t="inlineStr">
        <is>
          <t>Catalogo Terre di Mezzo 1° semestre 2026</t>
        </is>
      </c>
      <c r="O175" s="16">
        <f>IF(ISNUMBER(M175),ROUND(M175*(1-Condizioni!$B$2),2),"")</f>
        <v/>
      </c>
      <c r="P175" s="17" t="inlineStr">
        <is>
          <t>No</t>
        </is>
      </c>
    </row>
    <row r="176">
      <c r="A176" s="14" t="inlineStr">
        <is>
          <t>Terre di Mezzo</t>
        </is>
      </c>
      <c r="B176" s="14" t="inlineStr">
        <is>
          <t>Di quante persone abbiamo bisogno?</t>
        </is>
      </c>
      <c r="C176" s="14" t="inlineStr">
        <is>
          <t>Anna Font</t>
        </is>
      </c>
      <c r="D176" s="14" t="inlineStr">
        <is>
          <t>L'Acchiappastorie – Albi illustrati</t>
        </is>
      </c>
      <c r="E176" s="14" t="inlineStr">
        <is>
          <t>albi illustrati (età indicativa)</t>
        </is>
      </c>
      <c r="F176" s="14" t="inlineStr">
        <is>
          <t>3-6 anni</t>
        </is>
      </c>
      <c r="G176" s="14" t="inlineStr">
        <is>
          <t>Albo illustrato</t>
        </is>
      </c>
      <c r="H176" s="14" t="inlineStr"/>
      <c r="I176" s="14" t="inlineStr">
        <is>
          <t>No</t>
        </is>
      </c>
      <c r="J176" s="14" t="inlineStr">
        <is>
          <t>Collana</t>
        </is>
      </c>
      <c r="K176" s="14" t="inlineStr">
        <is>
          <t>3-6 anni</t>
        </is>
      </c>
      <c r="L176" s="14" t="inlineStr">
        <is>
          <t>Catalogo Terre di Mezzo 1° semestre 2026, p. 10 (ISBN 9791259963970)</t>
        </is>
      </c>
      <c r="M176" s="16" t="n">
        <v>16</v>
      </c>
      <c r="N176" s="14" t="inlineStr">
        <is>
          <t>Catalogo Terre di Mezzo 1° semestre 2026</t>
        </is>
      </c>
      <c r="O176" s="16">
        <f>IF(ISNUMBER(M176),ROUND(M176*(1-Condizioni!$B$2),2),"")</f>
        <v/>
      </c>
      <c r="P176" s="17" t="inlineStr">
        <is>
          <t>Sì</t>
        </is>
      </c>
    </row>
    <row r="177">
      <c r="A177" s="14" t="inlineStr">
        <is>
          <t>Terre di Mezzo</t>
        </is>
      </c>
      <c r="B177" s="14" t="inlineStr">
        <is>
          <t>Dieci piccoli scoiattoli</t>
        </is>
      </c>
      <c r="C177" s="14" t="inlineStr">
        <is>
          <t>Kael Tudor, Marc Boutavant</t>
        </is>
      </c>
      <c r="D177" s="14" t="inlineStr">
        <is>
          <t>L'Acchiappastorie – Albi illustrati</t>
        </is>
      </c>
      <c r="E177" s="14" t="inlineStr">
        <is>
          <t>albi illustrati (età indicativa)</t>
        </is>
      </c>
      <c r="F177" s="14" t="inlineStr">
        <is>
          <t>3-6 anni</t>
        </is>
      </c>
      <c r="G177" s="14" t="inlineStr">
        <is>
          <t>Albo illustrato</t>
        </is>
      </c>
      <c r="H177" s="14" t="inlineStr"/>
      <c r="I177" s="14" t="inlineStr">
        <is>
          <t>No</t>
        </is>
      </c>
      <c r="J177" s="14" t="inlineStr">
        <is>
          <t>Collana</t>
        </is>
      </c>
      <c r="K177" s="14" t="inlineStr">
        <is>
          <t>3-6 anni</t>
        </is>
      </c>
      <c r="L177" s="14" t="inlineStr">
        <is>
          <t>Catalogo Terre di Mezzo 1° semestre 2026, p. 9 (ISBN 9791259964328)</t>
        </is>
      </c>
      <c r="M177" s="16" t="n">
        <v>16</v>
      </c>
      <c r="N177" s="14" t="inlineStr">
        <is>
          <t>Catalogo Terre di Mezzo 1° semestre 2026</t>
        </is>
      </c>
      <c r="O177" s="16">
        <f>IF(ISNUMBER(M177),ROUND(M177*(1-Condizioni!$B$2),2),"")</f>
        <v/>
      </c>
      <c r="P177" s="17" t="inlineStr">
        <is>
          <t>No</t>
        </is>
      </c>
    </row>
    <row r="178">
      <c r="A178" s="14" t="inlineStr">
        <is>
          <t>Terre di Mezzo</t>
        </is>
      </c>
      <c r="B178" s="14" t="inlineStr">
        <is>
          <t>Diletta, topolina architetta</t>
        </is>
      </c>
      <c r="C178" s="14" t="inlineStr">
        <is>
          <t>George Mendoza, Doris Susan Smith</t>
        </is>
      </c>
      <c r="D178" s="14" t="inlineStr">
        <is>
          <t>L'Acchiappastorie – Albi illustrati</t>
        </is>
      </c>
      <c r="E178" s="14" t="inlineStr">
        <is>
          <t>albi illustrati (età indicativa)</t>
        </is>
      </c>
      <c r="F178" s="14" t="inlineStr">
        <is>
          <t>3-6 anni</t>
        </is>
      </c>
      <c r="G178" s="14" t="inlineStr">
        <is>
          <t>Albo illustrato</t>
        </is>
      </c>
      <c r="H178" s="14" t="inlineStr"/>
      <c r="I178" s="14" t="inlineStr">
        <is>
          <t>No</t>
        </is>
      </c>
      <c r="J178" s="14" t="inlineStr">
        <is>
          <t>Collana</t>
        </is>
      </c>
      <c r="K178" s="14" t="inlineStr">
        <is>
          <t>3-6 anni</t>
        </is>
      </c>
      <c r="L178" s="14" t="inlineStr">
        <is>
          <t>Catalogo Terre di Mezzo 1° semestre 2026, p. 29 (ISBN 9791259961044)</t>
        </is>
      </c>
      <c r="M178" s="16" t="n">
        <v>16</v>
      </c>
      <c r="N178" s="14" t="inlineStr">
        <is>
          <t>Catalogo Terre di Mezzo 1° semestre 2026</t>
        </is>
      </c>
      <c r="O178" s="16">
        <f>IF(ISNUMBER(M178),ROUND(M178*(1-Condizioni!$B$2),2),"")</f>
        <v/>
      </c>
      <c r="P178" s="17" t="inlineStr">
        <is>
          <t>No</t>
        </is>
      </c>
    </row>
    <row r="179">
      <c r="A179" s="14" t="inlineStr">
        <is>
          <t>Terre di Mezzo</t>
        </is>
      </c>
      <c r="B179" s="14" t="inlineStr">
        <is>
          <t>Dinosauri a colazione</t>
        </is>
      </c>
      <c r="C179" s="14" t="inlineStr">
        <is>
          <t>Sean Taylor, Zehra Hicks</t>
        </is>
      </c>
      <c r="D179" s="14" t="inlineStr">
        <is>
          <t>L'Acchiappastorie – Albi illustrati</t>
        </is>
      </c>
      <c r="E179" s="14" t="inlineStr">
        <is>
          <t>albi illustrati (età indicativa)</t>
        </is>
      </c>
      <c r="F179" s="14" t="inlineStr">
        <is>
          <t>3-6 anni</t>
        </is>
      </c>
      <c r="G179" s="14" t="inlineStr">
        <is>
          <t>Albo illustrato</t>
        </is>
      </c>
      <c r="H179" s="14" t="inlineStr"/>
      <c r="I179" s="14" t="inlineStr">
        <is>
          <t>No</t>
        </is>
      </c>
      <c r="J179" s="14" t="inlineStr">
        <is>
          <t>Collana</t>
        </is>
      </c>
      <c r="K179" s="14" t="inlineStr">
        <is>
          <t>3-6 anni</t>
        </is>
      </c>
      <c r="L179" s="14" t="inlineStr">
        <is>
          <t>Catalogo Terre di Mezzo 1° semestre 2026, p. 21 (ISBN 9791259962867)</t>
        </is>
      </c>
      <c r="M179" s="16" t="n">
        <v>16</v>
      </c>
      <c r="N179" s="14" t="inlineStr">
        <is>
          <t>Catalogo Terre di Mezzo 1° semestre 2026</t>
        </is>
      </c>
      <c r="O179" s="16">
        <f>IF(ISNUMBER(M179),ROUND(M179*(1-Condizioni!$B$2),2),"")</f>
        <v/>
      </c>
      <c r="P179" s="17" t="inlineStr">
        <is>
          <t>No</t>
        </is>
      </c>
    </row>
    <row r="180">
      <c r="A180" s="14" t="inlineStr">
        <is>
          <t>Terre di Mezzo</t>
        </is>
      </c>
      <c r="B180" s="14" t="inlineStr">
        <is>
          <t>Domani inventerò</t>
        </is>
      </c>
      <c r="C180" s="14" t="inlineStr">
        <is>
          <t>Agnès de Lestrade, Valeria Docampo</t>
        </is>
      </c>
      <c r="D180" s="14" t="inlineStr">
        <is>
          <t>L'Acchiappastorie – Albi illustrati</t>
        </is>
      </c>
      <c r="E180" s="14" t="inlineStr">
        <is>
          <t>albi illustrati (età indicativa)</t>
        </is>
      </c>
      <c r="F180" s="14" t="inlineStr">
        <is>
          <t>3-6 anni</t>
        </is>
      </c>
      <c r="G180" s="14" t="inlineStr">
        <is>
          <t>Albo illustrato</t>
        </is>
      </c>
      <c r="H180" s="14" t="inlineStr"/>
      <c r="I180" s="14" t="inlineStr">
        <is>
          <t>No</t>
        </is>
      </c>
      <c r="J180" s="14" t="inlineStr">
        <is>
          <t>Collana</t>
        </is>
      </c>
      <c r="K180" s="14" t="inlineStr">
        <is>
          <t>3-6 anni</t>
        </is>
      </c>
      <c r="L180" s="14" t="inlineStr">
        <is>
          <t>Catalogo Terre di Mezzo 1° semestre 2026, p. 34 (ISBN 9788861893115)</t>
        </is>
      </c>
      <c r="M180" s="16" t="n">
        <v>18</v>
      </c>
      <c r="N180" s="14" t="inlineStr">
        <is>
          <t>Catalogo Terre di Mezzo 1° semestre 2026</t>
        </is>
      </c>
      <c r="O180" s="16">
        <f>IF(ISNUMBER(M180),ROUND(M180*(1-Condizioni!$B$2),2),"")</f>
        <v/>
      </c>
      <c r="P180" s="17" t="inlineStr">
        <is>
          <t>No</t>
        </is>
      </c>
    </row>
    <row r="181">
      <c r="A181" s="14" t="inlineStr">
        <is>
          <t>Terre di Mezzo</t>
        </is>
      </c>
      <c r="B181" s="14" t="inlineStr">
        <is>
          <t>Dove sono i miei occhiali?</t>
        </is>
      </c>
      <c r="C181" s="14" t="inlineStr">
        <is>
          <t>Leo Timmers</t>
        </is>
      </c>
      <c r="D181" s="14" t="inlineStr">
        <is>
          <t>L'Acchiappastorie – Albi illustrati</t>
        </is>
      </c>
      <c r="E181" s="14" t="inlineStr">
        <is>
          <t>albi illustrati (età indicativa)</t>
        </is>
      </c>
      <c r="F181" s="14" t="inlineStr">
        <is>
          <t>3-6 anni</t>
        </is>
      </c>
      <c r="G181" s="14" t="inlineStr">
        <is>
          <t>Albo illustrato</t>
        </is>
      </c>
      <c r="H181" s="14" t="inlineStr"/>
      <c r="I181" s="14" t="inlineStr">
        <is>
          <t>No</t>
        </is>
      </c>
      <c r="J181" s="14" t="inlineStr">
        <is>
          <t>Collana</t>
        </is>
      </c>
      <c r="K181" s="14" t="inlineStr">
        <is>
          <t>3-6 anni</t>
        </is>
      </c>
      <c r="L181" s="14" t="inlineStr">
        <is>
          <t>Catalogo Terre di Mezzo 1° semestre 2026, p. 24 (ISBN 9791259962454)</t>
        </is>
      </c>
      <c r="M181" s="16" t="n">
        <v>16</v>
      </c>
      <c r="N181" s="14" t="inlineStr">
        <is>
          <t>Catalogo Terre di Mezzo 1° semestre 2026</t>
        </is>
      </c>
      <c r="O181" s="16">
        <f>IF(ISNUMBER(M181),ROUND(M181*(1-Condizioni!$B$2),2),"")</f>
        <v/>
      </c>
      <c r="P181" s="17" t="inlineStr">
        <is>
          <t>No</t>
        </is>
      </c>
    </row>
    <row r="182">
      <c r="A182" s="14" t="inlineStr">
        <is>
          <t>Terre di Mezzo</t>
        </is>
      </c>
      <c r="B182" s="14" t="inlineStr">
        <is>
          <t>Due fratelli, una foresta</t>
        </is>
      </c>
      <c r="C182" s="14" t="inlineStr">
        <is>
          <t>Yukiko Noritake</t>
        </is>
      </c>
      <c r="D182" s="14" t="inlineStr">
        <is>
          <t>L'Acchiappastorie – Albi illustrati</t>
        </is>
      </c>
      <c r="E182" s="14" t="inlineStr">
        <is>
          <t>albi illustrati (età indicativa)</t>
        </is>
      </c>
      <c r="F182" s="14" t="inlineStr">
        <is>
          <t>3-6 anni</t>
        </is>
      </c>
      <c r="G182" s="14" t="inlineStr">
        <is>
          <t>Albo illustrato</t>
        </is>
      </c>
      <c r="H182" s="14" t="inlineStr"/>
      <c r="I182" s="14" t="inlineStr">
        <is>
          <t>No</t>
        </is>
      </c>
      <c r="J182" s="14" t="inlineStr">
        <is>
          <t>Collana</t>
        </is>
      </c>
      <c r="K182" s="14" t="inlineStr">
        <is>
          <t>3-6 anni</t>
        </is>
      </c>
      <c r="L182" s="14" t="inlineStr">
        <is>
          <t>Catalogo Terre di Mezzo 1° semestre 2026, p. 28 (ISBN 9788861897656)</t>
        </is>
      </c>
      <c r="M182" s="16" t="n">
        <v>15</v>
      </c>
      <c r="N182" s="14" t="inlineStr">
        <is>
          <t>Catalogo Terre di Mezzo 1° semestre 2026</t>
        </is>
      </c>
      <c r="O182" s="16">
        <f>IF(ISNUMBER(M182),ROUND(M182*(1-Condizioni!$B$2),2),"")</f>
        <v/>
      </c>
      <c r="P182" s="17" t="inlineStr">
        <is>
          <t>No</t>
        </is>
      </c>
    </row>
    <row r="183">
      <c r="A183" s="14" t="inlineStr">
        <is>
          <t>Terre di Mezzo</t>
        </is>
      </c>
      <c r="B183" s="14" t="inlineStr">
        <is>
          <t>E altri mestieri per salvare il mondo</t>
        </is>
      </c>
      <c r="C183" s="14" t="inlineStr">
        <is>
          <t>IL BANCHIERE DEI SEMI</t>
        </is>
      </c>
      <c r="D183" s="14" t="inlineStr">
        <is>
          <t>L'Acchiappastorie – Albi illustrati</t>
        </is>
      </c>
      <c r="E183" s="14" t="inlineStr">
        <is>
          <t>albi illustrati (età indicativa)</t>
        </is>
      </c>
      <c r="F183" s="14" t="inlineStr">
        <is>
          <t>3-6 anni</t>
        </is>
      </c>
      <c r="G183" s="14" t="inlineStr">
        <is>
          <t>Albo illustrato</t>
        </is>
      </c>
      <c r="H183" s="14" t="inlineStr"/>
      <c r="I183" s="14" t="inlineStr">
        <is>
          <t>No</t>
        </is>
      </c>
      <c r="J183" s="14" t="inlineStr">
        <is>
          <t>Collana</t>
        </is>
      </c>
      <c r="K183" s="14" t="inlineStr">
        <is>
          <t>3-6 anni</t>
        </is>
      </c>
      <c r="L183" s="14" t="inlineStr">
        <is>
          <t>Catalogo Terre di Mezzo 1° semestre 2026, p. 36 (ISBN 9791259961662)</t>
        </is>
      </c>
      <c r="M183" s="16" t="n">
        <v>16</v>
      </c>
      <c r="N183" s="14" t="inlineStr">
        <is>
          <t>Catalogo Terre di Mezzo 1° semestre 2026</t>
        </is>
      </c>
      <c r="O183" s="16">
        <f>IF(ISNUMBER(M183),ROUND(M183*(1-Condizioni!$B$2),2),"")</f>
        <v/>
      </c>
      <c r="P183" s="17" t="inlineStr">
        <is>
          <t>No</t>
        </is>
      </c>
    </row>
    <row r="184">
      <c r="A184" s="14" t="inlineStr">
        <is>
          <t>Terre di Mezzo</t>
        </is>
      </c>
      <c r="B184" s="14" t="inlineStr">
        <is>
          <t>E il caso della Lanterna Dorata</t>
        </is>
      </c>
      <c r="C184" s="14" t="inlineStr">
        <is>
          <t>L’INVESTIGATORE TALPONE</t>
        </is>
      </c>
      <c r="D184" s="14" t="inlineStr">
        <is>
          <t>L'Acchiappastorie – Albi illustrati</t>
        </is>
      </c>
      <c r="E184" s="14" t="inlineStr">
        <is>
          <t>albi illustrati (età indicativa)</t>
        </is>
      </c>
      <c r="F184" s="14" t="inlineStr">
        <is>
          <t>3-6 anni</t>
        </is>
      </c>
      <c r="G184" s="14" t="inlineStr">
        <is>
          <t>Albo illustrato</t>
        </is>
      </c>
      <c r="H184" s="14" t="inlineStr"/>
      <c r="I184" s="14" t="inlineStr">
        <is>
          <t>No</t>
        </is>
      </c>
      <c r="J184" s="14" t="inlineStr">
        <is>
          <t>Collana</t>
        </is>
      </c>
      <c r="K184" s="14" t="inlineStr">
        <is>
          <t>3-6 anni</t>
        </is>
      </c>
      <c r="L184" s="14" t="inlineStr">
        <is>
          <t>Catalogo Terre di Mezzo 1° semestre 2026, p. 35 (ISBN 9791259960054)</t>
        </is>
      </c>
      <c r="M184" s="16" t="n">
        <v>12.9</v>
      </c>
      <c r="N184" s="14" t="inlineStr">
        <is>
          <t>Catalogo Terre di Mezzo 1° semestre 2026</t>
        </is>
      </c>
      <c r="O184" s="16">
        <f>IF(ISNUMBER(M184),ROUND(M184*(1-Condizioni!$B$2),2),"")</f>
        <v/>
      </c>
      <c r="P184" s="17" t="inlineStr">
        <is>
          <t>No</t>
        </is>
      </c>
    </row>
    <row r="185">
      <c r="A185" s="14" t="inlineStr">
        <is>
          <t>Terre di Mezzo</t>
        </is>
      </c>
      <c r="B185" s="14" t="inlineStr">
        <is>
          <t>Ella sulle onde</t>
        </is>
      </c>
      <c r="C185" s="14" t="inlineStr">
        <is>
          <t>Britta Teckentrup</t>
        </is>
      </c>
      <c r="D185" s="14" t="inlineStr">
        <is>
          <t>L'Acchiappastorie – Albi illustrati</t>
        </is>
      </c>
      <c r="E185" s="14" t="inlineStr">
        <is>
          <t>albi illustrati (età indicativa)</t>
        </is>
      </c>
      <c r="F185" s="14" t="inlineStr">
        <is>
          <t>3-6 anni</t>
        </is>
      </c>
      <c r="G185" s="14" t="inlineStr">
        <is>
          <t>Albo illustrato</t>
        </is>
      </c>
      <c r="H185" s="14" t="inlineStr"/>
      <c r="I185" s="14" t="inlineStr">
        <is>
          <t>No</t>
        </is>
      </c>
      <c r="J185" s="14" t="inlineStr">
        <is>
          <t>Collana</t>
        </is>
      </c>
      <c r="K185" s="14" t="inlineStr">
        <is>
          <t>3-6 anni</t>
        </is>
      </c>
      <c r="L185" s="14" t="inlineStr">
        <is>
          <t>Catalogo Terre di Mezzo 1° semestre 2026, p. 31 (ISBN 9791259960757)</t>
        </is>
      </c>
      <c r="M185" s="16" t="n">
        <v>16</v>
      </c>
      <c r="N185" s="14" t="inlineStr">
        <is>
          <t>Catalogo Terre di Mezzo 1° semestre 2026</t>
        </is>
      </c>
      <c r="O185" s="16">
        <f>IF(ISNUMBER(M185),ROUND(M185*(1-Condizioni!$B$2),2),"")</f>
        <v/>
      </c>
      <c r="P185" s="17" t="inlineStr">
        <is>
          <t>No</t>
        </is>
      </c>
    </row>
    <row r="186">
      <c r="A186" s="14" t="inlineStr">
        <is>
          <t>Terre di Mezzo</t>
        </is>
      </c>
      <c r="B186" s="14" t="inlineStr">
        <is>
          <t>Elvis e Otto vanno in bici!</t>
        </is>
      </c>
      <c r="C186" s="14" t="inlineStr">
        <is>
          <t>Chris Naylor-Ballesteros</t>
        </is>
      </c>
      <c r="D186" s="14" t="inlineStr">
        <is>
          <t>L'Acchiappastorie – Albi illustrati</t>
        </is>
      </c>
      <c r="E186" s="14" t="inlineStr">
        <is>
          <t>albi illustrati (età indicativa)</t>
        </is>
      </c>
      <c r="F186" s="14" t="inlineStr">
        <is>
          <t>3-6 anni</t>
        </is>
      </c>
      <c r="G186" s="14" t="inlineStr">
        <is>
          <t>Albo illustrato</t>
        </is>
      </c>
      <c r="H186" s="14" t="inlineStr"/>
      <c r="I186" s="14" t="inlineStr">
        <is>
          <t>No</t>
        </is>
      </c>
      <c r="J186" s="14" t="inlineStr">
        <is>
          <t>Collana</t>
        </is>
      </c>
      <c r="K186" s="14" t="inlineStr">
        <is>
          <t>3-6 anni</t>
        </is>
      </c>
      <c r="L186" s="14" t="inlineStr">
        <is>
          <t>Catalogo Terre di Mezzo 1° semestre 2026, p. 23 (ISBN 9791259961853)</t>
        </is>
      </c>
      <c r="M186" s="16" t="n">
        <v>15</v>
      </c>
      <c r="N186" s="14" t="inlineStr">
        <is>
          <t>Catalogo Terre di Mezzo 1° semestre 2026</t>
        </is>
      </c>
      <c r="O186" s="16">
        <f>IF(ISNUMBER(M186),ROUND(M186*(1-Condizioni!$B$2),2),"")</f>
        <v/>
      </c>
      <c r="P186" s="17" t="inlineStr">
        <is>
          <t>No</t>
        </is>
      </c>
    </row>
    <row r="187">
      <c r="A187" s="14" t="inlineStr">
        <is>
          <t>Terre di Mezzo</t>
        </is>
      </c>
      <c r="B187" s="14" t="inlineStr">
        <is>
          <t>Elvis e Otto. chi ha mangiato quei biscotti?</t>
        </is>
      </c>
      <c r="C187" s="14" t="inlineStr">
        <is>
          <t>Chris Naylor-Ballesteros</t>
        </is>
      </c>
      <c r="D187" s="14" t="inlineStr">
        <is>
          <t>L'Acchiappastorie – Albi illustrati</t>
        </is>
      </c>
      <c r="E187" s="14" t="inlineStr">
        <is>
          <t>albi illustrati (età indicativa)</t>
        </is>
      </c>
      <c r="F187" s="14" t="inlineStr">
        <is>
          <t>3-6 anni</t>
        </is>
      </c>
      <c r="G187" s="14" t="inlineStr">
        <is>
          <t>Albo illustrato</t>
        </is>
      </c>
      <c r="H187" s="14" t="inlineStr"/>
      <c r="I187" s="14" t="inlineStr">
        <is>
          <t>No</t>
        </is>
      </c>
      <c r="J187" s="14" t="inlineStr">
        <is>
          <t>Collana</t>
        </is>
      </c>
      <c r="K187" s="14" t="inlineStr">
        <is>
          <t>3-6 anni</t>
        </is>
      </c>
      <c r="L187" s="14" t="inlineStr">
        <is>
          <t>Catalogo Terre di Mezzo 1° semestre 2026, p. 23 (ISBN 9791259963246)</t>
        </is>
      </c>
      <c r="M187" s="16" t="n">
        <v>16</v>
      </c>
      <c r="N187" s="14" t="inlineStr">
        <is>
          <t>Catalogo Terre di Mezzo 1° semestre 2026</t>
        </is>
      </c>
      <c r="O187" s="16">
        <f>IF(ISNUMBER(M187),ROUND(M187*(1-Condizioni!$B$2),2),"")</f>
        <v/>
      </c>
      <c r="P187" s="17" t="inlineStr">
        <is>
          <t>No</t>
        </is>
      </c>
    </row>
    <row r="188">
      <c r="A188" s="14" t="inlineStr">
        <is>
          <t>Terre di Mezzo</t>
        </is>
      </c>
      <c r="B188" s="14" t="inlineStr">
        <is>
          <t>Elvis e Otto. l’amicizia vince!</t>
        </is>
      </c>
      <c r="C188" s="14" t="inlineStr">
        <is>
          <t>Chris Naylor-Ballesteros</t>
        </is>
      </c>
      <c r="D188" s="14" t="inlineStr">
        <is>
          <t>L'Acchiappastorie – Albi illustrati</t>
        </is>
      </c>
      <c r="E188" s="14" t="inlineStr">
        <is>
          <t>albi illustrati (età indicativa)</t>
        </is>
      </c>
      <c r="F188" s="14" t="inlineStr">
        <is>
          <t>3-6 anni</t>
        </is>
      </c>
      <c r="G188" s="14" t="inlineStr">
        <is>
          <t>Albo illustrato</t>
        </is>
      </c>
      <c r="H188" s="14" t="inlineStr"/>
      <c r="I188" s="14" t="inlineStr">
        <is>
          <t>No</t>
        </is>
      </c>
      <c r="J188" s="14" t="inlineStr">
        <is>
          <t>Collana</t>
        </is>
      </c>
      <c r="K188" s="14" t="inlineStr">
        <is>
          <t>3-6 anni</t>
        </is>
      </c>
      <c r="L188" s="14" t="inlineStr">
        <is>
          <t>Catalogo Terre di Mezzo 1° semestre 2026, p. 23 (ISBN 9788861897779)</t>
        </is>
      </c>
      <c r="M188" s="16" t="n">
        <v>16</v>
      </c>
      <c r="N188" s="14" t="inlineStr">
        <is>
          <t>Catalogo Terre di Mezzo 1° semestre 2026</t>
        </is>
      </c>
      <c r="O188" s="16">
        <f>IF(ISNUMBER(M188),ROUND(M188*(1-Condizioni!$B$2),2),"")</f>
        <v/>
      </c>
      <c r="P188" s="17" t="inlineStr">
        <is>
          <t>No</t>
        </is>
      </c>
    </row>
    <row r="189">
      <c r="A189" s="14" t="inlineStr">
        <is>
          <t>Terre di Mezzo</t>
        </is>
      </c>
      <c r="B189" s="14" t="inlineStr">
        <is>
          <t>Faccio un etto con l’osso</t>
        </is>
      </c>
      <c r="C189" s="14" t="inlineStr">
        <is>
          <t>Sergio Olivotti</t>
        </is>
      </c>
      <c r="D189" s="14" t="inlineStr">
        <is>
          <t>L'Acchiappastorie – Albi illustrati</t>
        </is>
      </c>
      <c r="E189" s="14" t="inlineStr">
        <is>
          <t>albi illustrati (età indicativa)</t>
        </is>
      </c>
      <c r="F189" s="14" t="inlineStr">
        <is>
          <t>3-6 anni</t>
        </is>
      </c>
      <c r="G189" s="14" t="inlineStr">
        <is>
          <t>Albo illustrato</t>
        </is>
      </c>
      <c r="H189" s="14" t="inlineStr"/>
      <c r="I189" s="14" t="inlineStr">
        <is>
          <t>No</t>
        </is>
      </c>
      <c r="J189" s="14" t="inlineStr">
        <is>
          <t>Collana</t>
        </is>
      </c>
      <c r="K189" s="14" t="inlineStr">
        <is>
          <t>3-6 anni</t>
        </is>
      </c>
      <c r="L189" s="14" t="inlineStr">
        <is>
          <t>Catalogo Terre di Mezzo 1° semestre 2026, p. 16 (ISBN 9791259963437)</t>
        </is>
      </c>
      <c r="M189" s="16" t="n">
        <v>16</v>
      </c>
      <c r="N189" s="14" t="inlineStr">
        <is>
          <t>Catalogo Terre di Mezzo 1° semestre 2026</t>
        </is>
      </c>
      <c r="O189" s="16">
        <f>IF(ISNUMBER(M189),ROUND(M189*(1-Condizioni!$B$2),2),"")</f>
        <v/>
      </c>
      <c r="P189" s="17" t="inlineStr">
        <is>
          <t>No</t>
        </is>
      </c>
    </row>
    <row r="190">
      <c r="A190" s="14" t="inlineStr">
        <is>
          <t>Terre di Mezzo</t>
        </is>
      </c>
      <c r="B190" s="14" t="inlineStr">
        <is>
          <t>Filo magico</t>
        </is>
      </c>
      <c r="C190" s="14" t="inlineStr">
        <is>
          <t>Mac Barnett, Jon Klassen</t>
        </is>
      </c>
      <c r="D190" s="14" t="inlineStr">
        <is>
          <t>L'Acchiappastorie – Albi illustrati</t>
        </is>
      </c>
      <c r="E190" s="14" t="inlineStr">
        <is>
          <t>albi illustrati (età indicativa)</t>
        </is>
      </c>
      <c r="F190" s="14" t="inlineStr">
        <is>
          <t>3-6 anni</t>
        </is>
      </c>
      <c r="G190" s="14" t="inlineStr">
        <is>
          <t>Albo illustrato</t>
        </is>
      </c>
      <c r="H190" s="14" t="inlineStr"/>
      <c r="I190" s="14" t="inlineStr">
        <is>
          <t>No</t>
        </is>
      </c>
      <c r="J190" s="14" t="inlineStr">
        <is>
          <t>Collana</t>
        </is>
      </c>
      <c r="K190" s="14" t="inlineStr">
        <is>
          <t>3-6 anni</t>
        </is>
      </c>
      <c r="L190" s="14" t="inlineStr">
        <is>
          <t>Catalogo Terre di Mezzo 1° semestre 2026, p. 25 (ISBN 9788861894044)</t>
        </is>
      </c>
      <c r="M190" s="16" t="n">
        <v>15</v>
      </c>
      <c r="N190" s="14" t="inlineStr">
        <is>
          <t>Catalogo Terre di Mezzo 1° semestre 2026</t>
        </is>
      </c>
      <c r="O190" s="16">
        <f>IF(ISNUMBER(M190),ROUND(M190*(1-Condizioni!$B$2),2),"")</f>
        <v/>
      </c>
      <c r="P190" s="17" t="inlineStr">
        <is>
          <t>No</t>
        </is>
      </c>
    </row>
    <row r="191">
      <c r="A191" s="14" t="inlineStr">
        <is>
          <t>Terre di Mezzo</t>
        </is>
      </c>
      <c r="B191" s="14" t="inlineStr">
        <is>
          <t>Formica e Cicala</t>
        </is>
      </c>
      <c r="C191" s="14" t="inlineStr">
        <is>
          <t>Olga Tranchini</t>
        </is>
      </c>
      <c r="D191" s="14" t="inlineStr">
        <is>
          <t>L'Acchiappastorie – Albi illustrati</t>
        </is>
      </c>
      <c r="E191" s="14" t="inlineStr">
        <is>
          <t>albi illustrati (età indicativa)</t>
        </is>
      </c>
      <c r="F191" s="14" t="inlineStr">
        <is>
          <t>3-6 anni</t>
        </is>
      </c>
      <c r="G191" s="14" t="inlineStr">
        <is>
          <t>Albo illustrato</t>
        </is>
      </c>
      <c r="H191" s="14" t="inlineStr"/>
      <c r="I191" s="14" t="inlineStr">
        <is>
          <t>No</t>
        </is>
      </c>
      <c r="J191" s="14" t="inlineStr">
        <is>
          <t>Collana</t>
        </is>
      </c>
      <c r="K191" s="14" t="inlineStr">
        <is>
          <t>3-6 anni</t>
        </is>
      </c>
      <c r="L191" s="14" t="inlineStr">
        <is>
          <t>Catalogo Terre di Mezzo 1° semestre 2026, p. 30 (ISBN 9791259960085)</t>
        </is>
      </c>
      <c r="M191" s="16" t="n">
        <v>15</v>
      </c>
      <c r="N191" s="14" t="inlineStr">
        <is>
          <t>Catalogo Terre di Mezzo 1° semestre 2026</t>
        </is>
      </c>
      <c r="O191" s="16">
        <f>IF(ISNUMBER(M191),ROUND(M191*(1-Condizioni!$B$2),2),"")</f>
        <v/>
      </c>
      <c r="P191" s="17" t="inlineStr">
        <is>
          <t>No</t>
        </is>
      </c>
    </row>
    <row r="192">
      <c r="A192" s="14" t="inlineStr">
        <is>
          <t>Terre di Mezzo</t>
        </is>
      </c>
      <c r="B192" s="14" t="inlineStr">
        <is>
          <t>Giorni senza nuvole</t>
        </is>
      </c>
      <c r="C192" s="14" t="inlineStr">
        <is>
          <t>Tim Fischer</t>
        </is>
      </c>
      <c r="D192" s="14" t="inlineStr">
        <is>
          <t>L'Acchiappastorie – Albi illustrati</t>
        </is>
      </c>
      <c r="E192" s="14" t="inlineStr">
        <is>
          <t>albi illustrati (età indicativa)</t>
        </is>
      </c>
      <c r="F192" s="14" t="inlineStr">
        <is>
          <t>3-6 anni</t>
        </is>
      </c>
      <c r="G192" s="14" t="inlineStr">
        <is>
          <t>Albo illustrato</t>
        </is>
      </c>
      <c r="H192" s="14" t="inlineStr"/>
      <c r="I192" s="14" t="inlineStr">
        <is>
          <t>No</t>
        </is>
      </c>
      <c r="J192" s="14" t="inlineStr">
        <is>
          <t>Collana</t>
        </is>
      </c>
      <c r="K192" s="14" t="inlineStr">
        <is>
          <t>3-6 anni</t>
        </is>
      </c>
      <c r="L192" s="14" t="inlineStr">
        <is>
          <t>Catalogo Terre di Mezzo 1° semestre 2026, p. 28 (ISBN 9791259962447)</t>
        </is>
      </c>
      <c r="M192" s="16" t="n">
        <v>16</v>
      </c>
      <c r="N192" s="14" t="inlineStr">
        <is>
          <t>Catalogo Terre di Mezzo 1° semestre 2026</t>
        </is>
      </c>
      <c r="O192" s="16">
        <f>IF(ISNUMBER(M192),ROUND(M192*(1-Condizioni!$B$2),2),"")</f>
        <v/>
      </c>
      <c r="P192" s="17" t="inlineStr">
        <is>
          <t>No</t>
        </is>
      </c>
    </row>
    <row r="193">
      <c r="A193" s="14" t="inlineStr">
        <is>
          <t>Terre di Mezzo</t>
        </is>
      </c>
      <c r="B193" s="14" t="inlineStr">
        <is>
          <t>Ho sentito dire che...</t>
        </is>
      </c>
      <c r="C193" s="14" t="inlineStr">
        <is>
          <t>Mariapaola Pesce, Martina Tonello</t>
        </is>
      </c>
      <c r="D193" s="14" t="inlineStr">
        <is>
          <t>L'Acchiappastorie – Albi illustrati</t>
        </is>
      </c>
      <c r="E193" s="14" t="inlineStr">
        <is>
          <t>albi illustrati (età indicativa)</t>
        </is>
      </c>
      <c r="F193" s="14" t="inlineStr">
        <is>
          <t>3-6 anni</t>
        </is>
      </c>
      <c r="G193" s="14" t="inlineStr">
        <is>
          <t>Albo illustrato</t>
        </is>
      </c>
      <c r="H193" s="14" t="inlineStr"/>
      <c r="I193" s="14" t="inlineStr">
        <is>
          <t>No</t>
        </is>
      </c>
      <c r="J193" s="14" t="inlineStr">
        <is>
          <t>Collana</t>
        </is>
      </c>
      <c r="K193" s="14" t="inlineStr">
        <is>
          <t>3-6 anni</t>
        </is>
      </c>
      <c r="L193" s="14" t="inlineStr">
        <is>
          <t>Catalogo Terre di Mezzo 1° semestre 2026, p. 31 (ISBN 9791259960665)</t>
        </is>
      </c>
      <c r="M193" s="16" t="n">
        <v>16</v>
      </c>
      <c r="N193" s="14" t="inlineStr">
        <is>
          <t>Catalogo Terre di Mezzo 1° semestre 2026</t>
        </is>
      </c>
      <c r="O193" s="16">
        <f>IF(ISNUMBER(M193),ROUND(M193*(1-Condizioni!$B$2),2),"")</f>
        <v/>
      </c>
      <c r="P193" s="17" t="inlineStr">
        <is>
          <t>No</t>
        </is>
      </c>
    </row>
    <row r="194">
      <c r="A194" s="14" t="inlineStr">
        <is>
          <t>Terre di Mezzo</t>
        </is>
      </c>
      <c r="B194" s="14" t="inlineStr">
        <is>
          <t>I dispettosi</t>
        </is>
      </c>
      <c r="C194" s="14" t="inlineStr">
        <is>
          <t>Emma Lidia Squillari</t>
        </is>
      </c>
      <c r="D194" s="14" t="inlineStr">
        <is>
          <t>L'Acchiappastorie – Albi illustrati</t>
        </is>
      </c>
      <c r="E194" s="14" t="inlineStr">
        <is>
          <t>albi illustrati (età indicativa)</t>
        </is>
      </c>
      <c r="F194" s="14" t="inlineStr">
        <is>
          <t>3-6 anni</t>
        </is>
      </c>
      <c r="G194" s="14" t="inlineStr">
        <is>
          <t>Albo illustrato</t>
        </is>
      </c>
      <c r="H194" s="14" t="inlineStr"/>
      <c r="I194" s="14" t="inlineStr">
        <is>
          <t>No</t>
        </is>
      </c>
      <c r="J194" s="14" t="inlineStr">
        <is>
          <t>Collana</t>
        </is>
      </c>
      <c r="K194" s="14" t="inlineStr">
        <is>
          <t>3-6 anni</t>
        </is>
      </c>
      <c r="L194" s="14" t="inlineStr">
        <is>
          <t>Catalogo Terre di Mezzo 1° semestre 2026, p. 13 (ISBN 9788861897144)</t>
        </is>
      </c>
      <c r="M194" s="16" t="n">
        <v>15</v>
      </c>
      <c r="N194" s="14" t="inlineStr">
        <is>
          <t>Catalogo Terre di Mezzo 1° semestre 2026</t>
        </is>
      </c>
      <c r="O194" s="16">
        <f>IF(ISNUMBER(M194),ROUND(M194*(1-Condizioni!$B$2),2),"")</f>
        <v/>
      </c>
      <c r="P194" s="17" t="inlineStr">
        <is>
          <t>No</t>
        </is>
      </c>
    </row>
    <row r="195">
      <c r="A195" s="14" t="inlineStr">
        <is>
          <t>Terre di Mezzo</t>
        </is>
      </c>
      <c r="B195" s="14" t="inlineStr">
        <is>
          <t>Il Gattolaio</t>
        </is>
      </c>
      <c r="C195" s="14" t="inlineStr">
        <is>
          <t>Stella Nosella, Evelise Obinu</t>
        </is>
      </c>
      <c r="D195" s="14" t="inlineStr">
        <is>
          <t>L'Acchiappastorie – Albi illustrati</t>
        </is>
      </c>
      <c r="E195" s="14" t="inlineStr">
        <is>
          <t>albi illustrati (età indicativa)</t>
        </is>
      </c>
      <c r="F195" s="14" t="inlineStr">
        <is>
          <t>3-6 anni</t>
        </is>
      </c>
      <c r="G195" s="14" t="inlineStr">
        <is>
          <t>Albo illustrato</t>
        </is>
      </c>
      <c r="H195" s="14" t="inlineStr"/>
      <c r="I195" s="14" t="inlineStr">
        <is>
          <t>No</t>
        </is>
      </c>
      <c r="J195" s="14" t="inlineStr">
        <is>
          <t>Collana</t>
        </is>
      </c>
      <c r="K195" s="14" t="inlineStr">
        <is>
          <t>3-6 anni</t>
        </is>
      </c>
      <c r="L195" s="14" t="inlineStr">
        <is>
          <t>Catalogo Terre di Mezzo 1° semestre 2026, p. 27 (ISBN 9791259960399)</t>
        </is>
      </c>
      <c r="M195" s="16" t="n">
        <v>14</v>
      </c>
      <c r="N195" s="14" t="inlineStr">
        <is>
          <t>Catalogo Terre di Mezzo 1° semestre 2026</t>
        </is>
      </c>
      <c r="O195" s="16">
        <f>IF(ISNUMBER(M195),ROUND(M195*(1-Condizioni!$B$2),2),"")</f>
        <v/>
      </c>
      <c r="P195" s="17" t="inlineStr">
        <is>
          <t>No</t>
        </is>
      </c>
    </row>
    <row r="196">
      <c r="A196" s="14" t="inlineStr">
        <is>
          <t>Terre di Mezzo</t>
        </is>
      </c>
      <c r="B196" s="14" t="inlineStr">
        <is>
          <t>Il Maestro di carta</t>
        </is>
      </c>
      <c r="C196" s="14" t="inlineStr">
        <is>
          <t>Luca Cognolato, Silvia del Francia, Marco Paschetta</t>
        </is>
      </c>
      <c r="D196" s="14" t="inlineStr">
        <is>
          <t>L'Acchiappastorie – Albi illustrati</t>
        </is>
      </c>
      <c r="E196" s="14" t="inlineStr">
        <is>
          <t>albi illustrati (età indicativa)</t>
        </is>
      </c>
      <c r="F196" s="14" t="inlineStr">
        <is>
          <t>3-6 anni</t>
        </is>
      </c>
      <c r="G196" s="14" t="inlineStr">
        <is>
          <t>Albo illustrato</t>
        </is>
      </c>
      <c r="H196" s="14" t="inlineStr"/>
      <c r="I196" s="14" t="inlineStr">
        <is>
          <t>No</t>
        </is>
      </c>
      <c r="J196" s="14" t="inlineStr">
        <is>
          <t>Collana</t>
        </is>
      </c>
      <c r="K196" s="14" t="inlineStr">
        <is>
          <t>3-6 anni</t>
        </is>
      </c>
      <c r="L196" s="14" t="inlineStr">
        <is>
          <t>Catalogo Terre di Mezzo 1° semestre 2026, p. 9 (ISBN 9791259963895)</t>
        </is>
      </c>
      <c r="M196" s="16" t="n">
        <v>16</v>
      </c>
      <c r="N196" s="14" t="inlineStr">
        <is>
          <t>Catalogo Terre di Mezzo 1° semestre 2026</t>
        </is>
      </c>
      <c r="O196" s="16">
        <f>IF(ISNUMBER(M196),ROUND(M196*(1-Condizioni!$B$2),2),"")</f>
        <v/>
      </c>
      <c r="P196" s="17" t="inlineStr">
        <is>
          <t>No</t>
        </is>
      </c>
    </row>
    <row r="197">
      <c r="A197" s="14" t="inlineStr">
        <is>
          <t>Terre di Mezzo</t>
        </is>
      </c>
      <c r="B197" s="14" t="inlineStr">
        <is>
          <t>Il giardino del vicino</t>
        </is>
      </c>
      <c r="C197" s="14" t="inlineStr">
        <is>
          <t>Yiting Lee</t>
        </is>
      </c>
      <c r="D197" s="14" t="inlineStr">
        <is>
          <t>L'Acchiappastorie – Albi illustrati</t>
        </is>
      </c>
      <c r="E197" s="14" t="inlineStr">
        <is>
          <t>albi illustrati (età indicativa)</t>
        </is>
      </c>
      <c r="F197" s="14" t="inlineStr">
        <is>
          <t>3-6 anni</t>
        </is>
      </c>
      <c r="G197" s="14" t="inlineStr">
        <is>
          <t>Albo illustrato</t>
        </is>
      </c>
      <c r="H197" s="14" t="inlineStr"/>
      <c r="I197" s="14" t="inlineStr">
        <is>
          <t>No</t>
        </is>
      </c>
      <c r="J197" s="14" t="inlineStr">
        <is>
          <t>Collana</t>
        </is>
      </c>
      <c r="K197" s="14" t="inlineStr">
        <is>
          <t>3-6 anni</t>
        </is>
      </c>
      <c r="L197" s="14" t="inlineStr">
        <is>
          <t>Catalogo Terre di Mezzo 1° semestre 2026, p. 23 (ISBN 9791259962782)</t>
        </is>
      </c>
      <c r="M197" s="16" t="n">
        <v>16</v>
      </c>
      <c r="N197" s="14" t="inlineStr">
        <is>
          <t>Catalogo Terre di Mezzo 1° semestre 2026</t>
        </is>
      </c>
      <c r="O197" s="16">
        <f>IF(ISNUMBER(M197),ROUND(M197*(1-Condizioni!$B$2),2),"")</f>
        <v/>
      </c>
      <c r="P197" s="17" t="inlineStr">
        <is>
          <t>No</t>
        </is>
      </c>
    </row>
    <row r="198">
      <c r="A198" s="14" t="inlineStr">
        <is>
          <t>Terre di Mezzo</t>
        </is>
      </c>
      <c r="B198" s="14" t="inlineStr">
        <is>
          <t>Il lago dei cigni</t>
        </is>
      </c>
      <c r="C198" s="14" t="inlineStr">
        <is>
          <t>The New York City Ballet, Valeria Docampo</t>
        </is>
      </c>
      <c r="D198" s="14" t="inlineStr">
        <is>
          <t>L'Acchiappastorie – Albi illustrati</t>
        </is>
      </c>
      <c r="E198" s="14" t="inlineStr">
        <is>
          <t>albi illustrati (età indicativa)</t>
        </is>
      </c>
      <c r="F198" s="14" t="inlineStr">
        <is>
          <t>3-6 anni</t>
        </is>
      </c>
      <c r="G198" s="14" t="inlineStr">
        <is>
          <t>Albo illustrato</t>
        </is>
      </c>
      <c r="H198" s="14" t="inlineStr"/>
      <c r="I198" s="14" t="inlineStr">
        <is>
          <t>No</t>
        </is>
      </c>
      <c r="J198" s="14" t="inlineStr">
        <is>
          <t>Collana</t>
        </is>
      </c>
      <c r="K198" s="14" t="inlineStr">
        <is>
          <t>3-6 anni</t>
        </is>
      </c>
      <c r="L198" s="14" t="inlineStr">
        <is>
          <t>Catalogo Terre di Mezzo 1° semestre 2026, p. 33 (ISBN 9788861895683)</t>
        </is>
      </c>
      <c r="M198" s="16" t="n">
        <v>15</v>
      </c>
      <c r="N198" s="14" t="inlineStr">
        <is>
          <t>Catalogo Terre di Mezzo 1° semestre 2026</t>
        </is>
      </c>
      <c r="O198" s="16">
        <f>IF(ISNUMBER(M198),ROUND(M198*(1-Condizioni!$B$2),2),"")</f>
        <v/>
      </c>
      <c r="P198" s="17" t="inlineStr">
        <is>
          <t>No</t>
        </is>
      </c>
    </row>
    <row r="199">
      <c r="A199" s="14" t="inlineStr">
        <is>
          <t>Terre di Mezzo</t>
        </is>
      </c>
      <c r="B199" s="14" t="inlineStr">
        <is>
          <t>Il libro dal futuro</t>
        </is>
      </c>
      <c r="C199" s="14" t="inlineStr">
        <is>
          <t>Mac Barnett, Shawn Harris</t>
        </is>
      </c>
      <c r="D199" s="14" t="inlineStr">
        <is>
          <t>L'Acchiappastorie – Albi illustrati</t>
        </is>
      </c>
      <c r="E199" s="14" t="inlineStr">
        <is>
          <t>albi illustrati (età indicativa)</t>
        </is>
      </c>
      <c r="F199" s="14" t="inlineStr">
        <is>
          <t>3-6 anni</t>
        </is>
      </c>
      <c r="G199" s="14" t="inlineStr">
        <is>
          <t>Albo illustrato</t>
        </is>
      </c>
      <c r="H199" s="14" t="inlineStr"/>
      <c r="I199" s="14" t="inlineStr">
        <is>
          <t>No</t>
        </is>
      </c>
      <c r="J199" s="14" t="inlineStr">
        <is>
          <t>Collana</t>
        </is>
      </c>
      <c r="K199" s="14" t="inlineStr">
        <is>
          <t>3-6 anni</t>
        </is>
      </c>
      <c r="L199" s="14" t="inlineStr">
        <is>
          <t>Catalogo Terre di Mezzo 1° semestre 2026, p. 14 (ISBN 9791259964168)</t>
        </is>
      </c>
      <c r="M199" s="16" t="n">
        <v>16</v>
      </c>
      <c r="N199" s="14" t="inlineStr">
        <is>
          <t>Catalogo Terre di Mezzo 1° semestre 2026</t>
        </is>
      </c>
      <c r="O199" s="16">
        <f>IF(ISNUMBER(M199),ROUND(M199*(1-Condizioni!$B$2),2),"")</f>
        <v/>
      </c>
      <c r="P199" s="17" t="inlineStr">
        <is>
          <t>Sì</t>
        </is>
      </c>
    </row>
    <row r="200">
      <c r="A200" s="14" t="inlineStr">
        <is>
          <t>Terre di Mezzo</t>
        </is>
      </c>
      <c r="B200" s="14" t="inlineStr">
        <is>
          <t>Il librone. 17 storie Piccole</t>
        </is>
      </c>
      <c r="C200" s="14" t="inlineStr">
        <is>
          <t>Delphine Perret</t>
        </is>
      </c>
      <c r="D200" s="14" t="inlineStr">
        <is>
          <t>L'Acchiappastorie – Albi illustrati</t>
        </is>
      </c>
      <c r="E200" s="14" t="inlineStr">
        <is>
          <t>albi illustrati (età indicativa)</t>
        </is>
      </c>
      <c r="F200" s="14" t="inlineStr">
        <is>
          <t>3-6 anni</t>
        </is>
      </c>
      <c r="G200" s="14" t="inlineStr">
        <is>
          <t>Albo illustrato</t>
        </is>
      </c>
      <c r="H200" s="14" t="inlineStr"/>
      <c r="I200" s="14" t="inlineStr">
        <is>
          <t>No</t>
        </is>
      </c>
      <c r="J200" s="14" t="inlineStr">
        <is>
          <t>Collana</t>
        </is>
      </c>
      <c r="K200" s="14" t="inlineStr">
        <is>
          <t>3-6 anni</t>
        </is>
      </c>
      <c r="L200" s="14" t="inlineStr">
        <is>
          <t>Catalogo Terre di Mezzo 1° semestre 2026, p. 17 (ISBN 9791259963543)</t>
        </is>
      </c>
      <c r="M200" s="16" t="n">
        <v>14</v>
      </c>
      <c r="N200" s="14" t="inlineStr">
        <is>
          <t>Catalogo Terre di Mezzo 1° semestre 2026</t>
        </is>
      </c>
      <c r="O200" s="16">
        <f>IF(ISNUMBER(M200),ROUND(M200*(1-Condizioni!$B$2),2),"")</f>
        <v/>
      </c>
      <c r="P200" s="17" t="inlineStr">
        <is>
          <t>No</t>
        </is>
      </c>
    </row>
    <row r="201">
      <c r="A201" s="14" t="inlineStr">
        <is>
          <t>Terre di Mezzo</t>
        </is>
      </c>
      <c r="B201" s="14" t="inlineStr">
        <is>
          <t>Il mio asinello Benjamin e io</t>
        </is>
      </c>
      <c r="C201" s="14" t="inlineStr">
        <is>
          <t>Hans Limmer, Lennart Osbeck</t>
        </is>
      </c>
      <c r="D201" s="14" t="inlineStr">
        <is>
          <t>L'Acchiappastorie – Albi illustrati</t>
        </is>
      </c>
      <c r="E201" s="14" t="inlineStr">
        <is>
          <t>albi illustrati (età indicativa)</t>
        </is>
      </c>
      <c r="F201" s="14" t="inlineStr">
        <is>
          <t>3-6 anni</t>
        </is>
      </c>
      <c r="G201" s="14" t="inlineStr">
        <is>
          <t>Albo illustrato</t>
        </is>
      </c>
      <c r="H201" s="14" t="inlineStr"/>
      <c r="I201" s="14" t="inlineStr">
        <is>
          <t>No</t>
        </is>
      </c>
      <c r="J201" s="14" t="inlineStr">
        <is>
          <t>Collana</t>
        </is>
      </c>
      <c r="K201" s="14" t="inlineStr">
        <is>
          <t>3-6 anni</t>
        </is>
      </c>
      <c r="L201" s="14" t="inlineStr">
        <is>
          <t>Catalogo Terre di Mezzo 1° semestre 2026, p. 26 (ISBN 9791259960610)</t>
        </is>
      </c>
      <c r="M201" s="16" t="n">
        <v>15</v>
      </c>
      <c r="N201" s="14" t="inlineStr">
        <is>
          <t>Catalogo Terre di Mezzo 1° semestre 2026</t>
        </is>
      </c>
      <c r="O201" s="16">
        <f>IF(ISNUMBER(M201),ROUND(M201*(1-Condizioni!$B$2),2),"")</f>
        <v/>
      </c>
      <c r="P201" s="17" t="inlineStr">
        <is>
          <t>No</t>
        </is>
      </c>
    </row>
    <row r="202">
      <c r="A202" s="14" t="inlineStr">
        <is>
          <t>Terre di Mezzo</t>
        </is>
      </c>
      <c r="B202" s="14" t="inlineStr">
        <is>
          <t>Il mondo in tasca. alberi</t>
        </is>
      </c>
      <c r="C202" s="14" t="inlineStr">
        <is>
          <t>Carme Clopés, Anna Sanjuan</t>
        </is>
      </c>
      <c r="D202" s="14" t="inlineStr">
        <is>
          <t>L'Acchiappastorie – Albi illustrati</t>
        </is>
      </c>
      <c r="E202" s="14" t="inlineStr">
        <is>
          <t>albi illustrati (età indicativa)</t>
        </is>
      </c>
      <c r="F202" s="14" t="inlineStr">
        <is>
          <t>3-6 anni</t>
        </is>
      </c>
      <c r="G202" s="14" t="inlineStr">
        <is>
          <t>Albo illustrato</t>
        </is>
      </c>
      <c r="H202" s="14" t="inlineStr"/>
      <c r="I202" s="14" t="inlineStr">
        <is>
          <t>No</t>
        </is>
      </c>
      <c r="J202" s="14" t="inlineStr">
        <is>
          <t>Collana</t>
        </is>
      </c>
      <c r="K202" s="14" t="inlineStr">
        <is>
          <t>3-6 anni</t>
        </is>
      </c>
      <c r="L202" s="14" t="inlineStr">
        <is>
          <t>Catalogo Terre di Mezzo 1° semestre 2026, p. 14 (ISBN 9791259964304)</t>
        </is>
      </c>
      <c r="M202" s="16" t="n">
        <v>11</v>
      </c>
      <c r="N202" s="14" t="inlineStr">
        <is>
          <t>Catalogo Terre di Mezzo 1° semestre 2026</t>
        </is>
      </c>
      <c r="O202" s="16">
        <f>IF(ISNUMBER(M202),ROUND(M202*(1-Condizioni!$B$2),2),"")</f>
        <v/>
      </c>
      <c r="P202" s="17" t="inlineStr">
        <is>
          <t>No</t>
        </is>
      </c>
    </row>
    <row r="203">
      <c r="A203" s="14" t="inlineStr">
        <is>
          <t>Terre di Mezzo</t>
        </is>
      </c>
      <c r="B203" s="14" t="inlineStr">
        <is>
          <t>Il mondo in tasca. insetti</t>
        </is>
      </c>
      <c r="C203" s="14" t="inlineStr">
        <is>
          <t>Alex Nogués, Anna Sanjuan</t>
        </is>
      </c>
      <c r="D203" s="14" t="inlineStr">
        <is>
          <t>L'Acchiappastorie – Albi illustrati</t>
        </is>
      </c>
      <c r="E203" s="14" t="inlineStr">
        <is>
          <t>albi illustrati (età indicativa)</t>
        </is>
      </c>
      <c r="F203" s="14" t="inlineStr">
        <is>
          <t>3-6 anni</t>
        </is>
      </c>
      <c r="G203" s="14" t="inlineStr">
        <is>
          <t>Albo illustrato</t>
        </is>
      </c>
      <c r="H203" s="14" t="inlineStr"/>
      <c r="I203" s="14" t="inlineStr">
        <is>
          <t>No</t>
        </is>
      </c>
      <c r="J203" s="14" t="inlineStr">
        <is>
          <t>Collana</t>
        </is>
      </c>
      <c r="K203" s="14" t="inlineStr">
        <is>
          <t>3-6 anni</t>
        </is>
      </c>
      <c r="L203" s="14" t="inlineStr">
        <is>
          <t>Catalogo Terre di Mezzo 1° semestre 2026, p. 14 (ISBN 9791259964311)</t>
        </is>
      </c>
      <c r="M203" s="16" t="n">
        <v>11</v>
      </c>
      <c r="N203" s="14" t="inlineStr">
        <is>
          <t>Catalogo Terre di Mezzo 1° semestre 2026</t>
        </is>
      </c>
      <c r="O203" s="16">
        <f>IF(ISNUMBER(M203),ROUND(M203*(1-Condizioni!$B$2),2),"")</f>
        <v/>
      </c>
      <c r="P203" s="17" t="inlineStr">
        <is>
          <t>No</t>
        </is>
      </c>
    </row>
    <row r="204">
      <c r="A204" s="14" t="inlineStr">
        <is>
          <t>Terre di Mezzo</t>
        </is>
      </c>
      <c r="B204" s="14" t="inlineStr">
        <is>
          <t>Il mondo in tasca. nuvole</t>
        </is>
      </c>
      <c r="C204" s="14" t="inlineStr">
        <is>
          <t>Anna Sanjuan</t>
        </is>
      </c>
      <c r="D204" s="14" t="inlineStr">
        <is>
          <t>L'Acchiappastorie – Albi illustrati</t>
        </is>
      </c>
      <c r="E204" s="14" t="inlineStr">
        <is>
          <t>albi illustrati (età indicativa)</t>
        </is>
      </c>
      <c r="F204" s="14" t="inlineStr">
        <is>
          <t>3-6 anni</t>
        </is>
      </c>
      <c r="G204" s="14" t="inlineStr">
        <is>
          <t>Albo illustrato</t>
        </is>
      </c>
      <c r="H204" s="14" t="inlineStr"/>
      <c r="I204" s="14" t="inlineStr">
        <is>
          <t>No</t>
        </is>
      </c>
      <c r="J204" s="14" t="inlineStr">
        <is>
          <t>Collana</t>
        </is>
      </c>
      <c r="K204" s="14" t="inlineStr">
        <is>
          <t>3-6 anni</t>
        </is>
      </c>
      <c r="L204" s="14" t="inlineStr">
        <is>
          <t>Catalogo Terre di Mezzo 1° semestre 2026, p. 14 (ISBN 9791259963284)</t>
        </is>
      </c>
      <c r="M204" s="16" t="n">
        <v>11</v>
      </c>
      <c r="N204" s="14" t="inlineStr">
        <is>
          <t>Catalogo Terre di Mezzo 1° semestre 2026</t>
        </is>
      </c>
      <c r="O204" s="16">
        <f>IF(ISNUMBER(M204),ROUND(M204*(1-Condizioni!$B$2),2),"")</f>
        <v/>
      </c>
      <c r="P204" s="17" t="inlineStr">
        <is>
          <t>No</t>
        </is>
      </c>
    </row>
    <row r="205">
      <c r="A205" s="14" t="inlineStr">
        <is>
          <t>Terre di Mezzo</t>
        </is>
      </c>
      <c r="B205" s="14" t="inlineStr">
        <is>
          <t>Il mondo in tasca. uccelli</t>
        </is>
      </c>
      <c r="C205" s="14" t="inlineStr">
        <is>
          <t>Anna Sanjuan, Ramon Baucells</t>
        </is>
      </c>
      <c r="D205" s="14" t="inlineStr">
        <is>
          <t>L'Acchiappastorie – Albi illustrati</t>
        </is>
      </c>
      <c r="E205" s="14" t="inlineStr">
        <is>
          <t>albi illustrati (età indicativa)</t>
        </is>
      </c>
      <c r="F205" s="14" t="inlineStr">
        <is>
          <t>3-6 anni</t>
        </is>
      </c>
      <c r="G205" s="14" t="inlineStr">
        <is>
          <t>Albo illustrato</t>
        </is>
      </c>
      <c r="H205" s="14" t="inlineStr"/>
      <c r="I205" s="14" t="inlineStr">
        <is>
          <t>No</t>
        </is>
      </c>
      <c r="J205" s="14" t="inlineStr">
        <is>
          <t>Collana</t>
        </is>
      </c>
      <c r="K205" s="14" t="inlineStr">
        <is>
          <t>3-6 anni</t>
        </is>
      </c>
      <c r="L205" s="14" t="inlineStr">
        <is>
          <t>Catalogo Terre di Mezzo 1° semestre 2026, p. 14 (ISBN 9791259963277)</t>
        </is>
      </c>
      <c r="M205" s="16" t="n">
        <v>11</v>
      </c>
      <c r="N205" s="14" t="inlineStr">
        <is>
          <t>Catalogo Terre di Mezzo 1° semestre 2026</t>
        </is>
      </c>
      <c r="O205" s="16">
        <f>IF(ISNUMBER(M205),ROUND(M205*(1-Condizioni!$B$2),2),"")</f>
        <v/>
      </c>
      <c r="P205" s="17" t="inlineStr">
        <is>
          <t>No</t>
        </is>
      </c>
    </row>
    <row r="206">
      <c r="A206" s="14" t="inlineStr">
        <is>
          <t>Terre di Mezzo</t>
        </is>
      </c>
      <c r="B206" s="14" t="inlineStr">
        <is>
          <t>Il nemico</t>
        </is>
      </c>
      <c r="C206" s="14" t="inlineStr">
        <is>
          <t>Davide Calì, Serge Bloch</t>
        </is>
      </c>
      <c r="D206" s="14" t="inlineStr">
        <is>
          <t>L'Acchiappastorie – Albi illustrati</t>
        </is>
      </c>
      <c r="E206" s="14" t="inlineStr">
        <is>
          <t>albi illustrati (età indicativa)</t>
        </is>
      </c>
      <c r="F206" s="14" t="inlineStr">
        <is>
          <t>3-6 anni</t>
        </is>
      </c>
      <c r="G206" s="14" t="inlineStr">
        <is>
          <t>Albo illustrato</t>
        </is>
      </c>
      <c r="H206" s="14" t="inlineStr"/>
      <c r="I206" s="14" t="inlineStr">
        <is>
          <t>No</t>
        </is>
      </c>
      <c r="J206" s="14" t="inlineStr">
        <is>
          <t>Collana</t>
        </is>
      </c>
      <c r="K206" s="14" t="inlineStr">
        <is>
          <t>3-6 anni</t>
        </is>
      </c>
      <c r="L206" s="14" t="inlineStr">
        <is>
          <t>Catalogo Terre di Mezzo 1° semestre 2026, p. 26 (ISBN 9791259961297)</t>
        </is>
      </c>
      <c r="M206" s="16" t="n">
        <v>16</v>
      </c>
      <c r="N206" s="14" t="inlineStr">
        <is>
          <t>Catalogo Terre di Mezzo 1° semestre 2026</t>
        </is>
      </c>
      <c r="O206" s="16">
        <f>IF(ISNUMBER(M206),ROUND(M206*(1-Condizioni!$B$2),2),"")</f>
        <v/>
      </c>
      <c r="P206" s="17" t="inlineStr">
        <is>
          <t>Sì</t>
        </is>
      </c>
    </row>
    <row r="207">
      <c r="A207" s="14" t="inlineStr">
        <is>
          <t>Terre di Mezzo</t>
        </is>
      </c>
      <c r="B207" s="14" t="inlineStr">
        <is>
          <t>Il piccolo principe</t>
        </is>
      </c>
      <c r="C207" s="14" t="inlineStr">
        <is>
          <t>Antoine de Saint-Exupéry</t>
        </is>
      </c>
      <c r="D207" s="14" t="inlineStr">
        <is>
          <t>L'Acchiappastorie – Albi illustrati</t>
        </is>
      </c>
      <c r="E207" s="14" t="inlineStr">
        <is>
          <t>albi illustrati (età indicativa)</t>
        </is>
      </c>
      <c r="F207" s="14" t="inlineStr">
        <is>
          <t>3-6 anni</t>
        </is>
      </c>
      <c r="G207" s="14" t="inlineStr">
        <is>
          <t>Albo illustrato</t>
        </is>
      </c>
      <c r="H207" s="14" t="inlineStr"/>
      <c r="I207" s="14" t="inlineStr">
        <is>
          <t>No</t>
        </is>
      </c>
      <c r="J207" s="14" t="inlineStr">
        <is>
          <t>Collana</t>
        </is>
      </c>
      <c r="K207" s="14" t="inlineStr">
        <is>
          <t>3-6 anni</t>
        </is>
      </c>
      <c r="L207" s="14" t="inlineStr">
        <is>
          <t>Catalogo Terre di Mezzo 1° semestre 2026, p. 33 (ISBN 9788861894297)</t>
        </is>
      </c>
      <c r="M207" s="16" t="n">
        <v>15</v>
      </c>
      <c r="N207" s="14" t="inlineStr">
        <is>
          <t>Catalogo Terre di Mezzo 1° semestre 2026</t>
        </is>
      </c>
      <c r="O207" s="16">
        <f>IF(ISNUMBER(M207),ROUND(M207*(1-Condizioni!$B$2),2),"")</f>
        <v/>
      </c>
      <c r="P207" s="17" t="inlineStr">
        <is>
          <t>No</t>
        </is>
      </c>
    </row>
    <row r="208">
      <c r="A208" s="14" t="inlineStr">
        <is>
          <t>Terre di Mezzo</t>
        </is>
      </c>
      <c r="B208" s="14" t="inlineStr">
        <is>
          <t>Il piede di Freki</t>
        </is>
      </c>
      <c r="C208" s="14" t="inlineStr">
        <is>
          <t>Pija Lindenbaum</t>
        </is>
      </c>
      <c r="D208" s="14" t="inlineStr">
        <is>
          <t>L'Acchiappastorie – Albi illustrati</t>
        </is>
      </c>
      <c r="E208" s="14" t="inlineStr">
        <is>
          <t>albi illustrati (età indicativa)</t>
        </is>
      </c>
      <c r="F208" s="14" t="inlineStr">
        <is>
          <t>3-6 anni</t>
        </is>
      </c>
      <c r="G208" s="14" t="inlineStr">
        <is>
          <t>Albo illustrato</t>
        </is>
      </c>
      <c r="H208" s="14" t="inlineStr"/>
      <c r="I208" s="14" t="inlineStr">
        <is>
          <t>No</t>
        </is>
      </c>
      <c r="J208" s="14" t="inlineStr">
        <is>
          <t>Collana</t>
        </is>
      </c>
      <c r="K208" s="14" t="inlineStr">
        <is>
          <t>3-6 anni</t>
        </is>
      </c>
      <c r="L208" s="14" t="inlineStr">
        <is>
          <t>Catalogo Terre di Mezzo 1° semestre 2026, p. 22 (ISBN 9791259962584)</t>
        </is>
      </c>
      <c r="M208" s="16" t="n">
        <v>16</v>
      </c>
      <c r="N208" s="14" t="inlineStr">
        <is>
          <t>Catalogo Terre di Mezzo 1° semestre 2026</t>
        </is>
      </c>
      <c r="O208" s="16">
        <f>IF(ISNUMBER(M208),ROUND(M208*(1-Condizioni!$B$2),2),"")</f>
        <v/>
      </c>
      <c r="P208" s="17" t="inlineStr">
        <is>
          <t>No</t>
        </is>
      </c>
    </row>
    <row r="209">
      <c r="A209" s="14" t="inlineStr">
        <is>
          <t>Terre di Mezzo</t>
        </is>
      </c>
      <c r="B209" s="14" t="inlineStr">
        <is>
          <t>Il primo Natale di Babbo Natale</t>
        </is>
      </c>
      <c r="C209" s="14" t="inlineStr">
        <is>
          <t>Mac Barnett, Sydney Smith</t>
        </is>
      </c>
      <c r="D209" s="14" t="inlineStr">
        <is>
          <t>L'Acchiappastorie – Albi illustrati</t>
        </is>
      </c>
      <c r="E209" s="14" t="inlineStr">
        <is>
          <t>albi illustrati (età indicativa)</t>
        </is>
      </c>
      <c r="F209" s="14" t="inlineStr">
        <is>
          <t>3-6 anni</t>
        </is>
      </c>
      <c r="G209" s="14" t="inlineStr">
        <is>
          <t>Albo illustrato</t>
        </is>
      </c>
      <c r="H209" s="14" t="inlineStr"/>
      <c r="I209" s="14" t="inlineStr">
        <is>
          <t>No</t>
        </is>
      </c>
      <c r="J209" s="14" t="inlineStr">
        <is>
          <t>Collana</t>
        </is>
      </c>
      <c r="K209" s="14" t="inlineStr">
        <is>
          <t>3-6 anni</t>
        </is>
      </c>
      <c r="L209" s="14" t="inlineStr">
        <is>
          <t>Catalogo Terre di Mezzo 1° semestre 2026, p. 25 (ISBN 9791259962744)</t>
        </is>
      </c>
      <c r="M209" s="16" t="n">
        <v>16</v>
      </c>
      <c r="N209" s="14" t="inlineStr">
        <is>
          <t>Catalogo Terre di Mezzo 1° semestre 2026</t>
        </is>
      </c>
      <c r="O209" s="16">
        <f>IF(ISNUMBER(M209),ROUND(M209*(1-Condizioni!$B$2),2),"")</f>
        <v/>
      </c>
      <c r="P209" s="17" t="inlineStr">
        <is>
          <t>No</t>
        </is>
      </c>
    </row>
    <row r="210">
      <c r="A210" s="14" t="inlineStr">
        <is>
          <t>Terre di Mezzo</t>
        </is>
      </c>
      <c r="B210" s="14" t="inlineStr">
        <is>
          <t>Il primo caso dell’investigatore Talpone</t>
        </is>
      </c>
      <c r="C210" s="14" t="inlineStr">
        <is>
          <t>Camilla Pintonato</t>
        </is>
      </c>
      <c r="D210" s="14" t="inlineStr">
        <is>
          <t>L'Acchiappastorie – Albi illustrati</t>
        </is>
      </c>
      <c r="E210" s="14" t="inlineStr">
        <is>
          <t>albi illustrati (età indicativa)</t>
        </is>
      </c>
      <c r="F210" s="14" t="inlineStr">
        <is>
          <t>3-6 anni</t>
        </is>
      </c>
      <c r="G210" s="14" t="inlineStr">
        <is>
          <t>Albo illustrato</t>
        </is>
      </c>
      <c r="H210" s="14" t="inlineStr"/>
      <c r="I210" s="14" t="inlineStr">
        <is>
          <t>No</t>
        </is>
      </c>
      <c r="J210" s="14" t="inlineStr">
        <is>
          <t>Collana</t>
        </is>
      </c>
      <c r="K210" s="14" t="inlineStr">
        <is>
          <t>3-6 anni</t>
        </is>
      </c>
      <c r="L210" s="14" t="inlineStr">
        <is>
          <t>Catalogo Terre di Mezzo 1° semestre 2026, p. 35 (ISBN 9788861897168)</t>
        </is>
      </c>
      <c r="M210" s="16" t="n">
        <v>12.9</v>
      </c>
      <c r="N210" s="14" t="inlineStr">
        <is>
          <t>Catalogo Terre di Mezzo 1° semestre 2026</t>
        </is>
      </c>
      <c r="O210" s="16">
        <f>IF(ISNUMBER(M210),ROUND(M210*(1-Condizioni!$B$2),2),"")</f>
        <v/>
      </c>
      <c r="P210" s="17" t="inlineStr">
        <is>
          <t>No</t>
        </is>
      </c>
    </row>
    <row r="211">
      <c r="A211" s="14" t="inlineStr">
        <is>
          <t>Terre di Mezzo</t>
        </is>
      </c>
      <c r="B211" s="14" t="inlineStr">
        <is>
          <t>Il riflesso di Hariett</t>
        </is>
      </c>
      <c r="C211" s="14" t="inlineStr">
        <is>
          <t>Marion Kadi</t>
        </is>
      </c>
      <c r="D211" s="14" t="inlineStr">
        <is>
          <t>L'Acchiappastorie – Albi illustrati</t>
        </is>
      </c>
      <c r="E211" s="14" t="inlineStr">
        <is>
          <t>albi illustrati (età indicativa)</t>
        </is>
      </c>
      <c r="F211" s="14" t="inlineStr">
        <is>
          <t>3-6 anni</t>
        </is>
      </c>
      <c r="G211" s="14" t="inlineStr">
        <is>
          <t>Albo illustrato</t>
        </is>
      </c>
      <c r="H211" s="14" t="inlineStr"/>
      <c r="I211" s="14" t="inlineStr">
        <is>
          <t>No</t>
        </is>
      </c>
      <c r="J211" s="14" t="inlineStr">
        <is>
          <t>Collana</t>
        </is>
      </c>
      <c r="K211" s="14" t="inlineStr">
        <is>
          <t>3-6 anni</t>
        </is>
      </c>
      <c r="L211" s="14" t="inlineStr">
        <is>
          <t>Catalogo Terre di Mezzo 1° semestre 2026, p. 17 (ISBN 9791259960306)</t>
        </is>
      </c>
      <c r="M211" s="16" t="n">
        <v>16</v>
      </c>
      <c r="N211" s="14" t="inlineStr">
        <is>
          <t>Catalogo Terre di Mezzo 1° semestre 2026</t>
        </is>
      </c>
      <c r="O211" s="16">
        <f>IF(ISNUMBER(M211),ROUND(M211*(1-Condizioni!$B$2),2),"")</f>
        <v/>
      </c>
      <c r="P211" s="17" t="inlineStr">
        <is>
          <t>No</t>
        </is>
      </c>
    </row>
    <row r="212">
      <c r="A212" s="14" t="inlineStr">
        <is>
          <t>Terre di Mezzo</t>
        </is>
      </c>
      <c r="B212" s="14" t="inlineStr">
        <is>
          <t>Il superpotere delle storie</t>
        </is>
      </c>
      <c r="C212" s="14" t="inlineStr">
        <is>
          <t>Didier Lévy, Lorenzo Sangiò</t>
        </is>
      </c>
      <c r="D212" s="14" t="inlineStr">
        <is>
          <t>L'Acchiappastorie – Albi illustrati</t>
        </is>
      </c>
      <c r="E212" s="14" t="inlineStr">
        <is>
          <t>albi illustrati (età indicativa)</t>
        </is>
      </c>
      <c r="F212" s="14" t="inlineStr">
        <is>
          <t>3-6 anni</t>
        </is>
      </c>
      <c r="G212" s="14" t="inlineStr">
        <is>
          <t>Albo illustrato</t>
        </is>
      </c>
      <c r="H212" s="14" t="inlineStr"/>
      <c r="I212" s="14" t="inlineStr">
        <is>
          <t>No</t>
        </is>
      </c>
      <c r="J212" s="14" t="inlineStr">
        <is>
          <t>Collana</t>
        </is>
      </c>
      <c r="K212" s="14" t="inlineStr">
        <is>
          <t>3-6 anni</t>
        </is>
      </c>
      <c r="L212" s="14" t="inlineStr">
        <is>
          <t>Catalogo Terre di Mezzo 1° semestre 2026, p. 16 (ISBN 9791259961822)</t>
        </is>
      </c>
      <c r="M212" s="16" t="n">
        <v>16</v>
      </c>
      <c r="N212" s="14" t="inlineStr">
        <is>
          <t>Catalogo Terre di Mezzo 1° semestre 2026</t>
        </is>
      </c>
      <c r="O212" s="16">
        <f>IF(ISNUMBER(M212),ROUND(M212*(1-Condizioni!$B$2),2),"")</f>
        <v/>
      </c>
      <c r="P212" s="17" t="inlineStr">
        <is>
          <t>No</t>
        </is>
      </c>
    </row>
    <row r="213">
      <c r="A213" s="14" t="inlineStr">
        <is>
          <t>Terre di Mezzo</t>
        </is>
      </c>
      <c r="B213" s="14" t="inlineStr">
        <is>
          <t>Il tempo delle ciliegie</t>
        </is>
      </c>
      <c r="C213" s="14" t="inlineStr">
        <is>
          <t>Agnès de Lestrade, Valeria Docampo</t>
        </is>
      </c>
      <c r="D213" s="14" t="inlineStr">
        <is>
          <t>L'Acchiappastorie – Albi illustrati</t>
        </is>
      </c>
      <c r="E213" s="14" t="inlineStr">
        <is>
          <t>albi illustrati (età indicativa)</t>
        </is>
      </c>
      <c r="F213" s="14" t="inlineStr">
        <is>
          <t>3-6 anni</t>
        </is>
      </c>
      <c r="G213" s="14" t="inlineStr">
        <is>
          <t>Albo illustrato</t>
        </is>
      </c>
      <c r="H213" s="14" t="inlineStr"/>
      <c r="I213" s="14" t="inlineStr">
        <is>
          <t>No</t>
        </is>
      </c>
      <c r="J213" s="14" t="inlineStr">
        <is>
          <t>Collana</t>
        </is>
      </c>
      <c r="K213" s="14" t="inlineStr">
        <is>
          <t>3-6 anni</t>
        </is>
      </c>
      <c r="L213" s="14" t="inlineStr">
        <is>
          <t>Catalogo Terre di Mezzo 1° semestre 2026, p. 32 (ISBN 9791259961112)</t>
        </is>
      </c>
      <c r="M213" s="16" t="n">
        <v>16</v>
      </c>
      <c r="N213" s="14" t="inlineStr">
        <is>
          <t>Catalogo Terre di Mezzo 1° semestre 2026</t>
        </is>
      </c>
      <c r="O213" s="16">
        <f>IF(ISNUMBER(M213),ROUND(M213*(1-Condizioni!$B$2),2),"")</f>
        <v/>
      </c>
      <c r="P213" s="17" t="inlineStr">
        <is>
          <t>No</t>
        </is>
      </c>
    </row>
    <row r="214">
      <c r="A214" s="14" t="inlineStr">
        <is>
          <t>Terre di Mezzo</t>
        </is>
      </c>
      <c r="B214" s="14" t="inlineStr">
        <is>
          <t>Indovina chi viene a merenda?</t>
        </is>
      </c>
      <c r="C214" s="14" t="inlineStr">
        <is>
          <t>Laura Mucha, Marc Boutavant</t>
        </is>
      </c>
      <c r="D214" s="14" t="inlineStr">
        <is>
          <t>L'Acchiappastorie – Albi illustrati</t>
        </is>
      </c>
      <c r="E214" s="14" t="inlineStr">
        <is>
          <t>albi illustrati (età indicativa)</t>
        </is>
      </c>
      <c r="F214" s="14" t="inlineStr">
        <is>
          <t>3-6 anni</t>
        </is>
      </c>
      <c r="G214" s="14" t="inlineStr">
        <is>
          <t>Albo illustrato</t>
        </is>
      </c>
      <c r="H214" s="14" t="inlineStr"/>
      <c r="I214" s="14" t="inlineStr">
        <is>
          <t>No</t>
        </is>
      </c>
      <c r="J214" s="14" t="inlineStr">
        <is>
          <t>Collana</t>
        </is>
      </c>
      <c r="K214" s="14" t="inlineStr">
        <is>
          <t>3-6 anni</t>
        </is>
      </c>
      <c r="L214" s="14" t="inlineStr">
        <is>
          <t>Catalogo Terre di Mezzo 1° semestre 2026, p. 16 (ISBN 9791259963420)</t>
        </is>
      </c>
      <c r="M214" s="16" t="n">
        <v>16</v>
      </c>
      <c r="N214" s="14" t="inlineStr">
        <is>
          <t>Catalogo Terre di Mezzo 1° semestre 2026</t>
        </is>
      </c>
      <c r="O214" s="16">
        <f>IF(ISNUMBER(M214),ROUND(M214*(1-Condizioni!$B$2),2),"")</f>
        <v/>
      </c>
      <c r="P214" s="17" t="inlineStr">
        <is>
          <t>No</t>
        </is>
      </c>
    </row>
    <row r="215">
      <c r="A215" s="14" t="inlineStr">
        <is>
          <t>Terre di Mezzo</t>
        </is>
      </c>
      <c r="B215" s="14" t="inlineStr">
        <is>
          <t>Inventario dei giorni sospesi</t>
        </is>
      </c>
      <c r="C215" s="14" t="inlineStr">
        <is>
          <t>Agnès de Lestrade, Valeria Docampo</t>
        </is>
      </c>
      <c r="D215" s="14" t="inlineStr">
        <is>
          <t>L'Acchiappastorie – Albi illustrati</t>
        </is>
      </c>
      <c r="E215" s="14" t="inlineStr">
        <is>
          <t>albi illustrati (età indicativa)</t>
        </is>
      </c>
      <c r="F215" s="14" t="inlineStr">
        <is>
          <t>3-6 anni</t>
        </is>
      </c>
      <c r="G215" s="14" t="inlineStr">
        <is>
          <t>Albo illustrato</t>
        </is>
      </c>
      <c r="H215" s="14" t="inlineStr"/>
      <c r="I215" s="14" t="inlineStr">
        <is>
          <t>No</t>
        </is>
      </c>
      <c r="J215" s="14" t="inlineStr">
        <is>
          <t>Collana</t>
        </is>
      </c>
      <c r="K215" s="14" t="inlineStr">
        <is>
          <t>3-6 anni</t>
        </is>
      </c>
      <c r="L215" s="14" t="inlineStr">
        <is>
          <t>Catalogo Terre di Mezzo 1° semestre 2026, p. 34 (ISBN 9788861896574)</t>
        </is>
      </c>
      <c r="M215" s="16" t="n">
        <v>14</v>
      </c>
      <c r="N215" s="14" t="inlineStr">
        <is>
          <t>Catalogo Terre di Mezzo 1° semestre 2026</t>
        </is>
      </c>
      <c r="O215" s="16">
        <f>IF(ISNUMBER(M215),ROUND(M215*(1-Condizioni!$B$2),2),"")</f>
        <v/>
      </c>
      <c r="P215" s="17" t="inlineStr">
        <is>
          <t>No</t>
        </is>
      </c>
    </row>
    <row r="216">
      <c r="A216" s="14" t="inlineStr">
        <is>
          <t>Terre di Mezzo</t>
        </is>
      </c>
      <c r="B216" s="14" t="inlineStr">
        <is>
          <t>Io e il mio cane</t>
        </is>
      </c>
      <c r="C216" s="14" t="inlineStr">
        <is>
          <t>Luca Tortolini, Felicita Sala</t>
        </is>
      </c>
      <c r="D216" s="14" t="inlineStr">
        <is>
          <t>L'Acchiappastorie – Albi illustrati</t>
        </is>
      </c>
      <c r="E216" s="14" t="inlineStr">
        <is>
          <t>albi illustrati (età indicativa)</t>
        </is>
      </c>
      <c r="F216" s="14" t="inlineStr">
        <is>
          <t>3-6 anni</t>
        </is>
      </c>
      <c r="G216" s="14" t="inlineStr">
        <is>
          <t>Albo illustrato</t>
        </is>
      </c>
      <c r="H216" s="14" t="inlineStr"/>
      <c r="I216" s="14" t="inlineStr">
        <is>
          <t>No</t>
        </is>
      </c>
      <c r="J216" s="14" t="inlineStr">
        <is>
          <t>Collana</t>
        </is>
      </c>
      <c r="K216" s="14" t="inlineStr">
        <is>
          <t>3-6 anni</t>
        </is>
      </c>
      <c r="L216" s="14" t="inlineStr">
        <is>
          <t>Catalogo Terre di Mezzo 1° semestre 2026, p. 11 (ISBN 9791259962430)</t>
        </is>
      </c>
      <c r="M216" s="16" t="n">
        <v>16</v>
      </c>
      <c r="N216" s="14" t="inlineStr">
        <is>
          <t>Catalogo Terre di Mezzo 1° semestre 2026</t>
        </is>
      </c>
      <c r="O216" s="16">
        <f>IF(ISNUMBER(M216),ROUND(M216*(1-Condizioni!$B$2),2),"")</f>
        <v/>
      </c>
      <c r="P216" s="17" t="inlineStr">
        <is>
          <t>No</t>
        </is>
      </c>
    </row>
    <row r="217">
      <c r="A217" s="14" t="inlineStr">
        <is>
          <t>Terre di Mezzo</t>
        </is>
      </c>
      <c r="B217" s="14" t="inlineStr">
        <is>
          <t>Io non disegno, coloro!</t>
        </is>
      </c>
      <c r="C217" s="14" t="inlineStr">
        <is>
          <t>Adam Lehrhaupt, Felicita Sala</t>
        </is>
      </c>
      <c r="D217" s="14" t="inlineStr">
        <is>
          <t>L'Acchiappastorie – Albi illustrati</t>
        </is>
      </c>
      <c r="E217" s="14" t="inlineStr">
        <is>
          <t>albi illustrati (età indicativa)</t>
        </is>
      </c>
      <c r="F217" s="14" t="inlineStr">
        <is>
          <t>3-6 anni</t>
        </is>
      </c>
      <c r="G217" s="14" t="inlineStr">
        <is>
          <t>Albo illustrato</t>
        </is>
      </c>
      <c r="H217" s="14" t="inlineStr"/>
      <c r="I217" s="14" t="inlineStr">
        <is>
          <t>No</t>
        </is>
      </c>
      <c r="J217" s="14" t="inlineStr">
        <is>
          <t>Collana</t>
        </is>
      </c>
      <c r="K217" s="14" t="inlineStr">
        <is>
          <t>3-6 anni</t>
        </is>
      </c>
      <c r="L217" s="14" t="inlineStr">
        <is>
          <t>Catalogo Terre di Mezzo 1° semestre 2026, p. 15 (ISBN 9788861894693)</t>
        </is>
      </c>
      <c r="M217" s="16" t="n">
        <v>12.9</v>
      </c>
      <c r="N217" s="14" t="inlineStr">
        <is>
          <t>Catalogo Terre di Mezzo 1° semestre 2026</t>
        </is>
      </c>
      <c r="O217" s="16">
        <f>IF(ISNUMBER(M217),ROUND(M217*(1-Condizioni!$B$2),2),"")</f>
        <v/>
      </c>
      <c r="P217" s="17" t="inlineStr">
        <is>
          <t>No</t>
        </is>
      </c>
    </row>
    <row r="218">
      <c r="A218" s="14" t="inlineStr">
        <is>
          <t>Terre di Mezzo</t>
        </is>
      </c>
      <c r="B218" s="14" t="inlineStr">
        <is>
          <t>Io sono un cane</t>
        </is>
      </c>
      <c r="C218" s="14" t="inlineStr">
        <is>
          <t>Heena Baek</t>
        </is>
      </c>
      <c r="D218" s="14" t="inlineStr">
        <is>
          <t>L'Acchiappastorie – Albi illustrati</t>
        </is>
      </c>
      <c r="E218" s="14" t="inlineStr">
        <is>
          <t>albi illustrati (età indicativa)</t>
        </is>
      </c>
      <c r="F218" s="14" t="inlineStr">
        <is>
          <t>3-6 anni</t>
        </is>
      </c>
      <c r="G218" s="14" t="inlineStr">
        <is>
          <t>Albo illustrato</t>
        </is>
      </c>
      <c r="H218" s="14" t="inlineStr"/>
      <c r="I218" s="14" t="inlineStr">
        <is>
          <t>No</t>
        </is>
      </c>
      <c r="J218" s="14" t="inlineStr">
        <is>
          <t>Collana</t>
        </is>
      </c>
      <c r="K218" s="14" t="inlineStr">
        <is>
          <t>3-6 anni</t>
        </is>
      </c>
      <c r="L218" s="14" t="inlineStr">
        <is>
          <t>Catalogo Terre di Mezzo 1° semestre 2026, p. 20 (ISBN 9791259961792)</t>
        </is>
      </c>
      <c r="M218" s="16" t="n">
        <v>16</v>
      </c>
      <c r="N218" s="14" t="inlineStr">
        <is>
          <t>Catalogo Terre di Mezzo 1° semestre 2026</t>
        </is>
      </c>
      <c r="O218" s="16">
        <f>IF(ISNUMBER(M218),ROUND(M218*(1-Condizioni!$B$2),2),"")</f>
        <v/>
      </c>
      <c r="P218" s="17" t="inlineStr">
        <is>
          <t>No</t>
        </is>
      </c>
    </row>
    <row r="219">
      <c r="A219" s="14" t="inlineStr">
        <is>
          <t>Terre di Mezzo</t>
        </is>
      </c>
      <c r="B219" s="14" t="inlineStr">
        <is>
          <t>Jeppe in missione</t>
        </is>
      </c>
      <c r="C219" s="14" t="inlineStr">
        <is>
          <t>Jutta Bauer</t>
        </is>
      </c>
      <c r="D219" s="14" t="inlineStr">
        <is>
          <t>L'Acchiappastorie – Albi illustrati</t>
        </is>
      </c>
      <c r="E219" s="14" t="inlineStr">
        <is>
          <t>albi illustrati (età indicativa)</t>
        </is>
      </c>
      <c r="F219" s="14" t="inlineStr">
        <is>
          <t>3-6 anni</t>
        </is>
      </c>
      <c r="G219" s="14" t="inlineStr">
        <is>
          <t>Albo illustrato</t>
        </is>
      </c>
      <c r="H219" s="14" t="inlineStr"/>
      <c r="I219" s="14" t="inlineStr">
        <is>
          <t>No</t>
        </is>
      </c>
      <c r="J219" s="14" t="inlineStr">
        <is>
          <t>Collana</t>
        </is>
      </c>
      <c r="K219" s="14" t="inlineStr">
        <is>
          <t>3-6 anni</t>
        </is>
      </c>
      <c r="L219" s="14" t="inlineStr">
        <is>
          <t>Catalogo Terre di Mezzo 1° semestre 2026, p. 31 (ISBN 9791259960153)</t>
        </is>
      </c>
      <c r="M219" s="16" t="n">
        <v>15</v>
      </c>
      <c r="N219" s="14" t="inlineStr">
        <is>
          <t>Catalogo Terre di Mezzo 1° semestre 2026</t>
        </is>
      </c>
      <c r="O219" s="16">
        <f>IF(ISNUMBER(M219),ROUND(M219*(1-Condizioni!$B$2),2),"")</f>
        <v/>
      </c>
      <c r="P219" s="17" t="inlineStr">
        <is>
          <t>No</t>
        </is>
      </c>
    </row>
    <row r="220">
      <c r="A220" s="14" t="inlineStr">
        <is>
          <t>Terre di Mezzo</t>
        </is>
      </c>
      <c r="B220" s="14" t="inlineStr">
        <is>
          <t>La Signora Leoparda</t>
        </is>
      </c>
      <c r="C220" s="14" t="inlineStr">
        <is>
          <t>Natalia Shaloshvili</t>
        </is>
      </c>
      <c r="D220" s="14" t="inlineStr">
        <is>
          <t>L'Acchiappastorie – Albi illustrati</t>
        </is>
      </c>
      <c r="E220" s="14" t="inlineStr">
        <is>
          <t>albi illustrati (età indicativa)</t>
        </is>
      </c>
      <c r="F220" s="14" t="inlineStr">
        <is>
          <t>3-6 anni</t>
        </is>
      </c>
      <c r="G220" s="14" t="inlineStr">
        <is>
          <t>Albo illustrato</t>
        </is>
      </c>
      <c r="H220" s="14" t="inlineStr"/>
      <c r="I220" s="14" t="inlineStr">
        <is>
          <t>No</t>
        </is>
      </c>
      <c r="J220" s="14" t="inlineStr">
        <is>
          <t>Collana</t>
        </is>
      </c>
      <c r="K220" s="14" t="inlineStr">
        <is>
          <t>3-6 anni</t>
        </is>
      </c>
      <c r="L220" s="14" t="inlineStr">
        <is>
          <t>Catalogo Terre di Mezzo 1° semestre 2026, p. 29 (ISBN 9791259961259)</t>
        </is>
      </c>
      <c r="M220" s="16" t="n">
        <v>16</v>
      </c>
      <c r="N220" s="14" t="inlineStr">
        <is>
          <t>Catalogo Terre di Mezzo 1° semestre 2026</t>
        </is>
      </c>
      <c r="O220" s="16">
        <f>IF(ISNUMBER(M220),ROUND(M220*(1-Condizioni!$B$2),2),"")</f>
        <v/>
      </c>
      <c r="P220" s="17" t="inlineStr">
        <is>
          <t>No</t>
        </is>
      </c>
    </row>
    <row r="221">
      <c r="A221" s="14" t="inlineStr">
        <is>
          <t>Terre di Mezzo</t>
        </is>
      </c>
      <c r="B221" s="14" t="inlineStr">
        <is>
          <t>La Valle dei Mulini</t>
        </is>
      </c>
      <c r="C221" s="14" t="inlineStr">
        <is>
          <t>Noelia Blanco, Valeria Docampo</t>
        </is>
      </c>
      <c r="D221" s="14" t="inlineStr">
        <is>
          <t>L'Acchiappastorie – Albi illustrati</t>
        </is>
      </c>
      <c r="E221" s="14" t="inlineStr">
        <is>
          <t>albi illustrati (età indicativa)</t>
        </is>
      </c>
      <c r="F221" s="14" t="inlineStr">
        <is>
          <t>3-6 anni</t>
        </is>
      </c>
      <c r="G221" s="14" t="inlineStr">
        <is>
          <t>Albo illustrato</t>
        </is>
      </c>
      <c r="H221" s="14" t="inlineStr"/>
      <c r="I221" s="14" t="inlineStr">
        <is>
          <t>No</t>
        </is>
      </c>
      <c r="J221" s="14" t="inlineStr">
        <is>
          <t>Collana</t>
        </is>
      </c>
      <c r="K221" s="14" t="inlineStr">
        <is>
          <t>3-6 anni</t>
        </is>
      </c>
      <c r="L221" s="14" t="inlineStr">
        <is>
          <t>Catalogo Terre di Mezzo 1° semestre 2026, p. 33 (ISBN 9788861892675)</t>
        </is>
      </c>
      <c r="M221" s="16" t="n">
        <v>15</v>
      </c>
      <c r="N221" s="14" t="inlineStr">
        <is>
          <t>Catalogo Terre di Mezzo 1° semestre 2026</t>
        </is>
      </c>
      <c r="O221" s="16">
        <f>IF(ISNUMBER(M221),ROUND(M221*(1-Condizioni!$B$2),2),"")</f>
        <v/>
      </c>
      <c r="P221" s="17" t="inlineStr">
        <is>
          <t>No</t>
        </is>
      </c>
    </row>
    <row r="222">
      <c r="A222" s="14" t="inlineStr">
        <is>
          <t>Terre di Mezzo</t>
        </is>
      </c>
      <c r="B222" s="14" t="inlineStr">
        <is>
          <t>La Valle dei Mulini</t>
        </is>
      </c>
      <c r="C222" s="14" t="inlineStr">
        <is>
          <t>Noelia Blanco, Valeria Docampo</t>
        </is>
      </c>
      <c r="D222" s="14" t="inlineStr">
        <is>
          <t>L'Acchiappastorie – Albi illustrati</t>
        </is>
      </c>
      <c r="E222" s="14" t="inlineStr">
        <is>
          <t>albi illustrati (età indicativa)</t>
        </is>
      </c>
      <c r="F222" s="14" t="inlineStr">
        <is>
          <t>3-6 anni</t>
        </is>
      </c>
      <c r="G222" s="14" t="inlineStr">
        <is>
          <t>Albo illustrato</t>
        </is>
      </c>
      <c r="H222" s="14" t="inlineStr"/>
      <c r="I222" s="14" t="inlineStr">
        <is>
          <t>No</t>
        </is>
      </c>
      <c r="J222" s="14" t="inlineStr">
        <is>
          <t>Collana</t>
        </is>
      </c>
      <c r="K222" s="14" t="inlineStr">
        <is>
          <t>3-6 anni</t>
        </is>
      </c>
      <c r="L222" s="14" t="inlineStr">
        <is>
          <t>Catalogo Terre di Mezzo 1° semestre 2026, p. 33 (ISBN 9788861893528)</t>
        </is>
      </c>
      <c r="M222" s="16" t="n">
        <v>15</v>
      </c>
      <c r="N222" s="14" t="inlineStr">
        <is>
          <t>Catalogo Terre di Mezzo 1° semestre 2026</t>
        </is>
      </c>
      <c r="O222" s="16">
        <f>IF(ISNUMBER(M222),ROUND(M222*(1-Condizioni!$B$2),2),"")</f>
        <v/>
      </c>
      <c r="P222" s="17" t="inlineStr">
        <is>
          <t>No</t>
        </is>
      </c>
    </row>
    <row r="223">
      <c r="A223" s="14" t="inlineStr">
        <is>
          <t>Terre di Mezzo</t>
        </is>
      </c>
      <c r="B223" s="14" t="inlineStr">
        <is>
          <t>La bella addormentata</t>
        </is>
      </c>
      <c r="C223" s="14" t="inlineStr">
        <is>
          <t>The New York City Ballet, Valeria Docampo</t>
        </is>
      </c>
      <c r="D223" s="14" t="inlineStr">
        <is>
          <t>L'Acchiappastorie – Albi illustrati</t>
        </is>
      </c>
      <c r="E223" s="14" t="inlineStr">
        <is>
          <t>albi illustrati (età indicativa)</t>
        </is>
      </c>
      <c r="F223" s="14" t="inlineStr">
        <is>
          <t>3-6 anni</t>
        </is>
      </c>
      <c r="G223" s="14" t="inlineStr">
        <is>
          <t>Albo illustrato</t>
        </is>
      </c>
      <c r="H223" s="14" t="inlineStr"/>
      <c r="I223" s="14" t="inlineStr">
        <is>
          <t>No</t>
        </is>
      </c>
      <c r="J223" s="14" t="inlineStr">
        <is>
          <t>Collana</t>
        </is>
      </c>
      <c r="K223" s="14" t="inlineStr">
        <is>
          <t>3-6 anni</t>
        </is>
      </c>
      <c r="L223" s="14" t="inlineStr">
        <is>
          <t>Catalogo Terre di Mezzo 1° semestre 2026, p. 33 (ISBN 9788861894860)</t>
        </is>
      </c>
      <c r="M223" s="16" t="n">
        <v>15</v>
      </c>
      <c r="N223" s="14" t="inlineStr">
        <is>
          <t>Catalogo Terre di Mezzo 1° semestre 2026</t>
        </is>
      </c>
      <c r="O223" s="16">
        <f>IF(ISNUMBER(M223),ROUND(M223*(1-Condizioni!$B$2),2),"")</f>
        <v/>
      </c>
      <c r="P223" s="17" t="inlineStr">
        <is>
          <t>No</t>
        </is>
      </c>
    </row>
    <row r="224">
      <c r="A224" s="14" t="inlineStr">
        <is>
          <t>Terre di Mezzo</t>
        </is>
      </c>
      <c r="B224" s="14" t="inlineStr">
        <is>
          <t>La cosa più preziosa</t>
        </is>
      </c>
      <c r="C224" s="14" t="inlineStr">
        <is>
          <t>Victor D.O. Santos, Anna Forlati</t>
        </is>
      </c>
      <c r="D224" s="14" t="inlineStr">
        <is>
          <t>L'Acchiappastorie – Albi illustrati</t>
        </is>
      </c>
      <c r="E224" s="14" t="inlineStr">
        <is>
          <t>albi illustrati (età indicativa)</t>
        </is>
      </c>
      <c r="F224" s="14" t="inlineStr">
        <is>
          <t>3-6 anni</t>
        </is>
      </c>
      <c r="G224" s="14" t="inlineStr">
        <is>
          <t>Albo illustrato</t>
        </is>
      </c>
      <c r="H224" s="14" t="inlineStr"/>
      <c r="I224" s="14" t="inlineStr">
        <is>
          <t>No</t>
        </is>
      </c>
      <c r="J224" s="14" t="inlineStr">
        <is>
          <t>Collana</t>
        </is>
      </c>
      <c r="K224" s="14" t="inlineStr">
        <is>
          <t>3-6 anni</t>
        </is>
      </c>
      <c r="L224" s="14" t="inlineStr">
        <is>
          <t>Catalogo Terre di Mezzo 1° semestre 2026, p. 28 (ISBN 9791259961723)</t>
        </is>
      </c>
      <c r="M224" s="16" t="n">
        <v>16</v>
      </c>
      <c r="N224" s="14" t="inlineStr">
        <is>
          <t>Catalogo Terre di Mezzo 1° semestre 2026</t>
        </is>
      </c>
      <c r="O224" s="16">
        <f>IF(ISNUMBER(M224),ROUND(M224*(1-Condizioni!$B$2),2),"")</f>
        <v/>
      </c>
      <c r="P224" s="17" t="inlineStr">
        <is>
          <t>No</t>
        </is>
      </c>
    </row>
    <row r="225">
      <c r="A225" s="14" t="inlineStr">
        <is>
          <t>Terre di Mezzo</t>
        </is>
      </c>
      <c r="B225" s="14" t="inlineStr">
        <is>
          <t>La fata Sotto il letto</t>
        </is>
      </c>
      <c r="C225" s="14" t="inlineStr">
        <is>
          <t>Rosalinde Bonnet</t>
        </is>
      </c>
      <c r="D225" s="14" t="inlineStr">
        <is>
          <t>L'Acchiappastorie – Albi illustrati</t>
        </is>
      </c>
      <c r="E225" s="14" t="inlineStr">
        <is>
          <t>albi illustrati (età indicativa)</t>
        </is>
      </c>
      <c r="F225" s="14" t="inlineStr">
        <is>
          <t>3-6 anni</t>
        </is>
      </c>
      <c r="G225" s="14" t="inlineStr">
        <is>
          <t>Albo illustrato</t>
        </is>
      </c>
      <c r="H225" s="14" t="inlineStr"/>
      <c r="I225" s="14" t="inlineStr">
        <is>
          <t>No</t>
        </is>
      </c>
      <c r="J225" s="14" t="inlineStr">
        <is>
          <t>Collana</t>
        </is>
      </c>
      <c r="K225" s="14" t="inlineStr">
        <is>
          <t>3-6 anni</t>
        </is>
      </c>
      <c r="L225" s="14" t="inlineStr">
        <is>
          <t>Catalogo Terre di Mezzo 1° semestre 2026, p. 34 (ISBN 9788861897328)</t>
        </is>
      </c>
      <c r="M225" s="16" t="n">
        <v>15</v>
      </c>
      <c r="N225" s="14" t="inlineStr">
        <is>
          <t>Catalogo Terre di Mezzo 1° semestre 2026</t>
        </is>
      </c>
      <c r="O225" s="16">
        <f>IF(ISNUMBER(M225),ROUND(M225*(1-Condizioni!$B$2),2),"")</f>
        <v/>
      </c>
      <c r="P225" s="17" t="inlineStr">
        <is>
          <t>No</t>
        </is>
      </c>
    </row>
    <row r="226">
      <c r="A226" s="14" t="inlineStr">
        <is>
          <t>Terre di Mezzo</t>
        </is>
      </c>
      <c r="B226" s="14" t="inlineStr">
        <is>
          <t>La fata dell’acqua</t>
        </is>
      </c>
      <c r="C226" s="14" t="inlineStr">
        <is>
          <t>Heena Baek</t>
        </is>
      </c>
      <c r="D226" s="14" t="inlineStr">
        <is>
          <t>L'Acchiappastorie – Albi illustrati</t>
        </is>
      </c>
      <c r="E226" s="14" t="inlineStr">
        <is>
          <t>albi illustrati (età indicativa)</t>
        </is>
      </c>
      <c r="F226" s="14" t="inlineStr">
        <is>
          <t>3-6 anni</t>
        </is>
      </c>
      <c r="G226" s="14" t="inlineStr">
        <is>
          <t>Albo illustrato</t>
        </is>
      </c>
      <c r="H226" s="14" t="inlineStr"/>
      <c r="I226" s="14" t="inlineStr">
        <is>
          <t>No</t>
        </is>
      </c>
      <c r="J226" s="14" t="inlineStr">
        <is>
          <t>Collana</t>
        </is>
      </c>
      <c r="K226" s="14" t="inlineStr">
        <is>
          <t>3-6 anni</t>
        </is>
      </c>
      <c r="L226" s="14" t="inlineStr">
        <is>
          <t>Catalogo Terre di Mezzo 1° semestre 2026, p. 20 (ISBN 9791259961808)</t>
        </is>
      </c>
      <c r="M226" s="16" t="n">
        <v>16</v>
      </c>
      <c r="N226" s="14" t="inlineStr">
        <is>
          <t>Catalogo Terre di Mezzo 1° semestre 2026</t>
        </is>
      </c>
      <c r="O226" s="16">
        <f>IF(ISNUMBER(M226),ROUND(M226*(1-Condizioni!$B$2),2),"")</f>
        <v/>
      </c>
      <c r="P226" s="17" t="inlineStr">
        <is>
          <t>No</t>
        </is>
      </c>
    </row>
    <row r="227">
      <c r="A227" s="14" t="inlineStr">
        <is>
          <t>Terre di Mezzo</t>
        </is>
      </c>
      <c r="B227" s="14" t="inlineStr">
        <is>
          <t>La felicità segreta degli gnomi</t>
        </is>
      </c>
      <c r="C227" s="14" t="inlineStr">
        <is>
          <t>Lauren Soloy</t>
        </is>
      </c>
      <c r="D227" s="14" t="inlineStr">
        <is>
          <t>L'Acchiappastorie – Albi illustrati</t>
        </is>
      </c>
      <c r="E227" s="14" t="inlineStr">
        <is>
          <t>albi illustrati (età indicativa)</t>
        </is>
      </c>
      <c r="F227" s="14" t="inlineStr">
        <is>
          <t>3-6 anni</t>
        </is>
      </c>
      <c r="G227" s="14" t="inlineStr">
        <is>
          <t>Albo illustrato</t>
        </is>
      </c>
      <c r="H227" s="14" t="inlineStr"/>
      <c r="I227" s="14" t="inlineStr">
        <is>
          <t>No</t>
        </is>
      </c>
      <c r="J227" s="14" t="inlineStr">
        <is>
          <t>Collana</t>
        </is>
      </c>
      <c r="K227" s="14" t="inlineStr">
        <is>
          <t>3-6 anni</t>
        </is>
      </c>
      <c r="L227" s="14" t="inlineStr">
        <is>
          <t>Catalogo Terre di Mezzo 1° semestre 2026, p. 24 (ISBN 9791259961716)</t>
        </is>
      </c>
      <c r="M227" s="16" t="n">
        <v>15</v>
      </c>
      <c r="N227" s="14" t="inlineStr">
        <is>
          <t>Catalogo Terre di Mezzo 1° semestre 2026</t>
        </is>
      </c>
      <c r="O227" s="16">
        <f>IF(ISNUMBER(M227),ROUND(M227*(1-Condizioni!$B$2),2),"")</f>
        <v/>
      </c>
      <c r="P227" s="17" t="inlineStr">
        <is>
          <t>No</t>
        </is>
      </c>
    </row>
    <row r="228">
      <c r="A228" s="14" t="inlineStr">
        <is>
          <t>Terre di Mezzo</t>
        </is>
      </c>
      <c r="B228" s="14" t="inlineStr">
        <is>
          <t>La grande fabbrica delle parole</t>
        </is>
      </c>
      <c r="C228" s="14" t="inlineStr">
        <is>
          <t>Agnès de Lestrade, Valeria Docampo</t>
        </is>
      </c>
      <c r="D228" s="14" t="inlineStr">
        <is>
          <t>L'Acchiappastorie – Albi illustrati</t>
        </is>
      </c>
      <c r="E228" s="14" t="inlineStr">
        <is>
          <t>albi illustrati (età indicativa)</t>
        </is>
      </c>
      <c r="F228" s="14" t="inlineStr">
        <is>
          <t>3-6 anni</t>
        </is>
      </c>
      <c r="G228" s="14" t="inlineStr">
        <is>
          <t>Albo illustrato</t>
        </is>
      </c>
      <c r="H228" s="14" t="inlineStr"/>
      <c r="I228" s="14" t="inlineStr">
        <is>
          <t>No</t>
        </is>
      </c>
      <c r="J228" s="14" t="inlineStr">
        <is>
          <t>Collana</t>
        </is>
      </c>
      <c r="K228" s="14" t="inlineStr">
        <is>
          <t>3-6 anni</t>
        </is>
      </c>
      <c r="L228" s="14" t="inlineStr">
        <is>
          <t>Catalogo Terre di Mezzo 1° semestre 2026, p. 32 (ISBN 9791259962959)</t>
        </is>
      </c>
      <c r="M228" s="16" t="n">
        <v>18</v>
      </c>
      <c r="N228" s="14" t="inlineStr">
        <is>
          <t>Catalogo Terre di Mezzo 1° semestre 2026</t>
        </is>
      </c>
      <c r="O228" s="16">
        <f>IF(ISNUMBER(M228),ROUND(M228*(1-Condizioni!$B$2),2),"")</f>
        <v/>
      </c>
      <c r="P228" s="17" t="inlineStr">
        <is>
          <t>Sì</t>
        </is>
      </c>
    </row>
    <row r="229">
      <c r="A229" s="14" t="inlineStr">
        <is>
          <t>Terre di Mezzo</t>
        </is>
      </c>
      <c r="B229" s="14" t="inlineStr">
        <is>
          <t>La grande fabbrica delle parole</t>
        </is>
      </c>
      <c r="C229" s="14" t="inlineStr">
        <is>
          <t>Agnès de Lestrade, Valeria Docampo</t>
        </is>
      </c>
      <c r="D229" s="14" t="inlineStr">
        <is>
          <t>L'Acchiappastorie – Albi illustrati</t>
        </is>
      </c>
      <c r="E229" s="14" t="inlineStr">
        <is>
          <t>albi illustrati (età indicativa)</t>
        </is>
      </c>
      <c r="F229" s="14" t="inlineStr">
        <is>
          <t>3-6 anni</t>
        </is>
      </c>
      <c r="G229" s="14" t="inlineStr">
        <is>
          <t>Albo illustrato</t>
        </is>
      </c>
      <c r="H229" s="14" t="inlineStr"/>
      <c r="I229" s="14" t="inlineStr">
        <is>
          <t>No</t>
        </is>
      </c>
      <c r="J229" s="14" t="inlineStr">
        <is>
          <t>Collana</t>
        </is>
      </c>
      <c r="K229" s="14" t="inlineStr">
        <is>
          <t>3-6 anni</t>
        </is>
      </c>
      <c r="L229" s="14" t="inlineStr">
        <is>
          <t>Catalogo Terre di Mezzo 1° semestre 2026, p. 32 (ISBN 9788867891555)</t>
        </is>
      </c>
      <c r="M229" s="16" t="n">
        <v>18</v>
      </c>
      <c r="N229" s="14" t="inlineStr">
        <is>
          <t>Catalogo Terre di Mezzo 1° semestre 2026</t>
        </is>
      </c>
      <c r="O229" s="16">
        <f>IF(ISNUMBER(M229),ROUND(M229*(1-Condizioni!$B$2),2),"")</f>
        <v/>
      </c>
      <c r="P229" s="17" t="inlineStr">
        <is>
          <t>Sì</t>
        </is>
      </c>
    </row>
    <row r="230">
      <c r="A230" s="14" t="inlineStr">
        <is>
          <t>Terre di Mezzo</t>
        </is>
      </c>
      <c r="B230" s="14" t="inlineStr">
        <is>
          <t>La libertà del polpo</t>
        </is>
      </c>
      <c r="C230" s="14" t="inlineStr">
        <is>
          <t>Maile Meloy, Felicita Sala</t>
        </is>
      </c>
      <c r="D230" s="14" t="inlineStr">
        <is>
          <t>L'Acchiappastorie – Albi illustrati</t>
        </is>
      </c>
      <c r="E230" s="14" t="inlineStr">
        <is>
          <t>albi illustrati (età indicativa)</t>
        </is>
      </c>
      <c r="F230" s="14" t="inlineStr">
        <is>
          <t>3-6 anni</t>
        </is>
      </c>
      <c r="G230" s="14" t="inlineStr">
        <is>
          <t>Albo illustrato</t>
        </is>
      </c>
      <c r="H230" s="14" t="inlineStr"/>
      <c r="I230" s="14" t="inlineStr">
        <is>
          <t>No</t>
        </is>
      </c>
      <c r="J230" s="14" t="inlineStr">
        <is>
          <t>Collana</t>
        </is>
      </c>
      <c r="K230" s="14" t="inlineStr">
        <is>
          <t>3-6 anni</t>
        </is>
      </c>
      <c r="L230" s="14" t="inlineStr">
        <is>
          <t>Catalogo Terre di Mezzo 1° semestre 2026, p. 15 (ISBN 9788861897540)</t>
        </is>
      </c>
      <c r="M230" s="16" t="n">
        <v>16</v>
      </c>
      <c r="N230" s="14" t="inlineStr">
        <is>
          <t>Catalogo Terre di Mezzo 1° semestre 2026</t>
        </is>
      </c>
      <c r="O230" s="16">
        <f>IF(ISNUMBER(M230),ROUND(M230*(1-Condizioni!$B$2),2),"")</f>
        <v/>
      </c>
      <c r="P230" s="17" t="inlineStr">
        <is>
          <t>Sì</t>
        </is>
      </c>
    </row>
    <row r="231">
      <c r="A231" s="14" t="inlineStr">
        <is>
          <t>Terre di Mezzo</t>
        </is>
      </c>
      <c r="B231" s="14" t="inlineStr">
        <is>
          <t>La litigata</t>
        </is>
      </c>
      <c r="C231" s="14" t="inlineStr">
        <is>
          <t>Victoria Scoffier, Alain Laboile</t>
        </is>
      </c>
      <c r="D231" s="14" t="inlineStr">
        <is>
          <t>L'Acchiappastorie – Albi illustrati</t>
        </is>
      </c>
      <c r="E231" s="14" t="inlineStr">
        <is>
          <t>albi illustrati (età indicativa)</t>
        </is>
      </c>
      <c r="F231" s="14" t="inlineStr">
        <is>
          <t>3-6 anni</t>
        </is>
      </c>
      <c r="G231" s="14" t="inlineStr">
        <is>
          <t>Albo illustrato</t>
        </is>
      </c>
      <c r="H231" s="14" t="inlineStr"/>
      <c r="I231" s="14" t="inlineStr">
        <is>
          <t>No</t>
        </is>
      </c>
      <c r="J231" s="14" t="inlineStr">
        <is>
          <t>Collana</t>
        </is>
      </c>
      <c r="K231" s="14" t="inlineStr">
        <is>
          <t>3-6 anni</t>
        </is>
      </c>
      <c r="L231" s="14" t="inlineStr">
        <is>
          <t>Catalogo Terre di Mezzo 1° semestre 2026, p. 26 (ISBN 9791259962249)</t>
        </is>
      </c>
      <c r="M231" s="16" t="n">
        <v>18</v>
      </c>
      <c r="N231" s="14" t="inlineStr">
        <is>
          <t>Catalogo Terre di Mezzo 1° semestre 2026</t>
        </is>
      </c>
      <c r="O231" s="16">
        <f>IF(ISNUMBER(M231),ROUND(M231*(1-Condizioni!$B$2),2),"")</f>
        <v/>
      </c>
      <c r="P231" s="17" t="inlineStr">
        <is>
          <t>No</t>
        </is>
      </c>
    </row>
    <row r="232">
      <c r="A232" s="14" t="inlineStr">
        <is>
          <t>Terre di Mezzo</t>
        </is>
      </c>
      <c r="B232" s="14" t="inlineStr">
        <is>
          <t>La lucina di James</t>
        </is>
      </c>
      <c r="C232" s="14" t="inlineStr">
        <is>
          <t>Richard Jones</t>
        </is>
      </c>
      <c r="D232" s="14" t="inlineStr">
        <is>
          <t>L'Acchiappastorie – Albi illustrati</t>
        </is>
      </c>
      <c r="E232" s="14" t="inlineStr">
        <is>
          <t>albi illustrati (età indicativa)</t>
        </is>
      </c>
      <c r="F232" s="14" t="inlineStr">
        <is>
          <t>3-6 anni</t>
        </is>
      </c>
      <c r="G232" s="14" t="inlineStr">
        <is>
          <t>Albo illustrato</t>
        </is>
      </c>
      <c r="H232" s="14" t="inlineStr"/>
      <c r="I232" s="14" t="inlineStr">
        <is>
          <t>No</t>
        </is>
      </c>
      <c r="J232" s="14" t="inlineStr">
        <is>
          <t>Collana</t>
        </is>
      </c>
      <c r="K232" s="14" t="inlineStr">
        <is>
          <t>3-6 anni</t>
        </is>
      </c>
      <c r="L232" s="14" t="inlineStr">
        <is>
          <t>Catalogo Terre di Mezzo 1° semestre 2026, p. 18 (ISBN 9791259962904)</t>
        </is>
      </c>
      <c r="M232" s="16" t="n">
        <v>16</v>
      </c>
      <c r="N232" s="14" t="inlineStr">
        <is>
          <t>Catalogo Terre di Mezzo 1° semestre 2026</t>
        </is>
      </c>
      <c r="O232" s="16">
        <f>IF(ISNUMBER(M232),ROUND(M232*(1-Condizioni!$B$2),2),"")</f>
        <v/>
      </c>
      <c r="P232" s="17" t="inlineStr">
        <is>
          <t>No</t>
        </is>
      </c>
    </row>
    <row r="233">
      <c r="A233" s="14" t="inlineStr">
        <is>
          <t>Terre di Mezzo</t>
        </is>
      </c>
      <c r="B233" s="14" t="inlineStr">
        <is>
          <t>La migliore amica dei sentimenti</t>
        </is>
      </c>
      <c r="C233" s="14" t="inlineStr">
        <is>
          <t>Tina Oziewicz, Aleksandra Zając</t>
        </is>
      </c>
      <c r="D233" s="14" t="inlineStr">
        <is>
          <t>L'Acchiappastorie – Albi illustrati</t>
        </is>
      </c>
      <c r="E233" s="14" t="inlineStr">
        <is>
          <t>albi illustrati (età indicativa)</t>
        </is>
      </c>
      <c r="F233" s="14" t="inlineStr">
        <is>
          <t>3-6 anni</t>
        </is>
      </c>
      <c r="G233" s="14" t="inlineStr">
        <is>
          <t>Albo illustrato</t>
        </is>
      </c>
      <c r="H233" s="14" t="inlineStr"/>
      <c r="I233" s="14" t="inlineStr">
        <is>
          <t>No</t>
        </is>
      </c>
      <c r="J233" s="14" t="inlineStr">
        <is>
          <t>Collana</t>
        </is>
      </c>
      <c r="K233" s="14" t="inlineStr">
        <is>
          <t>3-6 anni</t>
        </is>
      </c>
      <c r="L233" s="14" t="inlineStr">
        <is>
          <t>Catalogo Terre di Mezzo 1° semestre 2026, p. 19 (ISBN 9791259963673)</t>
        </is>
      </c>
      <c r="M233" s="16" t="n">
        <v>16</v>
      </c>
      <c r="N233" s="14" t="inlineStr">
        <is>
          <t>Catalogo Terre di Mezzo 1° semestre 2026</t>
        </is>
      </c>
      <c r="O233" s="16">
        <f>IF(ISNUMBER(M233),ROUND(M233*(1-Condizioni!$B$2),2),"")</f>
        <v/>
      </c>
      <c r="P233" s="17" t="inlineStr">
        <is>
          <t>No</t>
        </is>
      </c>
    </row>
    <row r="234">
      <c r="A234" s="14" t="inlineStr">
        <is>
          <t>Terre di Mezzo</t>
        </is>
      </c>
      <c r="B234" s="14" t="inlineStr">
        <is>
          <t>La pazienza ama le fragole</t>
        </is>
      </c>
      <c r="C234" s="14" t="inlineStr">
        <is>
          <t>Tina Oziewicz, Aleksandra Zając</t>
        </is>
      </c>
      <c r="D234" s="14" t="inlineStr">
        <is>
          <t>L'Acchiappastorie – Albi illustrati</t>
        </is>
      </c>
      <c r="E234" s="14" t="inlineStr">
        <is>
          <t>albi illustrati (età indicativa)</t>
        </is>
      </c>
      <c r="F234" s="14" t="inlineStr">
        <is>
          <t>3-6 anni</t>
        </is>
      </c>
      <c r="G234" s="14" t="inlineStr">
        <is>
          <t>Albo illustrato</t>
        </is>
      </c>
      <c r="H234" s="14" t="inlineStr"/>
      <c r="I234" s="14" t="inlineStr">
        <is>
          <t>No</t>
        </is>
      </c>
      <c r="J234" s="14" t="inlineStr">
        <is>
          <t>Collana</t>
        </is>
      </c>
      <c r="K234" s="14" t="inlineStr">
        <is>
          <t>3-6 anni</t>
        </is>
      </c>
      <c r="L234" s="14" t="inlineStr">
        <is>
          <t>Catalogo Terre di Mezzo 1° semestre 2026, p. 19 (ISBN 9791259961341)</t>
        </is>
      </c>
      <c r="M234" s="16" t="n">
        <v>16</v>
      </c>
      <c r="N234" s="14" t="inlineStr">
        <is>
          <t>Catalogo Terre di Mezzo 1° semestre 2026</t>
        </is>
      </c>
      <c r="O234" s="16">
        <f>IF(ISNUMBER(M234),ROUND(M234*(1-Condizioni!$B$2),2),"")</f>
        <v/>
      </c>
      <c r="P234" s="17" t="inlineStr">
        <is>
          <t>No</t>
        </is>
      </c>
    </row>
    <row r="235">
      <c r="A235" s="14" t="inlineStr">
        <is>
          <t>Terre di Mezzo</t>
        </is>
      </c>
      <c r="B235" s="14" t="inlineStr">
        <is>
          <t>La piccola tessitrice di nebbia</t>
        </is>
      </c>
      <c r="C235" s="14" t="inlineStr">
        <is>
          <t>Agnès de Lestrade, Valeria Docampo</t>
        </is>
      </c>
      <c r="D235" s="14" t="inlineStr">
        <is>
          <t>L'Acchiappastorie – Albi illustrati</t>
        </is>
      </c>
      <c r="E235" s="14" t="inlineStr">
        <is>
          <t>albi illustrati (età indicativa)</t>
        </is>
      </c>
      <c r="F235" s="14" t="inlineStr">
        <is>
          <t>3-6 anni</t>
        </is>
      </c>
      <c r="G235" s="14" t="inlineStr">
        <is>
          <t>Albo illustrato</t>
        </is>
      </c>
      <c r="H235" s="14" t="inlineStr"/>
      <c r="I235" s="14" t="inlineStr">
        <is>
          <t>No</t>
        </is>
      </c>
      <c r="J235" s="14" t="inlineStr">
        <is>
          <t>Collana</t>
        </is>
      </c>
      <c r="K235" s="14" t="inlineStr">
        <is>
          <t>3-6 anni</t>
        </is>
      </c>
      <c r="L235" s="14" t="inlineStr">
        <is>
          <t>Catalogo Terre di Mezzo 1° semestre 2026, p. 34 (ISBN 9788861895041)</t>
        </is>
      </c>
      <c r="M235" s="16" t="n">
        <v>18</v>
      </c>
      <c r="N235" s="14" t="inlineStr">
        <is>
          <t>Catalogo Terre di Mezzo 1° semestre 2026</t>
        </is>
      </c>
      <c r="O235" s="16">
        <f>IF(ISNUMBER(M235),ROUND(M235*(1-Condizioni!$B$2),2),"")</f>
        <v/>
      </c>
      <c r="P235" s="17" t="inlineStr">
        <is>
          <t>No</t>
        </is>
      </c>
    </row>
    <row r="236">
      <c r="A236" s="14" t="inlineStr">
        <is>
          <t>Terre di Mezzo</t>
        </is>
      </c>
      <c r="B236" s="14" t="inlineStr">
        <is>
          <t>La più grande cena mai vista</t>
        </is>
      </c>
      <c r="C236" s="14" t="inlineStr">
        <is>
          <t>Dario Pomodoro, Lorenzo Sangiò</t>
        </is>
      </c>
      <c r="D236" s="14" t="inlineStr">
        <is>
          <t>L'Acchiappastorie – Albi illustrati</t>
        </is>
      </c>
      <c r="E236" s="14" t="inlineStr">
        <is>
          <t>albi illustrati (età indicativa)</t>
        </is>
      </c>
      <c r="F236" s="14" t="inlineStr">
        <is>
          <t>3-6 anni</t>
        </is>
      </c>
      <c r="G236" s="14" t="inlineStr">
        <is>
          <t>Albo illustrato</t>
        </is>
      </c>
      <c r="H236" s="14" t="inlineStr"/>
      <c r="I236" s="14" t="inlineStr">
        <is>
          <t>No</t>
        </is>
      </c>
      <c r="J236" s="14" t="inlineStr">
        <is>
          <t>Collana</t>
        </is>
      </c>
      <c r="K236" s="14" t="inlineStr">
        <is>
          <t>3-6 anni</t>
        </is>
      </c>
      <c r="L236" s="14" t="inlineStr">
        <is>
          <t>Catalogo Terre di Mezzo 1° semestre 2026, p. 9 (ISBN 9791259961846)</t>
        </is>
      </c>
      <c r="M236" s="16" t="n">
        <v>16</v>
      </c>
      <c r="N236" s="14" t="inlineStr">
        <is>
          <t>Catalogo Terre di Mezzo 1° semestre 2026</t>
        </is>
      </c>
      <c r="O236" s="16">
        <f>IF(ISNUMBER(M236),ROUND(M236*(1-Condizioni!$B$2),2),"")</f>
        <v/>
      </c>
      <c r="P236" s="17" t="inlineStr">
        <is>
          <t>No</t>
        </is>
      </c>
    </row>
    <row r="237">
      <c r="A237" s="14" t="inlineStr">
        <is>
          <t>Terre di Mezzo</t>
        </is>
      </c>
      <c r="B237" s="14" t="inlineStr">
        <is>
          <t>La regina dei colori</t>
        </is>
      </c>
      <c r="C237" s="14" t="inlineStr">
        <is>
          <t>Jutta Bauer</t>
        </is>
      </c>
      <c r="D237" s="14" t="inlineStr">
        <is>
          <t>L'Acchiappastorie – Albi illustrati</t>
        </is>
      </c>
      <c r="E237" s="14" t="inlineStr">
        <is>
          <t>albi illustrati (età indicativa)</t>
        </is>
      </c>
      <c r="F237" s="14" t="inlineStr">
        <is>
          <t>3-6 anni</t>
        </is>
      </c>
      <c r="G237" s="14" t="inlineStr">
        <is>
          <t>Albo illustrato</t>
        </is>
      </c>
      <c r="H237" s="14" t="inlineStr"/>
      <c r="I237" s="14" t="inlineStr">
        <is>
          <t>No</t>
        </is>
      </c>
      <c r="J237" s="14" t="inlineStr">
        <is>
          <t>Collana</t>
        </is>
      </c>
      <c r="K237" s="14" t="inlineStr">
        <is>
          <t>3-6 anni</t>
        </is>
      </c>
      <c r="L237" s="14" t="inlineStr">
        <is>
          <t>Catalogo Terre di Mezzo 1° semestre 2026, p. 31 (ISBN 9791259960283)</t>
        </is>
      </c>
      <c r="M237" s="16" t="n">
        <v>12</v>
      </c>
      <c r="N237" s="14" t="inlineStr">
        <is>
          <t>Catalogo Terre di Mezzo 1° semestre 2026</t>
        </is>
      </c>
      <c r="O237" s="16">
        <f>IF(ISNUMBER(M237),ROUND(M237*(1-Condizioni!$B$2),2),"")</f>
        <v/>
      </c>
      <c r="P237" s="17" t="inlineStr">
        <is>
          <t>No</t>
        </is>
      </c>
    </row>
    <row r="238">
      <c r="A238" s="14" t="inlineStr">
        <is>
          <t>Terre di Mezzo</t>
        </is>
      </c>
      <c r="B238" s="14" t="inlineStr">
        <is>
          <t>La vera storia della Strega Cattiva</t>
        </is>
      </c>
      <c r="C238" s="14" t="inlineStr">
        <is>
          <t>Luca Tortolini, Maja Celija</t>
        </is>
      </c>
      <c r="D238" s="14" t="inlineStr">
        <is>
          <t>L'Acchiappastorie – Albi illustrati</t>
        </is>
      </c>
      <c r="E238" s="14" t="inlineStr">
        <is>
          <t>albi illustrati (età indicativa)</t>
        </is>
      </c>
      <c r="F238" s="14" t="inlineStr">
        <is>
          <t>3-6 anni</t>
        </is>
      </c>
      <c r="G238" s="14" t="inlineStr">
        <is>
          <t>Albo illustrato</t>
        </is>
      </c>
      <c r="H238" s="14" t="inlineStr"/>
      <c r="I238" s="14" t="inlineStr">
        <is>
          <t>No</t>
        </is>
      </c>
      <c r="J238" s="14" t="inlineStr">
        <is>
          <t>Collana</t>
        </is>
      </c>
      <c r="K238" s="14" t="inlineStr">
        <is>
          <t>3-6 anni</t>
        </is>
      </c>
      <c r="L238" s="14" t="inlineStr">
        <is>
          <t>Catalogo Terre di Mezzo 1° semestre 2026, p. 12 (ISBN 9791259960122)</t>
        </is>
      </c>
      <c r="M238" s="16" t="n">
        <v>15</v>
      </c>
      <c r="N238" s="14" t="inlineStr">
        <is>
          <t>Catalogo Terre di Mezzo 1° semestre 2026</t>
        </is>
      </c>
      <c r="O238" s="16">
        <f>IF(ISNUMBER(M238),ROUND(M238*(1-Condizioni!$B$2),2),"")</f>
        <v/>
      </c>
      <c r="P238" s="17" t="inlineStr">
        <is>
          <t>Sì</t>
        </is>
      </c>
    </row>
    <row r="239">
      <c r="A239" s="14" t="inlineStr">
        <is>
          <t>Terre di Mezzo</t>
        </is>
      </c>
      <c r="B239" s="14" t="inlineStr">
        <is>
          <t>Le caramelle magiche</t>
        </is>
      </c>
      <c r="C239" s="14" t="inlineStr">
        <is>
          <t>Heena Baek</t>
        </is>
      </c>
      <c r="D239" s="14" t="inlineStr">
        <is>
          <t>L'Acchiappastorie – Albi illustrati</t>
        </is>
      </c>
      <c r="E239" s="14" t="inlineStr">
        <is>
          <t>albi illustrati (età indicativa)</t>
        </is>
      </c>
      <c r="F239" s="14" t="inlineStr">
        <is>
          <t>3-6 anni</t>
        </is>
      </c>
      <c r="G239" s="14" t="inlineStr">
        <is>
          <t>Albo illustrato</t>
        </is>
      </c>
      <c r="H239" s="14" t="inlineStr"/>
      <c r="I239" s="14" t="inlineStr">
        <is>
          <t>No</t>
        </is>
      </c>
      <c r="J239" s="14" t="inlineStr">
        <is>
          <t>Collana</t>
        </is>
      </c>
      <c r="K239" s="14" t="inlineStr">
        <is>
          <t>3-6 anni</t>
        </is>
      </c>
      <c r="L239" s="14" t="inlineStr">
        <is>
          <t>Catalogo Terre di Mezzo 1° semestre 2026, p. 20 (ISBN 9791259961037)</t>
        </is>
      </c>
      <c r="M239" s="16" t="n">
        <v>16</v>
      </c>
      <c r="N239" s="14" t="inlineStr">
        <is>
          <t>Catalogo Terre di Mezzo 1° semestre 2026</t>
        </is>
      </c>
      <c r="O239" s="16">
        <f>IF(ISNUMBER(M239),ROUND(M239*(1-Condizioni!$B$2),2),"")</f>
        <v/>
      </c>
      <c r="P239" s="17" t="inlineStr">
        <is>
          <t>No</t>
        </is>
      </c>
    </row>
    <row r="240">
      <c r="A240" s="14" t="inlineStr">
        <is>
          <t>Terre di Mezzo</t>
        </is>
      </c>
      <c r="B240" s="14" t="inlineStr">
        <is>
          <t>Le domande di Pomelo</t>
        </is>
      </c>
      <c r="C240" s="14" t="inlineStr">
        <is>
          <t>Ramona Bădescu, Benjamin Chaud</t>
        </is>
      </c>
      <c r="D240" s="14" t="inlineStr">
        <is>
          <t>L'Acchiappastorie – Albi illustrati</t>
        </is>
      </c>
      <c r="E240" s="14" t="inlineStr">
        <is>
          <t>albi illustrati (età indicativa)</t>
        </is>
      </c>
      <c r="F240" s="14" t="inlineStr">
        <is>
          <t>3-6 anni</t>
        </is>
      </c>
      <c r="G240" s="14" t="inlineStr">
        <is>
          <t>Albo illustrato</t>
        </is>
      </c>
      <c r="H240" s="14" t="inlineStr"/>
      <c r="I240" s="14" t="inlineStr">
        <is>
          <t>No</t>
        </is>
      </c>
      <c r="J240" s="14" t="inlineStr">
        <is>
          <t>Collana</t>
        </is>
      </c>
      <c r="K240" s="14" t="inlineStr">
        <is>
          <t>3-6 anni</t>
        </is>
      </c>
      <c r="L240" s="14" t="inlineStr">
        <is>
          <t>Catalogo Terre di Mezzo 1° semestre 2026, p. 37 (ISBN 9788861897199)</t>
        </is>
      </c>
      <c r="M240" s="16" t="n">
        <v>12</v>
      </c>
      <c r="N240" s="14" t="inlineStr">
        <is>
          <t>Catalogo Terre di Mezzo 1° semestre 2026</t>
        </is>
      </c>
      <c r="O240" s="16">
        <f>IF(ISNUMBER(M240),ROUND(M240*(1-Condizioni!$B$2),2),"")</f>
        <v/>
      </c>
      <c r="P240" s="17" t="inlineStr">
        <is>
          <t>No</t>
        </is>
      </c>
    </row>
    <row r="241">
      <c r="A241" s="14" t="inlineStr">
        <is>
          <t>Terre di Mezzo</t>
        </is>
      </c>
      <c r="B241" s="14" t="inlineStr">
        <is>
          <t>Le persone sono strane</t>
        </is>
      </c>
      <c r="C241" s="14" t="inlineStr">
        <is>
          <t>Victor D.O. Santos, Catarina Sobral</t>
        </is>
      </c>
      <c r="D241" s="14" t="inlineStr">
        <is>
          <t>L'Acchiappastorie – Albi illustrati</t>
        </is>
      </c>
      <c r="E241" s="14" t="inlineStr">
        <is>
          <t>albi illustrati (età indicativa)</t>
        </is>
      </c>
      <c r="F241" s="14" t="inlineStr">
        <is>
          <t>3-6 anni</t>
        </is>
      </c>
      <c r="G241" s="14" t="inlineStr">
        <is>
          <t>Albo illustrato</t>
        </is>
      </c>
      <c r="H241" s="14" t="inlineStr"/>
      <c r="I241" s="14" t="inlineStr">
        <is>
          <t>No</t>
        </is>
      </c>
      <c r="J241" s="14" t="inlineStr">
        <is>
          <t>Collana</t>
        </is>
      </c>
      <c r="K241" s="14" t="inlineStr">
        <is>
          <t>3-6 anni</t>
        </is>
      </c>
      <c r="L241" s="14" t="inlineStr">
        <is>
          <t>Catalogo Terre di Mezzo 1° semestre 2026, p. 12 (ISBN 9791259963581)</t>
        </is>
      </c>
      <c r="M241" s="16" t="n">
        <v>16</v>
      </c>
      <c r="N241" s="14" t="inlineStr">
        <is>
          <t>Catalogo Terre di Mezzo 1° semestre 2026</t>
        </is>
      </c>
      <c r="O241" s="16">
        <f>IF(ISNUMBER(M241),ROUND(M241*(1-Condizioni!$B$2),2),"")</f>
        <v/>
      </c>
      <c r="P241" s="17" t="inlineStr">
        <is>
          <t>Sì</t>
        </is>
      </c>
    </row>
    <row r="242">
      <c r="A242" s="14" t="inlineStr">
        <is>
          <t>Terre di Mezzo</t>
        </is>
      </c>
      <c r="B242" s="14" t="inlineStr">
        <is>
          <t>Le ridarelle. gita al lago</t>
        </is>
      </c>
      <c r="C242" s="14" t="inlineStr">
        <is>
          <t>Emma Lidia Squillari, Giuditta Campello</t>
        </is>
      </c>
      <c r="D242" s="14" t="inlineStr">
        <is>
          <t>L'Acchiappastorie – Albi illustrati</t>
        </is>
      </c>
      <c r="E242" s="14" t="inlineStr">
        <is>
          <t>albi illustrati (età indicativa)</t>
        </is>
      </c>
      <c r="F242" s="14" t="inlineStr">
        <is>
          <t>3-6 anni</t>
        </is>
      </c>
      <c r="G242" s="14" t="inlineStr">
        <is>
          <t>Albo illustrato</t>
        </is>
      </c>
      <c r="H242" s="14" t="inlineStr"/>
      <c r="I242" s="14" t="inlineStr">
        <is>
          <t>No</t>
        </is>
      </c>
      <c r="J242" s="14" t="inlineStr">
        <is>
          <t>Collana</t>
        </is>
      </c>
      <c r="K242" s="14" t="inlineStr">
        <is>
          <t>3-6 anni</t>
        </is>
      </c>
      <c r="L242" s="14" t="inlineStr">
        <is>
          <t>Catalogo Terre di Mezzo 1° semestre 2026, p. 13 (ISBN 9791259962263)</t>
        </is>
      </c>
      <c r="M242" s="16" t="n">
        <v>14</v>
      </c>
      <c r="N242" s="14" t="inlineStr">
        <is>
          <t>Catalogo Terre di Mezzo 1° semestre 2026</t>
        </is>
      </c>
      <c r="O242" s="16">
        <f>IF(ISNUMBER(M242),ROUND(M242*(1-Condizioni!$B$2),2),"")</f>
        <v/>
      </c>
      <c r="P242" s="17" t="inlineStr">
        <is>
          <t>No</t>
        </is>
      </c>
    </row>
    <row r="243">
      <c r="A243" s="14" t="inlineStr">
        <is>
          <t>Terre di Mezzo</t>
        </is>
      </c>
      <c r="B243" s="14" t="inlineStr">
        <is>
          <t>Le ridarelle. un pomeriggio da brivido</t>
        </is>
      </c>
      <c r="C243" s="14" t="inlineStr">
        <is>
          <t>Emma Lidia Squillari, Giuditta Campello</t>
        </is>
      </c>
      <c r="D243" s="14" t="inlineStr">
        <is>
          <t>L'Acchiappastorie – Albi illustrati</t>
        </is>
      </c>
      <c r="E243" s="14" t="inlineStr">
        <is>
          <t>albi illustrati (età indicativa)</t>
        </is>
      </c>
      <c r="F243" s="14" t="inlineStr">
        <is>
          <t>3-6 anni</t>
        </is>
      </c>
      <c r="G243" s="14" t="inlineStr">
        <is>
          <t>Albo illustrato</t>
        </is>
      </c>
      <c r="H243" s="14" t="inlineStr"/>
      <c r="I243" s="14" t="inlineStr">
        <is>
          <t>No</t>
        </is>
      </c>
      <c r="J243" s="14" t="inlineStr">
        <is>
          <t>Collana</t>
        </is>
      </c>
      <c r="K243" s="14" t="inlineStr">
        <is>
          <t>3-6 anni</t>
        </is>
      </c>
      <c r="L243" s="14" t="inlineStr">
        <is>
          <t>Catalogo Terre di Mezzo 1° semestre 2026, p. 13 (ISBN 9791259962348)</t>
        </is>
      </c>
      <c r="M243" s="16" t="n">
        <v>14</v>
      </c>
      <c r="N243" s="14" t="inlineStr">
        <is>
          <t>Catalogo Terre di Mezzo 1° semestre 2026</t>
        </is>
      </c>
      <c r="O243" s="16">
        <f>IF(ISNUMBER(M243),ROUND(M243*(1-Condizioni!$B$2),2),"")</f>
        <v/>
      </c>
      <c r="P243" s="17" t="inlineStr">
        <is>
          <t>No</t>
        </is>
      </c>
    </row>
    <row r="244">
      <c r="A244" s="14" t="inlineStr">
        <is>
          <t>Terre di Mezzo</t>
        </is>
      </c>
      <c r="B244" s="14" t="inlineStr">
        <is>
          <t>Leo. una storia di fantasmi</t>
        </is>
      </c>
      <c r="C244" s="14" t="inlineStr">
        <is>
          <t>Mac Barnett, Christian Robinson</t>
        </is>
      </c>
      <c r="D244" s="14" t="inlineStr">
        <is>
          <t>L'Acchiappastorie – Albi illustrati</t>
        </is>
      </c>
      <c r="E244" s="14" t="inlineStr">
        <is>
          <t>albi illustrati (età indicativa)</t>
        </is>
      </c>
      <c r="F244" s="14" t="inlineStr">
        <is>
          <t>3-6 anni</t>
        </is>
      </c>
      <c r="G244" s="14" t="inlineStr">
        <is>
          <t>Albo illustrato</t>
        </is>
      </c>
      <c r="H244" s="14" t="inlineStr"/>
      <c r="I244" s="14" t="inlineStr">
        <is>
          <t>No</t>
        </is>
      </c>
      <c r="J244" s="14" t="inlineStr">
        <is>
          <t>Collana</t>
        </is>
      </c>
      <c r="K244" s="14" t="inlineStr">
        <is>
          <t>3-6 anni</t>
        </is>
      </c>
      <c r="L244" s="14" t="inlineStr">
        <is>
          <t>Catalogo Terre di Mezzo 1° semestre 2026, p. 25 (ISBN 9788861894020)</t>
        </is>
      </c>
      <c r="M244" s="16" t="n">
        <v>15</v>
      </c>
      <c r="N244" s="14" t="inlineStr">
        <is>
          <t>Catalogo Terre di Mezzo 1° semestre 2026</t>
        </is>
      </c>
      <c r="O244" s="16">
        <f>IF(ISNUMBER(M244),ROUND(M244*(1-Condizioni!$B$2),2),"")</f>
        <v/>
      </c>
      <c r="P244" s="17" t="inlineStr">
        <is>
          <t>No</t>
        </is>
      </c>
    </row>
    <row r="245">
      <c r="A245" s="14" t="inlineStr">
        <is>
          <t>Terre di Mezzo</t>
        </is>
      </c>
      <c r="B245" s="14" t="inlineStr">
        <is>
          <t>Lo schiaccianoci</t>
        </is>
      </c>
      <c r="C245" s="14" t="inlineStr">
        <is>
          <t>The New York City Ballet, Valeria Docampo</t>
        </is>
      </c>
      <c r="D245" s="14" t="inlineStr">
        <is>
          <t>L'Acchiappastorie – Albi illustrati</t>
        </is>
      </c>
      <c r="E245" s="14" t="inlineStr">
        <is>
          <t>albi illustrati (età indicativa)</t>
        </is>
      </c>
      <c r="F245" s="14" t="inlineStr">
        <is>
          <t>3-6 anni</t>
        </is>
      </c>
      <c r="G245" s="14" t="inlineStr">
        <is>
          <t>Albo illustrato</t>
        </is>
      </c>
      <c r="H245" s="14" t="inlineStr"/>
      <c r="I245" s="14" t="inlineStr">
        <is>
          <t>No</t>
        </is>
      </c>
      <c r="J245" s="14" t="inlineStr">
        <is>
          <t>Collana</t>
        </is>
      </c>
      <c r="K245" s="14" t="inlineStr">
        <is>
          <t>3-6 anni</t>
        </is>
      </c>
      <c r="L245" s="14" t="inlineStr">
        <is>
          <t>Catalogo Terre di Mezzo 1° semestre 2026, p. 33 (ISBN 9788861894365)</t>
        </is>
      </c>
      <c r="M245" s="16" t="n">
        <v>15</v>
      </c>
      <c r="N245" s="14" t="inlineStr">
        <is>
          <t>Catalogo Terre di Mezzo 1° semestre 2026</t>
        </is>
      </c>
      <c r="O245" s="16">
        <f>IF(ISNUMBER(M245),ROUND(M245*(1-Condizioni!$B$2),2),"")</f>
        <v/>
      </c>
      <c r="P245" s="17" t="inlineStr">
        <is>
          <t>No</t>
        </is>
      </c>
    </row>
    <row r="246">
      <c r="A246" s="14" t="inlineStr">
        <is>
          <t>Terre di Mezzo</t>
        </is>
      </c>
      <c r="B246" s="14" t="inlineStr">
        <is>
          <t>Lucy e il filo dell’amicizia</t>
        </is>
      </c>
      <c r="C246" s="14" t="inlineStr">
        <is>
          <t>Vanessa Roeder</t>
        </is>
      </c>
      <c r="D246" s="14" t="inlineStr">
        <is>
          <t>L'Acchiappastorie – Albi illustrati</t>
        </is>
      </c>
      <c r="E246" s="14" t="inlineStr">
        <is>
          <t>albi illustrati (età indicativa)</t>
        </is>
      </c>
      <c r="F246" s="14" t="inlineStr">
        <is>
          <t>3-6 anni</t>
        </is>
      </c>
      <c r="G246" s="14" t="inlineStr">
        <is>
          <t>Albo illustrato</t>
        </is>
      </c>
      <c r="H246" s="14" t="inlineStr"/>
      <c r="I246" s="14" t="inlineStr">
        <is>
          <t>No</t>
        </is>
      </c>
      <c r="J246" s="14" t="inlineStr">
        <is>
          <t>Collana</t>
        </is>
      </c>
      <c r="K246" s="14" t="inlineStr">
        <is>
          <t>3-6 anni</t>
        </is>
      </c>
      <c r="L246" s="14" t="inlineStr">
        <is>
          <t>Catalogo Terre di Mezzo 1° semestre 2026, p. 31 (ISBN 9788861894952)</t>
        </is>
      </c>
      <c r="M246" s="16" t="n">
        <v>16</v>
      </c>
      <c r="N246" s="14" t="inlineStr">
        <is>
          <t>Catalogo Terre di Mezzo 1° semestre 2026</t>
        </is>
      </c>
      <c r="O246" s="16">
        <f>IF(ISNUMBER(M246),ROUND(M246*(1-Condizioni!$B$2),2),"")</f>
        <v/>
      </c>
      <c r="P246" s="17" t="inlineStr">
        <is>
          <t>No</t>
        </is>
      </c>
    </row>
    <row r="247">
      <c r="A247" s="14" t="inlineStr">
        <is>
          <t>Terre di Mezzo</t>
        </is>
      </c>
      <c r="B247" s="14" t="inlineStr">
        <is>
          <t>L’alleanza dei bambini</t>
        </is>
      </c>
      <c r="C247" s="14" t="inlineStr">
        <is>
          <t>Pija Lindenbaum</t>
        </is>
      </c>
      <c r="D247" s="14" t="inlineStr">
        <is>
          <t>L'Acchiappastorie – Albi illustrati</t>
        </is>
      </c>
      <c r="E247" s="14" t="inlineStr">
        <is>
          <t>albi illustrati (età indicativa)</t>
        </is>
      </c>
      <c r="F247" s="14" t="inlineStr">
        <is>
          <t>3-6 anni</t>
        </is>
      </c>
      <c r="G247" s="14" t="inlineStr">
        <is>
          <t>Albo illustrato</t>
        </is>
      </c>
      <c r="H247" s="14" t="inlineStr"/>
      <c r="I247" s="14" t="inlineStr">
        <is>
          <t>No</t>
        </is>
      </c>
      <c r="J247" s="14" t="inlineStr">
        <is>
          <t>Collana</t>
        </is>
      </c>
      <c r="K247" s="14" t="inlineStr">
        <is>
          <t>3-6 anni</t>
        </is>
      </c>
      <c r="L247" s="14" t="inlineStr">
        <is>
          <t>Catalogo Terre di Mezzo 1° semestre 2026, p. 22 (ISBN 9791259960412)</t>
        </is>
      </c>
      <c r="M247" s="16" t="n">
        <v>16</v>
      </c>
      <c r="N247" s="14" t="inlineStr">
        <is>
          <t>Catalogo Terre di Mezzo 1° semestre 2026</t>
        </is>
      </c>
      <c r="O247" s="16">
        <f>IF(ISNUMBER(M247),ROUND(M247*(1-Condizioni!$B$2),2),"")</f>
        <v/>
      </c>
      <c r="P247" s="17" t="inlineStr">
        <is>
          <t>No</t>
        </is>
      </c>
    </row>
    <row r="248">
      <c r="A248" s="14" t="inlineStr">
        <is>
          <t>Terre di Mezzo</t>
        </is>
      </c>
      <c r="B248" s="14" t="inlineStr">
        <is>
          <t>L’altalena di chi è?</t>
        </is>
      </c>
      <c r="C248" s="14" t="inlineStr">
        <is>
          <t>Anselmo Roveda, Elisabetta Civardi</t>
        </is>
      </c>
      <c r="D248" s="14" t="inlineStr">
        <is>
          <t>L'Acchiappastorie – Albi illustrati</t>
        </is>
      </c>
      <c r="E248" s="14" t="inlineStr">
        <is>
          <t>albi illustrati (età indicativa)</t>
        </is>
      </c>
      <c r="F248" s="14" t="inlineStr">
        <is>
          <t>3-6 anni</t>
        </is>
      </c>
      <c r="G248" s="14" t="inlineStr">
        <is>
          <t>Albo illustrato</t>
        </is>
      </c>
      <c r="H248" s="14" t="inlineStr"/>
      <c r="I248" s="14" t="inlineStr">
        <is>
          <t>No</t>
        </is>
      </c>
      <c r="J248" s="14" t="inlineStr">
        <is>
          <t>Collana</t>
        </is>
      </c>
      <c r="K248" s="14" t="inlineStr">
        <is>
          <t>3-6 anni</t>
        </is>
      </c>
      <c r="L248" s="14" t="inlineStr">
        <is>
          <t>Catalogo Terre di Mezzo 1° semestre 2026, p. 38 (ISBN 9791259960238)</t>
        </is>
      </c>
      <c r="M248" s="16" t="n">
        <v>12.9</v>
      </c>
      <c r="N248" s="14" t="inlineStr">
        <is>
          <t>Catalogo Terre di Mezzo 1° semestre 2026</t>
        </is>
      </c>
      <c r="O248" s="16">
        <f>IF(ISNUMBER(M248),ROUND(M248*(1-Condizioni!$B$2),2),"")</f>
        <v/>
      </c>
      <c r="P248" s="17" t="inlineStr">
        <is>
          <t>No</t>
        </is>
      </c>
    </row>
    <row r="249">
      <c r="A249" s="14" t="inlineStr">
        <is>
          <t>Terre di Mezzo</t>
        </is>
      </c>
      <c r="B249" s="14" t="inlineStr">
        <is>
          <t>L’isola dei ricordi</t>
        </is>
      </c>
      <c r="C249" s="14" t="inlineStr">
        <is>
          <t>Alexandra Helmig, Valeria Docampo</t>
        </is>
      </c>
      <c r="D249" s="14" t="inlineStr">
        <is>
          <t>L'Acchiappastorie – Albi illustrati</t>
        </is>
      </c>
      <c r="E249" s="14" t="inlineStr">
        <is>
          <t>albi illustrati (età indicativa)</t>
        </is>
      </c>
      <c r="F249" s="14" t="inlineStr">
        <is>
          <t>3-6 anni</t>
        </is>
      </c>
      <c r="G249" s="14" t="inlineStr">
        <is>
          <t>Albo illustrato</t>
        </is>
      </c>
      <c r="H249" s="14" t="inlineStr"/>
      <c r="I249" s="14" t="inlineStr">
        <is>
          <t>No</t>
        </is>
      </c>
      <c r="J249" s="14" t="inlineStr">
        <is>
          <t>Collana</t>
        </is>
      </c>
      <c r="K249" s="14" t="inlineStr">
        <is>
          <t>3-6 anni</t>
        </is>
      </c>
      <c r="L249" s="14" t="inlineStr">
        <is>
          <t>Catalogo Terre di Mezzo 1° semestre 2026, p. 32 (ISBN 9791259961617)</t>
        </is>
      </c>
      <c r="M249" s="16" t="n">
        <v>16</v>
      </c>
      <c r="N249" s="14" t="inlineStr">
        <is>
          <t>Catalogo Terre di Mezzo 1° semestre 2026</t>
        </is>
      </c>
      <c r="O249" s="16">
        <f>IF(ISNUMBER(M249),ROUND(M249*(1-Condizioni!$B$2),2),"")</f>
        <v/>
      </c>
      <c r="P249" s="17" t="inlineStr">
        <is>
          <t>No</t>
        </is>
      </c>
    </row>
    <row r="250">
      <c r="A250" s="14" t="inlineStr">
        <is>
          <t>Terre di Mezzo</t>
        </is>
      </c>
      <c r="B250" s="14" t="inlineStr">
        <is>
          <t>L’isola dessert</t>
        </is>
      </c>
      <c r="C250" s="14" t="inlineStr">
        <is>
          <t>Ben Zhu</t>
        </is>
      </c>
      <c r="D250" s="14" t="inlineStr">
        <is>
          <t>L'Acchiappastorie – Albi illustrati</t>
        </is>
      </c>
      <c r="E250" s="14" t="inlineStr">
        <is>
          <t>albi illustrati (età indicativa)</t>
        </is>
      </c>
      <c r="F250" s="14" t="inlineStr">
        <is>
          <t>3-6 anni</t>
        </is>
      </c>
      <c r="G250" s="14" t="inlineStr">
        <is>
          <t>Albo illustrato</t>
        </is>
      </c>
      <c r="H250" s="14" t="inlineStr"/>
      <c r="I250" s="14" t="inlineStr">
        <is>
          <t>No</t>
        </is>
      </c>
      <c r="J250" s="14" t="inlineStr">
        <is>
          <t>Collana</t>
        </is>
      </c>
      <c r="K250" s="14" t="inlineStr">
        <is>
          <t>3-6 anni</t>
        </is>
      </c>
      <c r="L250" s="14" t="inlineStr">
        <is>
          <t>Catalogo Terre di Mezzo 1° semestre 2026, p. 36 (ISBN 9788861897113)</t>
        </is>
      </c>
      <c r="M250" s="16" t="n">
        <v>15</v>
      </c>
      <c r="N250" s="14" t="inlineStr">
        <is>
          <t>Catalogo Terre di Mezzo 1° semestre 2026</t>
        </is>
      </c>
      <c r="O250" s="16">
        <f>IF(ISNUMBER(M250),ROUND(M250*(1-Condizioni!$B$2),2),"")</f>
        <v/>
      </c>
      <c r="P250" s="17" t="inlineStr">
        <is>
          <t>No</t>
        </is>
      </c>
    </row>
    <row r="251">
      <c r="A251" s="14" t="inlineStr">
        <is>
          <t>Terre di Mezzo</t>
        </is>
      </c>
      <c r="B251" s="14" t="inlineStr">
        <is>
          <t>L’ometto a cui non piaceva nulla</t>
        </is>
      </c>
      <c r="C251" s="14" t="inlineStr">
        <is>
          <t>Pépito Matéo, Irène Bonacina</t>
        </is>
      </c>
      <c r="D251" s="14" t="inlineStr">
        <is>
          <t>L'Acchiappastorie – Albi illustrati</t>
        </is>
      </c>
      <c r="E251" s="14" t="inlineStr">
        <is>
          <t>albi illustrati (età indicativa)</t>
        </is>
      </c>
      <c r="F251" s="14" t="inlineStr">
        <is>
          <t>3-6 anni</t>
        </is>
      </c>
      <c r="G251" s="14" t="inlineStr">
        <is>
          <t>Albo illustrato</t>
        </is>
      </c>
      <c r="H251" s="14" t="inlineStr"/>
      <c r="I251" s="14" t="inlineStr">
        <is>
          <t>No</t>
        </is>
      </c>
      <c r="J251" s="14" t="inlineStr">
        <is>
          <t>Collana</t>
        </is>
      </c>
      <c r="K251" s="14" t="inlineStr">
        <is>
          <t>3-6 anni</t>
        </is>
      </c>
      <c r="L251" s="14" t="inlineStr">
        <is>
          <t>Catalogo Terre di Mezzo 1° semestre 2026, p. 16 (ISBN 9791259962324)</t>
        </is>
      </c>
      <c r="M251" s="16" t="n">
        <v>16</v>
      </c>
      <c r="N251" s="14" t="inlineStr">
        <is>
          <t>Catalogo Terre di Mezzo 1° semestre 2026</t>
        </is>
      </c>
      <c r="O251" s="16">
        <f>IF(ISNUMBER(M251),ROUND(M251*(1-Condizioni!$B$2),2),"")</f>
        <v/>
      </c>
      <c r="P251" s="17" t="inlineStr">
        <is>
          <t>No</t>
        </is>
      </c>
    </row>
    <row r="252">
      <c r="A252" s="14" t="inlineStr">
        <is>
          <t>Terre di Mezzo</t>
        </is>
      </c>
      <c r="B252" s="14" t="inlineStr">
        <is>
          <t>L’uomo che vendeva il tempo</t>
        </is>
      </c>
      <c r="C252" s="14" t="inlineStr">
        <is>
          <t>Luca Cognolato, Marco Paschetta</t>
        </is>
      </c>
      <c r="D252" s="14" t="inlineStr">
        <is>
          <t>L'Acchiappastorie – Albi illustrati</t>
        </is>
      </c>
      <c r="E252" s="14" t="inlineStr">
        <is>
          <t>albi illustrati (età indicativa)</t>
        </is>
      </c>
      <c r="F252" s="14" t="inlineStr">
        <is>
          <t>3-6 anni</t>
        </is>
      </c>
      <c r="G252" s="14" t="inlineStr">
        <is>
          <t>Albo illustrato</t>
        </is>
      </c>
      <c r="H252" s="14" t="inlineStr"/>
      <c r="I252" s="14" t="inlineStr">
        <is>
          <t>No</t>
        </is>
      </c>
      <c r="J252" s="14" t="inlineStr">
        <is>
          <t>Collana</t>
        </is>
      </c>
      <c r="K252" s="14" t="inlineStr">
        <is>
          <t>3-6 anni</t>
        </is>
      </c>
      <c r="L252" s="14" t="inlineStr">
        <is>
          <t>Catalogo Terre di Mezzo 1° semestre 2026, p. 9 (ISBN 9791259960962)</t>
        </is>
      </c>
      <c r="M252" s="16" t="n">
        <v>16</v>
      </c>
      <c r="N252" s="14" t="inlineStr">
        <is>
          <t>Catalogo Terre di Mezzo 1° semestre 2026</t>
        </is>
      </c>
      <c r="O252" s="16">
        <f>IF(ISNUMBER(M252),ROUND(M252*(1-Condizioni!$B$2),2),"")</f>
        <v/>
      </c>
      <c r="P252" s="17" t="inlineStr">
        <is>
          <t>No</t>
        </is>
      </c>
    </row>
    <row r="253">
      <c r="A253" s="14" t="inlineStr">
        <is>
          <t>Terre di Mezzo</t>
        </is>
      </c>
      <c r="B253" s="14" t="inlineStr">
        <is>
          <t>Nel palazzo dei dim sum</t>
        </is>
      </c>
      <c r="C253" s="14" t="inlineStr">
        <is>
          <t>X. Fang</t>
        </is>
      </c>
      <c r="D253" s="14" t="inlineStr">
        <is>
          <t>L'Acchiappastorie – Albi illustrati</t>
        </is>
      </c>
      <c r="E253" s="14" t="inlineStr">
        <is>
          <t>albi illustrati (età indicativa)</t>
        </is>
      </c>
      <c r="F253" s="14" t="inlineStr">
        <is>
          <t>3-6 anni</t>
        </is>
      </c>
      <c r="G253" s="14" t="inlineStr">
        <is>
          <t>Albo illustrato</t>
        </is>
      </c>
      <c r="H253" s="14" t="inlineStr"/>
      <c r="I253" s="14" t="inlineStr">
        <is>
          <t>No</t>
        </is>
      </c>
      <c r="J253" s="14" t="inlineStr">
        <is>
          <t>Collana</t>
        </is>
      </c>
      <c r="K253" s="14" t="inlineStr">
        <is>
          <t>3-6 anni</t>
        </is>
      </c>
      <c r="L253" s="14" t="inlineStr">
        <is>
          <t>Catalogo Terre di Mezzo 1° semestre 2026, p. 17 (ISBN 9791259963376)</t>
        </is>
      </c>
      <c r="M253" s="16" t="n">
        <v>16</v>
      </c>
      <c r="N253" s="14" t="inlineStr">
        <is>
          <t>Catalogo Terre di Mezzo 1° semestre 2026</t>
        </is>
      </c>
      <c r="O253" s="16">
        <f>IF(ISNUMBER(M253),ROUND(M253*(1-Condizioni!$B$2),2),"")</f>
        <v/>
      </c>
      <c r="P253" s="17" t="inlineStr">
        <is>
          <t>No</t>
        </is>
      </c>
    </row>
    <row r="254">
      <c r="A254" s="14" t="inlineStr">
        <is>
          <t>Terre di Mezzo</t>
        </is>
      </c>
      <c r="B254" s="14" t="inlineStr">
        <is>
          <t>Nella foresta non si parla d’altro</t>
        </is>
      </c>
      <c r="C254" s="14" t="inlineStr">
        <is>
          <t>LE ELEZIONI DEGLI ANIMALI.</t>
        </is>
      </c>
      <c r="D254" s="14" t="inlineStr">
        <is>
          <t>L'Acchiappastorie – Albi illustrati</t>
        </is>
      </c>
      <c r="E254" s="14" t="inlineStr">
        <is>
          <t>albi illustrati (età indicativa)</t>
        </is>
      </c>
      <c r="F254" s="14" t="inlineStr">
        <is>
          <t>3-6 anni</t>
        </is>
      </c>
      <c r="G254" s="14" t="inlineStr">
        <is>
          <t>Albo illustrato</t>
        </is>
      </c>
      <c r="H254" s="14" t="inlineStr"/>
      <c r="I254" s="14" t="inlineStr">
        <is>
          <t>No</t>
        </is>
      </c>
      <c r="J254" s="14" t="inlineStr">
        <is>
          <t>Collana</t>
        </is>
      </c>
      <c r="K254" s="14" t="inlineStr">
        <is>
          <t>3-6 anni</t>
        </is>
      </c>
      <c r="L254" s="14" t="inlineStr">
        <is>
          <t>Catalogo Terre di Mezzo 1° semestre 2026, p. 24 (ISBN 9791259962362)</t>
        </is>
      </c>
      <c r="M254" s="16" t="n">
        <v>14</v>
      </c>
      <c r="N254" s="14" t="inlineStr">
        <is>
          <t>Catalogo Terre di Mezzo 1° semestre 2026</t>
        </is>
      </c>
      <c r="O254" s="16">
        <f>IF(ISNUMBER(M254),ROUND(M254*(1-Condizioni!$B$2),2),"")</f>
        <v/>
      </c>
      <c r="P254" s="17" t="inlineStr">
        <is>
          <t>No</t>
        </is>
      </c>
    </row>
    <row r="255">
      <c r="A255" s="14" t="inlineStr">
        <is>
          <t>Terre di Mezzo</t>
        </is>
      </c>
      <c r="B255" s="14" t="inlineStr">
        <is>
          <t>Nessuno abbraccia un cactus</t>
        </is>
      </c>
      <c r="C255" s="14" t="inlineStr">
        <is>
          <t>Carter Goodrich</t>
        </is>
      </c>
      <c r="D255" s="14" t="inlineStr">
        <is>
          <t>L'Acchiappastorie – Albi illustrati</t>
        </is>
      </c>
      <c r="E255" s="14" t="inlineStr">
        <is>
          <t>albi illustrati (età indicativa)</t>
        </is>
      </c>
      <c r="F255" s="14" t="inlineStr">
        <is>
          <t>3-6 anni</t>
        </is>
      </c>
      <c r="G255" s="14" t="inlineStr">
        <is>
          <t>Albo illustrato</t>
        </is>
      </c>
      <c r="H255" s="14" t="inlineStr"/>
      <c r="I255" s="14" t="inlineStr">
        <is>
          <t>No</t>
        </is>
      </c>
      <c r="J255" s="14" t="inlineStr">
        <is>
          <t>Collana</t>
        </is>
      </c>
      <c r="K255" s="14" t="inlineStr">
        <is>
          <t>3-6 anni</t>
        </is>
      </c>
      <c r="L255" s="14" t="inlineStr">
        <is>
          <t>Catalogo Terre di Mezzo 1° semestre 2026, p. 30 (ISBN 9791259961563)</t>
        </is>
      </c>
      <c r="M255" s="16" t="n">
        <v>16</v>
      </c>
      <c r="N255" s="14" t="inlineStr">
        <is>
          <t>Catalogo Terre di Mezzo 1° semestre 2026</t>
        </is>
      </c>
      <c r="O255" s="16">
        <f>IF(ISNUMBER(M255),ROUND(M255*(1-Condizioni!$B$2),2),"")</f>
        <v/>
      </c>
      <c r="P255" s="17" t="inlineStr">
        <is>
          <t>Sì</t>
        </is>
      </c>
    </row>
    <row r="256">
      <c r="A256" s="14" t="inlineStr">
        <is>
          <t>Terre di Mezzo</t>
        </is>
      </c>
      <c r="B256" s="14" t="inlineStr">
        <is>
          <t>Non mi aspettavo</t>
        </is>
      </c>
      <c r="C256" s="14" t="inlineStr">
        <is>
          <t>Angelo Mozzillo, Francesco Faccia</t>
        </is>
      </c>
      <c r="D256" s="14" t="inlineStr">
        <is>
          <t>L'Acchiappastorie – Albi illustrati</t>
        </is>
      </c>
      <c r="E256" s="14" t="inlineStr">
        <is>
          <t>albi illustrati (età indicativa)</t>
        </is>
      </c>
      <c r="F256" s="14" t="inlineStr">
        <is>
          <t>3-6 anni</t>
        </is>
      </c>
      <c r="G256" s="14" t="inlineStr">
        <is>
          <t>Albo illustrato</t>
        </is>
      </c>
      <c r="H256" s="14" t="inlineStr"/>
      <c r="I256" s="14" t="inlineStr">
        <is>
          <t>No</t>
        </is>
      </c>
      <c r="J256" s="14" t="inlineStr">
        <is>
          <t>Collana</t>
        </is>
      </c>
      <c r="K256" s="14" t="inlineStr">
        <is>
          <t>3-6 anni</t>
        </is>
      </c>
      <c r="L256" s="14" t="inlineStr">
        <is>
          <t>Catalogo Terre di Mezzo 1° semestre 2026, p. 26 (ISBN 9791259960603)</t>
        </is>
      </c>
      <c r="M256" s="16" t="n">
        <v>16</v>
      </c>
      <c r="N256" s="14" t="inlineStr">
        <is>
          <t>Catalogo Terre di Mezzo 1° semestre 2026</t>
        </is>
      </c>
      <c r="O256" s="16">
        <f>IF(ISNUMBER(M256),ROUND(M256*(1-Condizioni!$B$2),2),"")</f>
        <v/>
      </c>
      <c r="P256" s="17" t="inlineStr">
        <is>
          <t>No</t>
        </is>
      </c>
    </row>
    <row r="257">
      <c r="A257" s="14" t="inlineStr">
        <is>
          <t>Terre di Mezzo</t>
        </is>
      </c>
      <c r="B257" s="14" t="inlineStr">
        <is>
          <t>Non tutte le principesse</t>
        </is>
      </c>
      <c r="C257" s="14" t="inlineStr">
        <is>
          <t>Jeffrey Bone, Lisa Bone, Valeria Docampo</t>
        </is>
      </c>
      <c r="D257" s="14" t="inlineStr">
        <is>
          <t>L'Acchiappastorie – Albi illustrati</t>
        </is>
      </c>
      <c r="E257" s="14" t="inlineStr">
        <is>
          <t>albi illustrati (età indicativa)</t>
        </is>
      </c>
      <c r="F257" s="14" t="inlineStr">
        <is>
          <t>3-6 anni</t>
        </is>
      </c>
      <c r="G257" s="14" t="inlineStr">
        <is>
          <t>Albo illustrato</t>
        </is>
      </c>
      <c r="H257" s="14" t="inlineStr"/>
      <c r="I257" s="14" t="inlineStr">
        <is>
          <t>No</t>
        </is>
      </c>
      <c r="J257" s="14" t="inlineStr">
        <is>
          <t>Collana</t>
        </is>
      </c>
      <c r="K257" s="14" t="inlineStr">
        <is>
          <t>3-6 anni</t>
        </is>
      </c>
      <c r="L257" s="14" t="inlineStr">
        <is>
          <t>Catalogo Terre di Mezzo 1° semestre 2026, p. 32 (ISBN 9791259960337)</t>
        </is>
      </c>
      <c r="M257" s="16" t="n">
        <v>16</v>
      </c>
      <c r="N257" s="14" t="inlineStr">
        <is>
          <t>Catalogo Terre di Mezzo 1° semestre 2026</t>
        </is>
      </c>
      <c r="O257" s="16">
        <f>IF(ISNUMBER(M257),ROUND(M257*(1-Condizioni!$B$2),2),"")</f>
        <v/>
      </c>
      <c r="P257" s="17" t="inlineStr">
        <is>
          <t>Sì</t>
        </is>
      </c>
    </row>
    <row r="258">
      <c r="A258" s="14" t="inlineStr">
        <is>
          <t>Terre di Mezzo</t>
        </is>
      </c>
      <c r="B258" s="14" t="inlineStr">
        <is>
          <t>Ogni alba</t>
        </is>
      </c>
      <c r="C258" s="14" t="inlineStr">
        <is>
          <t>Marc Martin</t>
        </is>
      </c>
      <c r="D258" s="14" t="inlineStr">
        <is>
          <t>L'Acchiappastorie – Albi illustrati</t>
        </is>
      </c>
      <c r="E258" s="14" t="inlineStr">
        <is>
          <t>albi illustrati (età indicativa)</t>
        </is>
      </c>
      <c r="F258" s="14" t="inlineStr">
        <is>
          <t>3-6 anni</t>
        </is>
      </c>
      <c r="G258" s="14" t="inlineStr">
        <is>
          <t>Albo illustrato</t>
        </is>
      </c>
      <c r="H258" s="14" t="inlineStr"/>
      <c r="I258" s="14" t="inlineStr">
        <is>
          <t>No</t>
        </is>
      </c>
      <c r="J258" s="14" t="inlineStr">
        <is>
          <t>Collana</t>
        </is>
      </c>
      <c r="K258" s="14" t="inlineStr">
        <is>
          <t>3-6 anni</t>
        </is>
      </c>
      <c r="L258" s="14" t="inlineStr">
        <is>
          <t>Catalogo Terre di Mezzo 1° semestre 2026, p. 15 (ISBN 9791259963079)</t>
        </is>
      </c>
      <c r="M258" s="16" t="n">
        <v>16</v>
      </c>
      <c r="N258" s="14" t="inlineStr">
        <is>
          <t>Catalogo Terre di Mezzo 1° semestre 2026</t>
        </is>
      </c>
      <c r="O258" s="16">
        <f>IF(ISNUMBER(M258),ROUND(M258*(1-Condizioni!$B$2),2),"")</f>
        <v/>
      </c>
      <c r="P258" s="17" t="inlineStr">
        <is>
          <t>No</t>
        </is>
      </c>
    </row>
    <row r="259">
      <c r="A259" s="14" t="inlineStr">
        <is>
          <t>Terre di Mezzo</t>
        </is>
      </c>
      <c r="B259" s="14" t="inlineStr">
        <is>
          <t>Ogni viso è una poesia</t>
        </is>
      </c>
      <c r="C259" s="14" t="inlineStr">
        <is>
          <t>Julie Morstad</t>
        </is>
      </c>
      <c r="D259" s="14" t="inlineStr">
        <is>
          <t>L'Acchiappastorie – Albi illustrati</t>
        </is>
      </c>
      <c r="E259" s="14" t="inlineStr">
        <is>
          <t>albi illustrati (età indicativa)</t>
        </is>
      </c>
      <c r="F259" s="14" t="inlineStr">
        <is>
          <t>3-6 anni</t>
        </is>
      </c>
      <c r="G259" s="14" t="inlineStr">
        <is>
          <t>Albo illustrato</t>
        </is>
      </c>
      <c r="H259" s="14" t="inlineStr"/>
      <c r="I259" s="14" t="inlineStr">
        <is>
          <t>No</t>
        </is>
      </c>
      <c r="J259" s="14" t="inlineStr">
        <is>
          <t>Collana</t>
        </is>
      </c>
      <c r="K259" s="14" t="inlineStr">
        <is>
          <t>3-6 anni</t>
        </is>
      </c>
      <c r="L259" s="14" t="inlineStr">
        <is>
          <t>Catalogo Terre di Mezzo 1° semestre 2026, p. 22 (ISBN 9791259962423)</t>
        </is>
      </c>
      <c r="M259" s="16" t="n">
        <v>18</v>
      </c>
      <c r="N259" s="14" t="inlineStr">
        <is>
          <t>Catalogo Terre di Mezzo 1° semestre 2026</t>
        </is>
      </c>
      <c r="O259" s="16">
        <f>IF(ISNUMBER(M259),ROUND(M259*(1-Condizioni!$B$2),2),"")</f>
        <v/>
      </c>
      <c r="P259" s="17" t="inlineStr">
        <is>
          <t>Sì</t>
        </is>
      </c>
    </row>
    <row r="260">
      <c r="A260" s="14" t="inlineStr">
        <is>
          <t>Terre di Mezzo</t>
        </is>
      </c>
      <c r="B260" s="14" t="inlineStr">
        <is>
          <t>Ora sono felice</t>
        </is>
      </c>
      <c r="C260" s="14" t="inlineStr">
        <is>
          <t>Antoinette Portis</t>
        </is>
      </c>
      <c r="D260" s="14" t="inlineStr">
        <is>
          <t>L'Acchiappastorie – Albi illustrati</t>
        </is>
      </c>
      <c r="E260" s="14" t="inlineStr">
        <is>
          <t>albi illustrati (età indicativa)</t>
        </is>
      </c>
      <c r="F260" s="14" t="inlineStr">
        <is>
          <t>3-6 anni</t>
        </is>
      </c>
      <c r="G260" s="14" t="inlineStr">
        <is>
          <t>Albo illustrato</t>
        </is>
      </c>
      <c r="H260" s="14" t="inlineStr"/>
      <c r="I260" s="14" t="inlineStr">
        <is>
          <t>No</t>
        </is>
      </c>
      <c r="J260" s="14" t="inlineStr">
        <is>
          <t>Collana</t>
        </is>
      </c>
      <c r="K260" s="14" t="inlineStr">
        <is>
          <t>3-6 anni</t>
        </is>
      </c>
      <c r="L260" s="14" t="inlineStr">
        <is>
          <t>Catalogo Terre di Mezzo 1° semestre 2026, p. 38 (ISBN 9788861894983)</t>
        </is>
      </c>
      <c r="M260" s="16" t="n">
        <v>15</v>
      </c>
      <c r="N260" s="14" t="inlineStr">
        <is>
          <t>Catalogo Terre di Mezzo 1° semestre 2026</t>
        </is>
      </c>
      <c r="O260" s="16">
        <f>IF(ISNUMBER(M260),ROUND(M260*(1-Condizioni!$B$2),2),"")</f>
        <v/>
      </c>
      <c r="P260" s="17" t="inlineStr">
        <is>
          <t>No</t>
        </is>
      </c>
    </row>
    <row r="261">
      <c r="A261" s="14" t="inlineStr">
        <is>
          <t>Terre di Mezzo</t>
        </is>
      </c>
      <c r="B261" s="14" t="inlineStr">
        <is>
          <t>Ora ti prendo</t>
        </is>
      </c>
      <c r="C261" s="14" t="inlineStr">
        <is>
          <t>Camilla Pintonato</t>
        </is>
      </c>
      <c r="D261" s="14" t="inlineStr">
        <is>
          <t>L'Acchiappastorie – Albi illustrati</t>
        </is>
      </c>
      <c r="E261" s="14" t="inlineStr">
        <is>
          <t>albi illustrati (età indicativa)</t>
        </is>
      </c>
      <c r="F261" s="14" t="inlineStr">
        <is>
          <t>3-6 anni</t>
        </is>
      </c>
      <c r="G261" s="14" t="inlineStr">
        <is>
          <t>Albo illustrato</t>
        </is>
      </c>
      <c r="H261" s="14" t="inlineStr"/>
      <c r="I261" s="14" t="inlineStr">
        <is>
          <t>No</t>
        </is>
      </c>
      <c r="J261" s="14" t="inlineStr">
        <is>
          <t>Collana</t>
        </is>
      </c>
      <c r="K261" s="14" t="inlineStr">
        <is>
          <t>3-6 anni</t>
        </is>
      </c>
      <c r="L261" s="14" t="inlineStr">
        <is>
          <t>Catalogo Terre di Mezzo 1° semestre 2026, p. 35 (ISBN 9791259962416)</t>
        </is>
      </c>
      <c r="M261" s="16" t="n">
        <v>16</v>
      </c>
      <c r="N261" s="14" t="inlineStr">
        <is>
          <t>Catalogo Terre di Mezzo 1° semestre 2026</t>
        </is>
      </c>
      <c r="O261" s="16">
        <f>IF(ISNUMBER(M261),ROUND(M261*(1-Condizioni!$B$2),2),"")</f>
        <v/>
      </c>
      <c r="P261" s="17" t="inlineStr">
        <is>
          <t>No</t>
        </is>
      </c>
    </row>
    <row r="262">
      <c r="A262" s="14" t="inlineStr">
        <is>
          <t>Terre di Mezzo</t>
        </is>
      </c>
      <c r="B262" s="14" t="inlineStr">
        <is>
          <t>Papà montagna</t>
        </is>
      </c>
      <c r="C262" s="14" t="inlineStr">
        <is>
          <t>Sara Donati</t>
        </is>
      </c>
      <c r="D262" s="14" t="inlineStr">
        <is>
          <t>L'Acchiappastorie – Albi illustrati</t>
        </is>
      </c>
      <c r="E262" s="14" t="inlineStr">
        <is>
          <t>albi illustrati (età indicativa)</t>
        </is>
      </c>
      <c r="F262" s="14" t="inlineStr">
        <is>
          <t>3-6 anni</t>
        </is>
      </c>
      <c r="G262" s="14" t="inlineStr">
        <is>
          <t>Albo illustrato</t>
        </is>
      </c>
      <c r="H262" s="14" t="inlineStr"/>
      <c r="I262" s="14" t="inlineStr">
        <is>
          <t>No</t>
        </is>
      </c>
      <c r="J262" s="14" t="inlineStr">
        <is>
          <t>Collana</t>
        </is>
      </c>
      <c r="K262" s="14" t="inlineStr">
        <is>
          <t>3-6 anni</t>
        </is>
      </c>
      <c r="L262" s="14" t="inlineStr">
        <is>
          <t>Catalogo Terre di Mezzo 1° semestre 2026, p. 10 (ISBN 9791259961051)</t>
        </is>
      </c>
      <c r="M262" s="16" t="n">
        <v>16</v>
      </c>
      <c r="N262" s="14" t="inlineStr">
        <is>
          <t>Catalogo Terre di Mezzo 1° semestre 2026</t>
        </is>
      </c>
      <c r="O262" s="16">
        <f>IF(ISNUMBER(M262),ROUND(M262*(1-Condizioni!$B$2),2),"")</f>
        <v/>
      </c>
      <c r="P262" s="17" t="inlineStr">
        <is>
          <t>No</t>
        </is>
      </c>
    </row>
    <row r="263">
      <c r="A263" s="14" t="inlineStr">
        <is>
          <t>Terre di Mezzo</t>
        </is>
      </c>
      <c r="B263" s="14" t="inlineStr">
        <is>
          <t>Parchi</t>
        </is>
      </c>
      <c r="C263" s="14" t="inlineStr">
        <is>
          <t>Marc Majewski</t>
        </is>
      </c>
      <c r="D263" s="14" t="inlineStr">
        <is>
          <t>L'Acchiappastorie – Albi illustrati</t>
        </is>
      </c>
      <c r="E263" s="14" t="inlineStr">
        <is>
          <t>albi illustrati (età indicativa)</t>
        </is>
      </c>
      <c r="F263" s="14" t="inlineStr">
        <is>
          <t>3-6 anni</t>
        </is>
      </c>
      <c r="G263" s="14" t="inlineStr">
        <is>
          <t>Albo illustrato</t>
        </is>
      </c>
      <c r="H263" s="14" t="inlineStr"/>
      <c r="I263" s="14" t="inlineStr">
        <is>
          <t>No</t>
        </is>
      </c>
      <c r="J263" s="14" t="inlineStr">
        <is>
          <t>Collana</t>
        </is>
      </c>
      <c r="K263" s="14" t="inlineStr">
        <is>
          <t>3-6 anni</t>
        </is>
      </c>
      <c r="L263" s="14" t="inlineStr">
        <is>
          <t>Catalogo Terre di Mezzo 1° semestre 2026, p. 12 (ISBN 9791259963871)</t>
        </is>
      </c>
      <c r="M263" s="16" t="n">
        <v>16</v>
      </c>
      <c r="N263" s="14" t="inlineStr">
        <is>
          <t>Catalogo Terre di Mezzo 1° semestre 2026</t>
        </is>
      </c>
      <c r="O263" s="16">
        <f>IF(ISNUMBER(M263),ROUND(M263*(1-Condizioni!$B$2),2),"")</f>
        <v/>
      </c>
      <c r="P263" s="17" t="inlineStr">
        <is>
          <t>No</t>
        </is>
      </c>
    </row>
    <row r="264">
      <c r="A264" s="14" t="inlineStr">
        <is>
          <t>Terre di Mezzo</t>
        </is>
      </c>
      <c r="B264" s="14" t="inlineStr">
        <is>
          <t>Peloso come uno yak</t>
        </is>
      </c>
      <c r="C264" s="14" t="inlineStr">
        <is>
          <t>Emma Lidia Squillari</t>
        </is>
      </c>
      <c r="D264" s="14" t="inlineStr">
        <is>
          <t>L'Acchiappastorie – Albi illustrati</t>
        </is>
      </c>
      <c r="E264" s="14" t="inlineStr">
        <is>
          <t>albi illustrati (età indicativa)</t>
        </is>
      </c>
      <c r="F264" s="14" t="inlineStr">
        <is>
          <t>3-6 anni</t>
        </is>
      </c>
      <c r="G264" s="14" t="inlineStr">
        <is>
          <t>Albo illustrato</t>
        </is>
      </c>
      <c r="H264" s="14" t="inlineStr"/>
      <c r="I264" s="14" t="inlineStr">
        <is>
          <t>No</t>
        </is>
      </c>
      <c r="J264" s="14" t="inlineStr">
        <is>
          <t>Collana</t>
        </is>
      </c>
      <c r="K264" s="14" t="inlineStr">
        <is>
          <t>3-6 anni</t>
        </is>
      </c>
      <c r="L264" s="14" t="inlineStr">
        <is>
          <t>Catalogo Terre di Mezzo 1° semestre 2026, p. 13 (ISBN 9791259964526)</t>
        </is>
      </c>
      <c r="M264" s="16" t="n">
        <v>16</v>
      </c>
      <c r="N264" s="14" t="inlineStr">
        <is>
          <t>Catalogo Terre di Mezzo 1° semestre 2026</t>
        </is>
      </c>
      <c r="O264" s="16">
        <f>IF(ISNUMBER(M264),ROUND(M264*(1-Condizioni!$B$2),2),"")</f>
        <v/>
      </c>
      <c r="P264" s="17" t="inlineStr">
        <is>
          <t>No</t>
        </is>
      </c>
    </row>
    <row r="265">
      <c r="A265" s="14" t="inlineStr">
        <is>
          <t>Terre di Mezzo</t>
        </is>
      </c>
      <c r="B265" s="14" t="inlineStr">
        <is>
          <t>Perché ti voglio bene</t>
        </is>
      </c>
      <c r="C265" s="14" t="inlineStr">
        <is>
          <t>Luca Tortolini, Paolo Proietti</t>
        </is>
      </c>
      <c r="D265" s="14" t="inlineStr">
        <is>
          <t>L'Acchiappastorie – Albi illustrati</t>
        </is>
      </c>
      <c r="E265" s="14" t="inlineStr">
        <is>
          <t>albi illustrati (età indicativa)</t>
        </is>
      </c>
      <c r="F265" s="14" t="inlineStr">
        <is>
          <t>3-6 anni</t>
        </is>
      </c>
      <c r="G265" s="14" t="inlineStr">
        <is>
          <t>Albo illustrato</t>
        </is>
      </c>
      <c r="H265" s="14" t="inlineStr"/>
      <c r="I265" s="14" t="inlineStr">
        <is>
          <t>No</t>
        </is>
      </c>
      <c r="J265" s="14" t="inlineStr">
        <is>
          <t>Collana</t>
        </is>
      </c>
      <c r="K265" s="14" t="inlineStr">
        <is>
          <t>3-6 anni</t>
        </is>
      </c>
      <c r="L265" s="14" t="inlineStr">
        <is>
          <t>Catalogo Terre di Mezzo 1° semestre 2026, p. 11 (ISBN 9791259961471)</t>
        </is>
      </c>
      <c r="M265" s="16" t="n">
        <v>16</v>
      </c>
      <c r="N265" s="14" t="inlineStr">
        <is>
          <t>Catalogo Terre di Mezzo 1° semestre 2026</t>
        </is>
      </c>
      <c r="O265" s="16">
        <f>IF(ISNUMBER(M265),ROUND(M265*(1-Condizioni!$B$2),2),"")</f>
        <v/>
      </c>
      <c r="P265" s="17" t="inlineStr">
        <is>
          <t>No</t>
        </is>
      </c>
    </row>
    <row r="266">
      <c r="A266" s="14" t="inlineStr">
        <is>
          <t>Terre di Mezzo</t>
        </is>
      </c>
      <c r="B266" s="14" t="inlineStr">
        <is>
          <t>Perché?</t>
        </is>
      </c>
      <c r="C266" s="14" t="inlineStr">
        <is>
          <t>Nikolai Popov</t>
        </is>
      </c>
      <c r="D266" s="14" t="inlineStr">
        <is>
          <t>L'Acchiappastorie – Albi illustrati</t>
        </is>
      </c>
      <c r="E266" s="14" t="inlineStr">
        <is>
          <t>albi illustrati (età indicativa)</t>
        </is>
      </c>
      <c r="F266" s="14" t="inlineStr">
        <is>
          <t>3-6 anni</t>
        </is>
      </c>
      <c r="G266" s="14" t="inlineStr">
        <is>
          <t>Albo illustrato</t>
        </is>
      </c>
      <c r="H266" s="14" t="inlineStr"/>
      <c r="I266" s="14" t="inlineStr">
        <is>
          <t>No</t>
        </is>
      </c>
      <c r="J266" s="14" t="inlineStr">
        <is>
          <t>Collana</t>
        </is>
      </c>
      <c r="K266" s="14" t="inlineStr">
        <is>
          <t>3-6 anni</t>
        </is>
      </c>
      <c r="L266" s="14" t="inlineStr">
        <is>
          <t>Catalogo Terre di Mezzo 1° semestre 2026, p. 26 (ISBN 9791259961006)</t>
        </is>
      </c>
      <c r="M266" s="16" t="n">
        <v>16</v>
      </c>
      <c r="N266" s="14" t="inlineStr">
        <is>
          <t>Catalogo Terre di Mezzo 1° semestre 2026</t>
        </is>
      </c>
      <c r="O266" s="16">
        <f>IF(ISNUMBER(M266),ROUND(M266*(1-Condizioni!$B$2),2),"")</f>
        <v/>
      </c>
      <c r="P266" s="17" t="inlineStr">
        <is>
          <t>No</t>
        </is>
      </c>
    </row>
    <row r="267">
      <c r="A267" s="14" t="inlineStr">
        <is>
          <t>Terre di Mezzo</t>
        </is>
      </c>
      <c r="B267" s="14" t="inlineStr">
        <is>
          <t>Peter nella neve</t>
        </is>
      </c>
      <c r="C267" s="14" t="inlineStr">
        <is>
          <t>Ezra Jack Keats</t>
        </is>
      </c>
      <c r="D267" s="14" t="inlineStr">
        <is>
          <t>L'Acchiappastorie – Albi illustrati</t>
        </is>
      </c>
      <c r="E267" s="14" t="inlineStr">
        <is>
          <t>albi illustrati (età indicativa)</t>
        </is>
      </c>
      <c r="F267" s="14" t="inlineStr">
        <is>
          <t>3-6 anni</t>
        </is>
      </c>
      <c r="G267" s="14" t="inlineStr">
        <is>
          <t>Albo illustrato</t>
        </is>
      </c>
      <c r="H267" s="14" t="inlineStr"/>
      <c r="I267" s="14" t="inlineStr">
        <is>
          <t>No</t>
        </is>
      </c>
      <c r="J267" s="14" t="inlineStr">
        <is>
          <t>Collana</t>
        </is>
      </c>
      <c r="K267" s="14" t="inlineStr">
        <is>
          <t>3-6 anni</t>
        </is>
      </c>
      <c r="L267" s="14" t="inlineStr">
        <is>
          <t>Catalogo Terre di Mezzo 1° semestre 2026, p. 19 (ISBN 9788861895812)</t>
        </is>
      </c>
      <c r="M267" s="16" t="n">
        <v>12.9</v>
      </c>
      <c r="N267" s="14" t="inlineStr">
        <is>
          <t>Catalogo Terre di Mezzo 1° semestre 2026</t>
        </is>
      </c>
      <c r="O267" s="16">
        <f>IF(ISNUMBER(M267),ROUND(M267*(1-Condizioni!$B$2),2),"")</f>
        <v/>
      </c>
      <c r="P267" s="17" t="inlineStr">
        <is>
          <t>No</t>
        </is>
      </c>
    </row>
    <row r="268">
      <c r="A268" s="14" t="inlineStr">
        <is>
          <t>Terre di Mezzo</t>
        </is>
      </c>
      <c r="B268" s="14" t="inlineStr">
        <is>
          <t>Peter vuole fischiare</t>
        </is>
      </c>
      <c r="C268" s="14" t="inlineStr">
        <is>
          <t>Ezra Jack Keats</t>
        </is>
      </c>
      <c r="D268" s="14" t="inlineStr">
        <is>
          <t>L'Acchiappastorie – Albi illustrati</t>
        </is>
      </c>
      <c r="E268" s="14" t="inlineStr">
        <is>
          <t>albi illustrati (età indicativa)</t>
        </is>
      </c>
      <c r="F268" s="14" t="inlineStr">
        <is>
          <t>3-6 anni</t>
        </is>
      </c>
      <c r="G268" s="14" t="inlineStr">
        <is>
          <t>Albo illustrato</t>
        </is>
      </c>
      <c r="H268" s="14" t="inlineStr"/>
      <c r="I268" s="14" t="inlineStr">
        <is>
          <t>No</t>
        </is>
      </c>
      <c r="J268" s="14" t="inlineStr">
        <is>
          <t>Collana</t>
        </is>
      </c>
      <c r="K268" s="14" t="inlineStr">
        <is>
          <t>3-6 anni</t>
        </is>
      </c>
      <c r="L268" s="14" t="inlineStr">
        <is>
          <t>Catalogo Terre di Mezzo 1° semestre 2026, p. 19 (ISBN 9791259962195)</t>
        </is>
      </c>
      <c r="M268" s="16" t="n">
        <v>14</v>
      </c>
      <c r="N268" s="14" t="inlineStr">
        <is>
          <t>Catalogo Terre di Mezzo 1° semestre 2026</t>
        </is>
      </c>
      <c r="O268" s="16">
        <f>IF(ISNUMBER(M268),ROUND(M268*(1-Condizioni!$B$2),2),"")</f>
        <v/>
      </c>
      <c r="P268" s="17" t="inlineStr">
        <is>
          <t>No</t>
        </is>
      </c>
    </row>
    <row r="269">
      <c r="A269" s="14" t="inlineStr">
        <is>
          <t>Terre di Mezzo</t>
        </is>
      </c>
      <c r="B269" s="14" t="inlineStr">
        <is>
          <t>Pomelo cerca un nuovo giardino</t>
        </is>
      </c>
      <c r="C269" s="14" t="inlineStr">
        <is>
          <t>Ramona Bădescu, Benjamin Chaud</t>
        </is>
      </c>
      <c r="D269" s="14" t="inlineStr">
        <is>
          <t>L'Acchiappastorie – Albi illustrati</t>
        </is>
      </c>
      <c r="E269" s="14" t="inlineStr">
        <is>
          <t>albi illustrati (età indicativa)</t>
        </is>
      </c>
      <c r="F269" s="14" t="inlineStr">
        <is>
          <t>3-6 anni</t>
        </is>
      </c>
      <c r="G269" s="14" t="inlineStr">
        <is>
          <t>Albo illustrato</t>
        </is>
      </c>
      <c r="H269" s="14" t="inlineStr"/>
      <c r="I269" s="14" t="inlineStr">
        <is>
          <t>No</t>
        </is>
      </c>
      <c r="J269" s="14" t="inlineStr">
        <is>
          <t>Collana</t>
        </is>
      </c>
      <c r="K269" s="14" t="inlineStr">
        <is>
          <t>3-6 anni</t>
        </is>
      </c>
      <c r="L269" s="14" t="inlineStr">
        <is>
          <t>Catalogo Terre di Mezzo 1° semestre 2026, p. 37 (ISBN 9788861897298)</t>
        </is>
      </c>
      <c r="M269" s="16" t="n">
        <v>12</v>
      </c>
      <c r="N269" s="14" t="inlineStr">
        <is>
          <t>Catalogo Terre di Mezzo 1° semestre 2026</t>
        </is>
      </c>
      <c r="O269" s="16">
        <f>IF(ISNUMBER(M269),ROUND(M269*(1-Condizioni!$B$2),2),"")</f>
        <v/>
      </c>
      <c r="P269" s="17" t="inlineStr">
        <is>
          <t>No</t>
        </is>
      </c>
    </row>
    <row r="270">
      <c r="A270" s="14" t="inlineStr">
        <is>
          <t>Terre di Mezzo</t>
        </is>
      </c>
      <c r="B270" s="14" t="inlineStr">
        <is>
          <t>Pomelo sogna</t>
        </is>
      </c>
      <c r="C270" s="14" t="inlineStr">
        <is>
          <t>Ramona Bădescu, Benjamin Chaud</t>
        </is>
      </c>
      <c r="D270" s="14" t="inlineStr">
        <is>
          <t>L'Acchiappastorie – Albi illustrati</t>
        </is>
      </c>
      <c r="E270" s="14" t="inlineStr">
        <is>
          <t>albi illustrati (età indicativa)</t>
        </is>
      </c>
      <c r="F270" s="14" t="inlineStr">
        <is>
          <t>3-6 anni</t>
        </is>
      </c>
      <c r="G270" s="14" t="inlineStr">
        <is>
          <t>Albo illustrato</t>
        </is>
      </c>
      <c r="H270" s="14" t="inlineStr"/>
      <c r="I270" s="14" t="inlineStr">
        <is>
          <t>No</t>
        </is>
      </c>
      <c r="J270" s="14" t="inlineStr">
        <is>
          <t>Collana</t>
        </is>
      </c>
      <c r="K270" s="14" t="inlineStr">
        <is>
          <t>3-6 anni</t>
        </is>
      </c>
      <c r="L270" s="14" t="inlineStr">
        <is>
          <t>Catalogo Terre di Mezzo 1° semestre 2026, p. 37 (ISBN 9788861896772)</t>
        </is>
      </c>
      <c r="M270" s="16" t="n">
        <v>12</v>
      </c>
      <c r="N270" s="14" t="inlineStr">
        <is>
          <t>Catalogo Terre di Mezzo 1° semestre 2026</t>
        </is>
      </c>
      <c r="O270" s="16">
        <f>IF(ISNUMBER(M270),ROUND(M270*(1-Condizioni!$B$2),2),"")</f>
        <v/>
      </c>
      <c r="P270" s="17" t="inlineStr">
        <is>
          <t>No</t>
        </is>
      </c>
    </row>
    <row r="271">
      <c r="A271" s="14" t="inlineStr">
        <is>
          <t>Terre di Mezzo</t>
        </is>
      </c>
      <c r="B271" s="14" t="inlineStr">
        <is>
          <t>Pomelo, elefantino da giardino</t>
        </is>
      </c>
      <c r="C271" s="14" t="inlineStr">
        <is>
          <t>Ramona Bădescu, Benjamin Chaud</t>
        </is>
      </c>
      <c r="D271" s="14" t="inlineStr">
        <is>
          <t>L'Acchiappastorie – Albi illustrati</t>
        </is>
      </c>
      <c r="E271" s="14" t="inlineStr">
        <is>
          <t>albi illustrati (età indicativa)</t>
        </is>
      </c>
      <c r="F271" s="14" t="inlineStr">
        <is>
          <t>3-6 anni</t>
        </is>
      </c>
      <c r="G271" s="14" t="inlineStr">
        <is>
          <t>Albo illustrato</t>
        </is>
      </c>
      <c r="H271" s="14" t="inlineStr"/>
      <c r="I271" s="14" t="inlineStr">
        <is>
          <t>No</t>
        </is>
      </c>
      <c r="J271" s="14" t="inlineStr">
        <is>
          <t>Collana</t>
        </is>
      </c>
      <c r="K271" s="14" t="inlineStr">
        <is>
          <t>3-6 anni</t>
        </is>
      </c>
      <c r="L271" s="14" t="inlineStr">
        <is>
          <t>Catalogo Terre di Mezzo 1° semestre 2026, p. 37 (ISBN 9788861895966)</t>
        </is>
      </c>
      <c r="M271" s="16" t="n">
        <v>12</v>
      </c>
      <c r="N271" s="14" t="inlineStr">
        <is>
          <t>Catalogo Terre di Mezzo 1° semestre 2026</t>
        </is>
      </c>
      <c r="O271" s="16">
        <f>IF(ISNUMBER(M271),ROUND(M271*(1-Condizioni!$B$2),2),"")</f>
        <v/>
      </c>
      <c r="P271" s="17" t="inlineStr">
        <is>
          <t>No</t>
        </is>
      </c>
    </row>
    <row r="272">
      <c r="A272" s="14" t="inlineStr">
        <is>
          <t>Terre di Mezzo</t>
        </is>
      </c>
      <c r="B272" s="14" t="inlineStr">
        <is>
          <t>Pomelo, elefantino innamorato</t>
        </is>
      </c>
      <c r="C272" s="14" t="inlineStr">
        <is>
          <t>Ramona Bădescu, Benjamin Chaud</t>
        </is>
      </c>
      <c r="D272" s="14" t="inlineStr">
        <is>
          <t>L'Acchiappastorie – Albi illustrati</t>
        </is>
      </c>
      <c r="E272" s="14" t="inlineStr">
        <is>
          <t>albi illustrati (età indicativa)</t>
        </is>
      </c>
      <c r="F272" s="14" t="inlineStr">
        <is>
          <t>3-6 anni</t>
        </is>
      </c>
      <c r="G272" s="14" t="inlineStr">
        <is>
          <t>Albo illustrato</t>
        </is>
      </c>
      <c r="H272" s="14" t="inlineStr"/>
      <c r="I272" s="14" t="inlineStr">
        <is>
          <t>No</t>
        </is>
      </c>
      <c r="J272" s="14" t="inlineStr">
        <is>
          <t>Collana</t>
        </is>
      </c>
      <c r="K272" s="14" t="inlineStr">
        <is>
          <t>3-6 anni</t>
        </is>
      </c>
      <c r="L272" s="14" t="inlineStr">
        <is>
          <t>Catalogo Terre di Mezzo 1° semestre 2026, p. 37 (ISBN 9788861896482)</t>
        </is>
      </c>
      <c r="M272" s="16" t="n">
        <v>12</v>
      </c>
      <c r="N272" s="14" t="inlineStr">
        <is>
          <t>Catalogo Terre di Mezzo 1° semestre 2026</t>
        </is>
      </c>
      <c r="O272" s="16">
        <f>IF(ISNUMBER(M272),ROUND(M272*(1-Condizioni!$B$2),2),"")</f>
        <v/>
      </c>
      <c r="P272" s="17" t="inlineStr">
        <is>
          <t>No</t>
        </is>
      </c>
    </row>
    <row r="273">
      <c r="A273" s="14" t="inlineStr">
        <is>
          <t>Terre di Mezzo</t>
        </is>
      </c>
      <c r="B273" s="14" t="inlineStr">
        <is>
          <t>Pomelo, elefantino viaggiatore</t>
        </is>
      </c>
      <c r="C273" s="14" t="inlineStr">
        <is>
          <t>Ramona Bădescu, Benjamin Chaud</t>
        </is>
      </c>
      <c r="D273" s="14" t="inlineStr">
        <is>
          <t>L'Acchiappastorie – Albi illustrati</t>
        </is>
      </c>
      <c r="E273" s="14" t="inlineStr">
        <is>
          <t>albi illustrati (età indicativa)</t>
        </is>
      </c>
      <c r="F273" s="14" t="inlineStr">
        <is>
          <t>3-6 anni</t>
        </is>
      </c>
      <c r="G273" s="14" t="inlineStr">
        <is>
          <t>Albo illustrato</t>
        </is>
      </c>
      <c r="H273" s="14" t="inlineStr"/>
      <c r="I273" s="14" t="inlineStr">
        <is>
          <t>No</t>
        </is>
      </c>
      <c r="J273" s="14" t="inlineStr">
        <is>
          <t>Collana</t>
        </is>
      </c>
      <c r="K273" s="14" t="inlineStr">
        <is>
          <t>3-6 anni</t>
        </is>
      </c>
      <c r="L273" s="14" t="inlineStr">
        <is>
          <t>Catalogo Terre di Mezzo 1° semestre 2026, p. 37 (ISBN 9788861897304)</t>
        </is>
      </c>
      <c r="M273" s="16" t="n">
        <v>12</v>
      </c>
      <c r="N273" s="14" t="inlineStr">
        <is>
          <t>Catalogo Terre di Mezzo 1° semestre 2026</t>
        </is>
      </c>
      <c r="O273" s="16">
        <f>IF(ISNUMBER(M273),ROUND(M273*(1-Condizioni!$B$2),2),"")</f>
        <v/>
      </c>
      <c r="P273" s="17" t="inlineStr">
        <is>
          <t>No</t>
        </is>
      </c>
    </row>
    <row r="274">
      <c r="A274" s="14" t="inlineStr">
        <is>
          <t>Terre di Mezzo</t>
        </is>
      </c>
      <c r="B274" s="14" t="inlineStr">
        <is>
          <t>Ponti</t>
        </is>
      </c>
      <c r="C274" s="14" t="inlineStr">
        <is>
          <t>Marc Majewski</t>
        </is>
      </c>
      <c r="D274" s="14" t="inlineStr">
        <is>
          <t>L'Acchiappastorie – Albi illustrati</t>
        </is>
      </c>
      <c r="E274" s="14" t="inlineStr">
        <is>
          <t>albi illustrati (età indicativa)</t>
        </is>
      </c>
      <c r="F274" s="14" t="inlineStr">
        <is>
          <t>3-6 anni</t>
        </is>
      </c>
      <c r="G274" s="14" t="inlineStr">
        <is>
          <t>Albo illustrato</t>
        </is>
      </c>
      <c r="H274" s="14" t="inlineStr"/>
      <c r="I274" s="14" t="inlineStr">
        <is>
          <t>No</t>
        </is>
      </c>
      <c r="J274" s="14" t="inlineStr">
        <is>
          <t>Collana</t>
        </is>
      </c>
      <c r="K274" s="14" t="inlineStr">
        <is>
          <t>3-6 anni</t>
        </is>
      </c>
      <c r="L274" s="14" t="inlineStr">
        <is>
          <t>Catalogo Terre di Mezzo 1° semestre 2026, p. 12 (ISBN 9791259963888)</t>
        </is>
      </c>
      <c r="M274" s="16" t="n">
        <v>16</v>
      </c>
      <c r="N274" s="14" t="inlineStr">
        <is>
          <t>Catalogo Terre di Mezzo 1° semestre 2026</t>
        </is>
      </c>
      <c r="O274" s="16">
        <f>IF(ISNUMBER(M274),ROUND(M274*(1-Condizioni!$B$2),2),"")</f>
        <v/>
      </c>
      <c r="P274" s="17" t="inlineStr">
        <is>
          <t>No</t>
        </is>
      </c>
    </row>
    <row r="275">
      <c r="A275" s="14" t="inlineStr">
        <is>
          <t>Terre di Mezzo</t>
        </is>
      </c>
      <c r="B275" s="14" t="inlineStr">
        <is>
          <t>Provaci ancora, cucciolo</t>
        </is>
      </c>
      <c r="C275" s="14" t="inlineStr">
        <is>
          <t>Randall de Sève, Kate Gardiner</t>
        </is>
      </c>
      <c r="D275" s="14" t="inlineStr">
        <is>
          <t>L'Acchiappastorie – Albi illustrati</t>
        </is>
      </c>
      <c r="E275" s="14" t="inlineStr">
        <is>
          <t>albi illustrati (età indicativa)</t>
        </is>
      </c>
      <c r="F275" s="14" t="inlineStr">
        <is>
          <t>3-6 anni</t>
        </is>
      </c>
      <c r="G275" s="14" t="inlineStr">
        <is>
          <t>Albo illustrato</t>
        </is>
      </c>
      <c r="H275" s="14" t="inlineStr"/>
      <c r="I275" s="14" t="inlineStr">
        <is>
          <t>No</t>
        </is>
      </c>
      <c r="J275" s="14" t="inlineStr">
        <is>
          <t>Collana</t>
        </is>
      </c>
      <c r="K275" s="14" t="inlineStr">
        <is>
          <t>3-6 anni</t>
        </is>
      </c>
      <c r="L275" s="14" t="inlineStr">
        <is>
          <t>Catalogo Terre di Mezzo 1° semestre 2026, p. 21 (ISBN 9791259962843)</t>
        </is>
      </c>
      <c r="M275" s="16" t="n">
        <v>16</v>
      </c>
      <c r="N275" s="14" t="inlineStr">
        <is>
          <t>Catalogo Terre di Mezzo 1° semestre 2026</t>
        </is>
      </c>
      <c r="O275" s="16">
        <f>IF(ISNUMBER(M275),ROUND(M275*(1-Condizioni!$B$2),2),"")</f>
        <v/>
      </c>
      <c r="P275" s="17" t="inlineStr">
        <is>
          <t>No</t>
        </is>
      </c>
    </row>
    <row r="276">
      <c r="A276" s="14" t="inlineStr">
        <is>
          <t>Terre di Mezzo</t>
        </is>
      </c>
      <c r="B276" s="14" t="inlineStr">
        <is>
          <t>Quando gli animali non avevano la coda</t>
        </is>
      </c>
      <c r="C276" s="14" t="inlineStr">
        <is>
          <t>Anselmo Roveda, Elisabetta Civardi</t>
        </is>
      </c>
      <c r="D276" s="14" t="inlineStr">
        <is>
          <t>L'Acchiappastorie – Albi illustrati</t>
        </is>
      </c>
      <c r="E276" s="14" t="inlineStr">
        <is>
          <t>albi illustrati (età indicativa)</t>
        </is>
      </c>
      <c r="F276" s="14" t="inlineStr">
        <is>
          <t>3-6 anni</t>
        </is>
      </c>
      <c r="G276" s="14" t="inlineStr">
        <is>
          <t>Albo illustrato</t>
        </is>
      </c>
      <c r="H276" s="14" t="inlineStr"/>
      <c r="I276" s="14" t="inlineStr">
        <is>
          <t>No</t>
        </is>
      </c>
      <c r="J276" s="14" t="inlineStr">
        <is>
          <t>Collana</t>
        </is>
      </c>
      <c r="K276" s="14" t="inlineStr">
        <is>
          <t>3-6 anni</t>
        </is>
      </c>
      <c r="L276" s="14" t="inlineStr">
        <is>
          <t>Catalogo Terre di Mezzo 1° semestre 2026, p. 38 (ISBN 9788861896307)</t>
        </is>
      </c>
      <c r="M276" s="16" t="n">
        <v>12</v>
      </c>
      <c r="N276" s="14" t="inlineStr">
        <is>
          <t>Catalogo Terre di Mezzo 1° semestre 2026</t>
        </is>
      </c>
      <c r="O276" s="16">
        <f>IF(ISNUMBER(M276),ROUND(M276*(1-Condizioni!$B$2),2),"")</f>
        <v/>
      </c>
      <c r="P276" s="17" t="inlineStr">
        <is>
          <t>No</t>
        </is>
      </c>
    </row>
    <row r="277">
      <c r="A277" s="14" t="inlineStr">
        <is>
          <t>Terre di Mezzo</t>
        </is>
      </c>
      <c r="B277" s="14" t="inlineStr">
        <is>
          <t>Quante avventure!</t>
        </is>
      </c>
      <c r="C277" s="14" t="inlineStr">
        <is>
          <t>Rachel Elliot, Valeria Docampo</t>
        </is>
      </c>
      <c r="D277" s="14" t="inlineStr">
        <is>
          <t>L'Acchiappastorie – Albi illustrati</t>
        </is>
      </c>
      <c r="E277" s="14" t="inlineStr">
        <is>
          <t>albi illustrati (età indicativa)</t>
        </is>
      </c>
      <c r="F277" s="14" t="inlineStr">
        <is>
          <t>3-6 anni</t>
        </is>
      </c>
      <c r="G277" s="14" t="inlineStr">
        <is>
          <t>Albo illustrato</t>
        </is>
      </c>
      <c r="H277" s="14" t="inlineStr"/>
      <c r="I277" s="14" t="inlineStr">
        <is>
          <t>No</t>
        </is>
      </c>
      <c r="J277" s="14" t="inlineStr">
        <is>
          <t>Collana</t>
        </is>
      </c>
      <c r="K277" s="14" t="inlineStr">
        <is>
          <t>3-6 anni</t>
        </is>
      </c>
      <c r="L277" s="14" t="inlineStr">
        <is>
          <t>Catalogo Terre di Mezzo 1° semestre 2026, p. 32 (ISBN 9788861897670)</t>
        </is>
      </c>
      <c r="M277" s="16" t="n">
        <v>15</v>
      </c>
      <c r="N277" s="14" t="inlineStr">
        <is>
          <t>Catalogo Terre di Mezzo 1° semestre 2026</t>
        </is>
      </c>
      <c r="O277" s="16">
        <f>IF(ISNUMBER(M277),ROUND(M277*(1-Condizioni!$B$2),2),"")</f>
        <v/>
      </c>
      <c r="P277" s="17" t="inlineStr">
        <is>
          <t>No</t>
        </is>
      </c>
    </row>
    <row r="278">
      <c r="A278" s="14" t="inlineStr">
        <is>
          <t>Terre di Mezzo</t>
        </is>
      </c>
      <c r="B278" s="14" t="inlineStr">
        <is>
          <t>Quella (non) è mia</t>
        </is>
      </c>
      <c r="C278" s="14" t="inlineStr">
        <is>
          <t>Anna Kang, Christopher Weyant</t>
        </is>
      </c>
      <c r="D278" s="14" t="inlineStr">
        <is>
          <t>L'Acchiappastorie – Albi illustrati</t>
        </is>
      </c>
      <c r="E278" s="14" t="inlineStr">
        <is>
          <t>albi illustrati (età indicativa)</t>
        </is>
      </c>
      <c r="F278" s="14" t="inlineStr">
        <is>
          <t>3-6 anni</t>
        </is>
      </c>
      <c r="G278" s="14" t="inlineStr">
        <is>
          <t>Albo illustrato</t>
        </is>
      </c>
      <c r="H278" s="14" t="inlineStr"/>
      <c r="I278" s="14" t="inlineStr">
        <is>
          <t>No</t>
        </is>
      </c>
      <c r="J278" s="14" t="inlineStr">
        <is>
          <t>Collana</t>
        </is>
      </c>
      <c r="K278" s="14" t="inlineStr">
        <is>
          <t>3-6 anni</t>
        </is>
      </c>
      <c r="L278" s="14" t="inlineStr">
        <is>
          <t>Catalogo Terre di Mezzo 1° semestre 2026, p. 21 (ISBN 9791259963604)</t>
        </is>
      </c>
      <c r="M278" s="16" t="n">
        <v>14</v>
      </c>
      <c r="N278" s="14" t="inlineStr">
        <is>
          <t>Catalogo Terre di Mezzo 1° semestre 2026</t>
        </is>
      </c>
      <c r="O278" s="16">
        <f>IF(ISNUMBER(M278),ROUND(M278*(1-Condizioni!$B$2),2),"")</f>
        <v/>
      </c>
      <c r="P278" s="17" t="inlineStr">
        <is>
          <t>No</t>
        </is>
      </c>
    </row>
    <row r="279">
      <c r="A279" s="14" t="inlineStr">
        <is>
          <t>Terre di Mezzo</t>
        </is>
      </c>
      <c r="B279" s="14" t="inlineStr">
        <is>
          <t>Quello che (non) so sull’amore</t>
        </is>
      </c>
      <c r="C279" s="14" t="inlineStr">
        <is>
          <t>Luca Tortolini, Marco Somà</t>
        </is>
      </c>
      <c r="D279" s="14" t="inlineStr">
        <is>
          <t>L'Acchiappastorie – Albi illustrati</t>
        </is>
      </c>
      <c r="E279" s="14" t="inlineStr">
        <is>
          <t>albi illustrati (età indicativa)</t>
        </is>
      </c>
      <c r="F279" s="14" t="inlineStr">
        <is>
          <t>3-6 anni</t>
        </is>
      </c>
      <c r="G279" s="14" t="inlineStr">
        <is>
          <t>Albo illustrato</t>
        </is>
      </c>
      <c r="H279" s="14" t="inlineStr"/>
      <c r="I279" s="14" t="inlineStr">
        <is>
          <t>No</t>
        </is>
      </c>
      <c r="J279" s="14" t="inlineStr">
        <is>
          <t>Collana</t>
        </is>
      </c>
      <c r="K279" s="14" t="inlineStr">
        <is>
          <t>3-6 anni</t>
        </is>
      </c>
      <c r="L279" s="14" t="inlineStr">
        <is>
          <t>Catalogo Terre di Mezzo 1° semestre 2026, p. 11 (ISBN 9791259961235)</t>
        </is>
      </c>
      <c r="M279" s="16" t="n">
        <v>16</v>
      </c>
      <c r="N279" s="14" t="inlineStr">
        <is>
          <t>Catalogo Terre di Mezzo 1° semestre 2026</t>
        </is>
      </c>
      <c r="O279" s="16">
        <f>IF(ISNUMBER(M279),ROUND(M279*(1-Condizioni!$B$2),2),"")</f>
        <v/>
      </c>
      <c r="P279" s="17" t="inlineStr">
        <is>
          <t>No</t>
        </is>
      </c>
    </row>
    <row r="280">
      <c r="A280" s="14" t="inlineStr">
        <is>
          <t>Terre di Mezzo</t>
        </is>
      </c>
      <c r="B280" s="14" t="inlineStr">
        <is>
          <t>Qui con te</t>
        </is>
      </c>
      <c r="C280" s="14" t="inlineStr">
        <is>
          <t>M.H. Clark, Isabelle Arsenault</t>
        </is>
      </c>
      <c r="D280" s="14" t="inlineStr">
        <is>
          <t>L'Acchiappastorie – Albi illustrati</t>
        </is>
      </c>
      <c r="E280" s="14" t="inlineStr">
        <is>
          <t>albi illustrati (età indicativa)</t>
        </is>
      </c>
      <c r="F280" s="14" t="inlineStr">
        <is>
          <t>3-6 anni</t>
        </is>
      </c>
      <c r="G280" s="14" t="inlineStr">
        <is>
          <t>Albo illustrato</t>
        </is>
      </c>
      <c r="H280" s="14" t="inlineStr"/>
      <c r="I280" s="14" t="inlineStr">
        <is>
          <t>No</t>
        </is>
      </c>
      <c r="J280" s="14" t="inlineStr">
        <is>
          <t>Collana</t>
        </is>
      </c>
      <c r="K280" s="14" t="inlineStr">
        <is>
          <t>3-6 anni</t>
        </is>
      </c>
      <c r="L280" s="14" t="inlineStr">
        <is>
          <t>Catalogo Terre di Mezzo 1° semestre 2026, p. 34 (ISBN 9788861897564)</t>
        </is>
      </c>
      <c r="M280" s="16" t="n">
        <v>15</v>
      </c>
      <c r="N280" s="14" t="inlineStr">
        <is>
          <t>Catalogo Terre di Mezzo 1° semestre 2026</t>
        </is>
      </c>
      <c r="O280" s="16">
        <f>IF(ISNUMBER(M280),ROUND(M280*(1-Condizioni!$B$2),2),"")</f>
        <v/>
      </c>
      <c r="P280" s="17" t="inlineStr">
        <is>
          <t>No</t>
        </is>
      </c>
    </row>
    <row r="281">
      <c r="A281" s="14" t="inlineStr">
        <is>
          <t>Terre di Mezzo</t>
        </is>
      </c>
      <c r="B281" s="14" t="inlineStr">
        <is>
          <t>Sam e Dave Scavano una buca</t>
        </is>
      </c>
      <c r="C281" s="14" t="inlineStr">
        <is>
          <t>Mac Barnett, Jon Klassen</t>
        </is>
      </c>
      <c r="D281" s="14" t="inlineStr">
        <is>
          <t>L'Acchiappastorie – Albi illustrati</t>
        </is>
      </c>
      <c r="E281" s="14" t="inlineStr">
        <is>
          <t>albi illustrati (età indicativa)</t>
        </is>
      </c>
      <c r="F281" s="14" t="inlineStr">
        <is>
          <t>3-6 anni</t>
        </is>
      </c>
      <c r="G281" s="14" t="inlineStr">
        <is>
          <t>Albo illustrato</t>
        </is>
      </c>
      <c r="H281" s="14" t="inlineStr"/>
      <c r="I281" s="14" t="inlineStr">
        <is>
          <t>No</t>
        </is>
      </c>
      <c r="J281" s="14" t="inlineStr">
        <is>
          <t>Collana</t>
        </is>
      </c>
      <c r="K281" s="14" t="inlineStr">
        <is>
          <t>3-6 anni</t>
        </is>
      </c>
      <c r="L281" s="14" t="inlineStr">
        <is>
          <t>Catalogo Terre di Mezzo 1° semestre 2026, p. 25 (ISBN 9788861893566)</t>
        </is>
      </c>
      <c r="M281" s="16" t="n">
        <v>16</v>
      </c>
      <c r="N281" s="14" t="inlineStr">
        <is>
          <t>Catalogo Terre di Mezzo 1° semestre 2026</t>
        </is>
      </c>
      <c r="O281" s="16">
        <f>IF(ISNUMBER(M281),ROUND(M281*(1-Condizioni!$B$2),2),"")</f>
        <v/>
      </c>
      <c r="P281" s="17" t="inlineStr">
        <is>
          <t>No</t>
        </is>
      </c>
    </row>
    <row r="282">
      <c r="A282" s="14" t="inlineStr">
        <is>
          <t>Terre di Mezzo</t>
        </is>
      </c>
      <c r="B282" s="14" t="inlineStr">
        <is>
          <t>Se guardi più in basso</t>
        </is>
      </c>
      <c r="C282" s="14" t="inlineStr">
        <is>
          <t>Dario Pomodoro, Martina Tonello</t>
        </is>
      </c>
      <c r="D282" s="14" t="inlineStr">
        <is>
          <t>L'Acchiappastorie – Albi illustrati</t>
        </is>
      </c>
      <c r="E282" s="14" t="inlineStr">
        <is>
          <t>albi illustrati (età indicativa)</t>
        </is>
      </c>
      <c r="F282" s="14" t="inlineStr">
        <is>
          <t>3-6 anni</t>
        </is>
      </c>
      <c r="G282" s="14" t="inlineStr">
        <is>
          <t>Albo illustrato</t>
        </is>
      </c>
      <c r="H282" s="14" t="inlineStr"/>
      <c r="I282" s="14" t="inlineStr">
        <is>
          <t>No</t>
        </is>
      </c>
      <c r="J282" s="14" t="inlineStr">
        <is>
          <t>Collana</t>
        </is>
      </c>
      <c r="K282" s="14" t="inlineStr">
        <is>
          <t>3-6 anni</t>
        </is>
      </c>
      <c r="L282" s="14" t="inlineStr">
        <is>
          <t>Catalogo Terre di Mezzo 1° semestre 2026, p. 9 (ISBN 9791259963901)</t>
        </is>
      </c>
      <c r="M282" s="16" t="n">
        <v>16</v>
      </c>
      <c r="N282" s="14" t="inlineStr">
        <is>
          <t>Catalogo Terre di Mezzo 1° semestre 2026</t>
        </is>
      </c>
      <c r="O282" s="16">
        <f>IF(ISNUMBER(M282),ROUND(M282*(1-Condizioni!$B$2),2),"")</f>
        <v/>
      </c>
      <c r="P282" s="17" t="inlineStr">
        <is>
          <t>No</t>
        </is>
      </c>
    </row>
    <row r="283">
      <c r="A283" s="14" t="inlineStr">
        <is>
          <t>Terre di Mezzo</t>
        </is>
      </c>
      <c r="B283" s="14" t="inlineStr">
        <is>
          <t>Se ti perdi</t>
        </is>
      </c>
      <c r="C283" s="14" t="inlineStr">
        <is>
          <t>Nikki Loftin, Deborah Marcero</t>
        </is>
      </c>
      <c r="D283" s="14" t="inlineStr">
        <is>
          <t>L'Acchiappastorie – Albi illustrati</t>
        </is>
      </c>
      <c r="E283" s="14" t="inlineStr">
        <is>
          <t>albi illustrati (età indicativa)</t>
        </is>
      </c>
      <c r="F283" s="14" t="inlineStr">
        <is>
          <t>3-6 anni</t>
        </is>
      </c>
      <c r="G283" s="14" t="inlineStr">
        <is>
          <t>Albo illustrato</t>
        </is>
      </c>
      <c r="H283" s="14" t="inlineStr"/>
      <c r="I283" s="14" t="inlineStr">
        <is>
          <t>No</t>
        </is>
      </c>
      <c r="J283" s="14" t="inlineStr">
        <is>
          <t>Collana</t>
        </is>
      </c>
      <c r="K283" s="14" t="inlineStr">
        <is>
          <t>3-6 anni</t>
        </is>
      </c>
      <c r="L283" s="14" t="inlineStr">
        <is>
          <t>Catalogo Terre di Mezzo 1° semestre 2026, p. 18 (ISBN 9791259962089)</t>
        </is>
      </c>
      <c r="M283" s="16" t="n">
        <v>16</v>
      </c>
      <c r="N283" s="14" t="inlineStr">
        <is>
          <t>Catalogo Terre di Mezzo 1° semestre 2026</t>
        </is>
      </c>
      <c r="O283" s="16">
        <f>IF(ISNUMBER(M283),ROUND(M283*(1-Condizioni!$B$2),2),"")</f>
        <v/>
      </c>
      <c r="P283" s="17" t="inlineStr">
        <is>
          <t>No</t>
        </is>
      </c>
    </row>
    <row r="284">
      <c r="A284" s="14" t="inlineStr">
        <is>
          <t>Terre di Mezzo</t>
        </is>
      </c>
      <c r="B284" s="14" t="inlineStr">
        <is>
          <t>Spuntino di mezzanotte</t>
        </is>
      </c>
      <c r="C284" s="14" t="inlineStr">
        <is>
          <t>Eric Fan, Dena Seiferling, traduzione di Chiara Carminati</t>
        </is>
      </c>
      <c r="D284" s="14" t="inlineStr">
        <is>
          <t>L'Acchiappastorie – Albi illustrati</t>
        </is>
      </c>
      <c r="E284" s="14" t="inlineStr">
        <is>
          <t>albi illustrati (età indicativa)</t>
        </is>
      </c>
      <c r="F284" s="14" t="inlineStr">
        <is>
          <t>3-6 anni</t>
        </is>
      </c>
      <c r="G284" s="14" t="inlineStr">
        <is>
          <t>Albo illustrato</t>
        </is>
      </c>
      <c r="H284" s="14" t="inlineStr"/>
      <c r="I284" s="14" t="inlineStr">
        <is>
          <t>No</t>
        </is>
      </c>
      <c r="J284" s="14" t="inlineStr">
        <is>
          <t>Collana</t>
        </is>
      </c>
      <c r="K284" s="14" t="inlineStr">
        <is>
          <t>3-6 anni</t>
        </is>
      </c>
      <c r="L284" s="14" t="inlineStr">
        <is>
          <t>Catalogo Terre di Mezzo 1° semestre 2026, p. 29 (ISBN 9791259960597)</t>
        </is>
      </c>
      <c r="M284" s="16" t="n">
        <v>16</v>
      </c>
      <c r="N284" s="14" t="inlineStr">
        <is>
          <t>Catalogo Terre di Mezzo 1° semestre 2026</t>
        </is>
      </c>
      <c r="O284" s="16">
        <f>IF(ISNUMBER(M284),ROUND(M284*(1-Condizioni!$B$2),2),"")</f>
        <v/>
      </c>
      <c r="P284" s="17" t="inlineStr">
        <is>
          <t>No</t>
        </is>
      </c>
    </row>
    <row r="285">
      <c r="A285" s="14" t="inlineStr">
        <is>
          <t>Terre di Mezzo</t>
        </is>
      </c>
      <c r="B285" s="14" t="inlineStr">
        <is>
          <t>Sugli gnomi di città</t>
        </is>
      </c>
      <c r="C285" s="14" t="inlineStr">
        <is>
          <t>TUTTO QUELLO CHE C’È DA SAPERE</t>
        </is>
      </c>
      <c r="D285" s="14" t="inlineStr">
        <is>
          <t>L'Acchiappastorie – Albi illustrati</t>
        </is>
      </c>
      <c r="E285" s="14" t="inlineStr">
        <is>
          <t>albi illustrati (età indicativa)</t>
        </is>
      </c>
      <c r="F285" s="14" t="inlineStr">
        <is>
          <t>3-6 anni</t>
        </is>
      </c>
      <c r="G285" s="14" t="inlineStr">
        <is>
          <t>Albo illustrato</t>
        </is>
      </c>
      <c r="H285" s="14" t="inlineStr"/>
      <c r="I285" s="14" t="inlineStr">
        <is>
          <t>No</t>
        </is>
      </c>
      <c r="J285" s="14" t="inlineStr">
        <is>
          <t>Collana</t>
        </is>
      </c>
      <c r="K285" s="14" t="inlineStr">
        <is>
          <t>3-6 anni</t>
        </is>
      </c>
      <c r="L285" s="14" t="inlineStr">
        <is>
          <t>Catalogo Terre di Mezzo 1° semestre 2026, p. 21 (ISBN 9791259962768)</t>
        </is>
      </c>
      <c r="M285" s="16" t="n">
        <v>16</v>
      </c>
      <c r="N285" s="14" t="inlineStr">
        <is>
          <t>Catalogo Terre di Mezzo 1° semestre 2026</t>
        </is>
      </c>
      <c r="O285" s="16">
        <f>IF(ISNUMBER(M285),ROUND(M285*(1-Condizioni!$B$2),2),"")</f>
        <v/>
      </c>
      <c r="P285" s="17" t="inlineStr">
        <is>
          <t>No</t>
        </is>
      </c>
    </row>
    <row r="286">
      <c r="A286" s="14" t="inlineStr">
        <is>
          <t>Terre di Mezzo</t>
        </is>
      </c>
      <c r="B286" s="14" t="inlineStr">
        <is>
          <t>Taxi pazzi</t>
        </is>
      </c>
      <c r="C286" s="14" t="inlineStr">
        <is>
          <t>Saša Stanišić, Katja Spitzer</t>
        </is>
      </c>
      <c r="D286" s="14" t="inlineStr">
        <is>
          <t>L'Acchiappastorie – Albi illustrati</t>
        </is>
      </c>
      <c r="E286" s="14" t="inlineStr">
        <is>
          <t>albi illustrati (età indicativa)</t>
        </is>
      </c>
      <c r="F286" s="14" t="inlineStr">
        <is>
          <t>3-6 anni</t>
        </is>
      </c>
      <c r="G286" s="14" t="inlineStr">
        <is>
          <t>Albo illustrato</t>
        </is>
      </c>
      <c r="H286" s="14" t="inlineStr"/>
      <c r="I286" s="14" t="inlineStr">
        <is>
          <t>No</t>
        </is>
      </c>
      <c r="J286" s="14" t="inlineStr">
        <is>
          <t>Collana</t>
        </is>
      </c>
      <c r="K286" s="14" t="inlineStr">
        <is>
          <t>3-6 anni</t>
        </is>
      </c>
      <c r="L286" s="14" t="inlineStr">
        <is>
          <t>Catalogo Terre di Mezzo 1° semestre 2026, p. 31 (ISBN 9788861897823)</t>
        </is>
      </c>
      <c r="M286" s="16" t="n">
        <v>18</v>
      </c>
      <c r="N286" s="14" t="inlineStr">
        <is>
          <t>Catalogo Terre di Mezzo 1° semestre 2026</t>
        </is>
      </c>
      <c r="O286" s="16">
        <f>IF(ISNUMBER(M286),ROUND(M286*(1-Condizioni!$B$2),2),"")</f>
        <v/>
      </c>
      <c r="P286" s="17" t="inlineStr">
        <is>
          <t>No</t>
        </is>
      </c>
    </row>
    <row r="287">
      <c r="A287" s="14" t="inlineStr">
        <is>
          <t>Terre di Mezzo</t>
        </is>
      </c>
      <c r="B287" s="14" t="inlineStr">
        <is>
          <t>Tina e i calzini spaiati</t>
        </is>
      </c>
      <c r="C287" s="14" t="inlineStr">
        <is>
          <t>Okay Tina</t>
        </is>
      </c>
      <c r="D287" s="14" t="inlineStr">
        <is>
          <t>L'Acchiappastorie – Albi illustrati</t>
        </is>
      </c>
      <c r="E287" s="14" t="inlineStr">
        <is>
          <t>albi illustrati (età indicativa)</t>
        </is>
      </c>
      <c r="F287" s="14" t="inlineStr">
        <is>
          <t>3-6 anni</t>
        </is>
      </c>
      <c r="G287" s="14" t="inlineStr">
        <is>
          <t>Albo illustrato</t>
        </is>
      </c>
      <c r="H287" s="14" t="inlineStr"/>
      <c r="I287" s="14" t="inlineStr">
        <is>
          <t>No</t>
        </is>
      </c>
      <c r="J287" s="14" t="inlineStr">
        <is>
          <t>Collana</t>
        </is>
      </c>
      <c r="K287" s="14" t="inlineStr">
        <is>
          <t>3-6 anni</t>
        </is>
      </c>
      <c r="L287" s="14" t="inlineStr">
        <is>
          <t>Catalogo Terre di Mezzo 1° semestre 2026, p. 28 (ISBN 9791259960627)</t>
        </is>
      </c>
      <c r="M287" s="16" t="n">
        <v>14</v>
      </c>
      <c r="N287" s="14" t="inlineStr">
        <is>
          <t>Catalogo Terre di Mezzo 1° semestre 2026</t>
        </is>
      </c>
      <c r="O287" s="16">
        <f>IF(ISNUMBER(M287),ROUND(M287*(1-Condizioni!$B$2),2),"")</f>
        <v/>
      </c>
      <c r="P287" s="17" t="inlineStr">
        <is>
          <t>No</t>
        </is>
      </c>
    </row>
    <row r="288">
      <c r="A288" s="14" t="inlineStr">
        <is>
          <t>Terre di Mezzo</t>
        </is>
      </c>
      <c r="B288" s="14" t="inlineStr">
        <is>
          <t>Tu (non) sei piccolo</t>
        </is>
      </c>
      <c r="C288" s="14" t="inlineStr">
        <is>
          <t>Anna Kang, Christopher Weyant</t>
        </is>
      </c>
      <c r="D288" s="14" t="inlineStr">
        <is>
          <t>L'Acchiappastorie – Albi illustrati</t>
        </is>
      </c>
      <c r="E288" s="14" t="inlineStr">
        <is>
          <t>albi illustrati (età indicativa)</t>
        </is>
      </c>
      <c r="F288" s="14" t="inlineStr">
        <is>
          <t>3-6 anni</t>
        </is>
      </c>
      <c r="G288" s="14" t="inlineStr">
        <is>
          <t>Albo illustrato</t>
        </is>
      </c>
      <c r="H288" s="14" t="inlineStr"/>
      <c r="I288" s="14" t="inlineStr">
        <is>
          <t>No</t>
        </is>
      </c>
      <c r="J288" s="14" t="inlineStr">
        <is>
          <t>Collana</t>
        </is>
      </c>
      <c r="K288" s="14" t="inlineStr">
        <is>
          <t>3-6 anni</t>
        </is>
      </c>
      <c r="L288" s="14" t="inlineStr">
        <is>
          <t>Catalogo Terre di Mezzo 1° semestre 2026, p. 21 (ISBN 9791259963567)</t>
        </is>
      </c>
      <c r="M288" s="16" t="n">
        <v>14</v>
      </c>
      <c r="N288" s="14" t="inlineStr">
        <is>
          <t>Catalogo Terre di Mezzo 1° semestre 2026</t>
        </is>
      </c>
      <c r="O288" s="16">
        <f>IF(ISNUMBER(M288),ROUND(M288*(1-Condizioni!$B$2),2),"")</f>
        <v/>
      </c>
      <c r="P288" s="17" t="inlineStr">
        <is>
          <t>No</t>
        </is>
      </c>
    </row>
    <row r="289">
      <c r="A289" s="14" t="inlineStr">
        <is>
          <t>Terre di Mezzo</t>
        </is>
      </c>
      <c r="B289" s="14" t="inlineStr">
        <is>
          <t>Un amico per Ooko</t>
        </is>
      </c>
      <c r="C289" s="14" t="inlineStr">
        <is>
          <t>Esmé Shapiro</t>
        </is>
      </c>
      <c r="D289" s="14" t="inlineStr">
        <is>
          <t>L'Acchiappastorie – Albi illustrati</t>
        </is>
      </c>
      <c r="E289" s="14" t="inlineStr">
        <is>
          <t>albi illustrati (età indicativa)</t>
        </is>
      </c>
      <c r="F289" s="14" t="inlineStr">
        <is>
          <t>3-6 anni</t>
        </is>
      </c>
      <c r="G289" s="14" t="inlineStr">
        <is>
          <t>Albo illustrato</t>
        </is>
      </c>
      <c r="H289" s="14" t="inlineStr"/>
      <c r="I289" s="14" t="inlineStr">
        <is>
          <t>No</t>
        </is>
      </c>
      <c r="J289" s="14" t="inlineStr">
        <is>
          <t>Collana</t>
        </is>
      </c>
      <c r="K289" s="14" t="inlineStr">
        <is>
          <t>3-6 anni</t>
        </is>
      </c>
      <c r="L289" s="14" t="inlineStr">
        <is>
          <t>Catalogo Terre di Mezzo 1° semestre 2026, p. 38 (ISBN 9788861896666)</t>
        </is>
      </c>
      <c r="M289" s="16" t="n">
        <v>15</v>
      </c>
      <c r="N289" s="14" t="inlineStr">
        <is>
          <t>Catalogo Terre di Mezzo 1° semestre 2026</t>
        </is>
      </c>
      <c r="O289" s="16">
        <f>IF(ISNUMBER(M289),ROUND(M289*(1-Condizioni!$B$2),2),"")</f>
        <v/>
      </c>
      <c r="P289" s="17" t="inlineStr">
        <is>
          <t>No</t>
        </is>
      </c>
    </row>
    <row r="290">
      <c r="A290" s="14" t="inlineStr">
        <is>
          <t>Terre di Mezzo</t>
        </is>
      </c>
      <c r="B290" s="14" t="inlineStr">
        <is>
          <t>Un anno tra gli alberi</t>
        </is>
      </c>
      <c r="C290" s="14" t="inlineStr">
        <is>
          <t>Valentina Levrini, Irene Penazzi</t>
        </is>
      </c>
      <c r="D290" s="14" t="inlineStr">
        <is>
          <t>L'Acchiappastorie – Albi illustrati</t>
        </is>
      </c>
      <c r="E290" s="14" t="inlineStr">
        <is>
          <t>albi illustrati (età indicativa)</t>
        </is>
      </c>
      <c r="F290" s="14" t="inlineStr">
        <is>
          <t>3-6 anni</t>
        </is>
      </c>
      <c r="G290" s="14" t="inlineStr">
        <is>
          <t>Albo illustrato</t>
        </is>
      </c>
      <c r="H290" s="14" t="inlineStr"/>
      <c r="I290" s="14" t="inlineStr">
        <is>
          <t>No</t>
        </is>
      </c>
      <c r="J290" s="14" t="inlineStr">
        <is>
          <t>Collana</t>
        </is>
      </c>
      <c r="K290" s="14" t="inlineStr">
        <is>
          <t>3-6 anni</t>
        </is>
      </c>
      <c r="L290" s="14" t="inlineStr">
        <is>
          <t>Catalogo Terre di Mezzo 1° semestre 2026, p. 27 (ISBN 9791259960986)</t>
        </is>
      </c>
      <c r="M290" s="16" t="n">
        <v>16</v>
      </c>
      <c r="N290" s="14" t="inlineStr">
        <is>
          <t>Catalogo Terre di Mezzo 1° semestre 2026</t>
        </is>
      </c>
      <c r="O290" s="16">
        <f>IF(ISNUMBER(M290),ROUND(M290*(1-Condizioni!$B$2),2),"")</f>
        <v/>
      </c>
      <c r="P290" s="17" t="inlineStr">
        <is>
          <t>No</t>
        </is>
      </c>
    </row>
    <row r="291">
      <c r="A291" s="14" t="inlineStr">
        <is>
          <t>Terre di Mezzo</t>
        </is>
      </c>
      <c r="B291" s="14" t="inlineStr">
        <is>
          <t>Un barattolo di emozioni</t>
        </is>
      </c>
      <c r="C291" s="14" t="inlineStr">
        <is>
          <t>Deborah Marcero</t>
        </is>
      </c>
      <c r="D291" s="14" t="inlineStr">
        <is>
          <t>L'Acchiappastorie – Albi illustrati</t>
        </is>
      </c>
      <c r="E291" s="14" t="inlineStr">
        <is>
          <t>albi illustrati (età indicativa)</t>
        </is>
      </c>
      <c r="F291" s="14" t="inlineStr">
        <is>
          <t>3-6 anni</t>
        </is>
      </c>
      <c r="G291" s="14" t="inlineStr">
        <is>
          <t>Albo illustrato</t>
        </is>
      </c>
      <c r="H291" s="14" t="inlineStr"/>
      <c r="I291" s="14" t="inlineStr">
        <is>
          <t>No</t>
        </is>
      </c>
      <c r="J291" s="14" t="inlineStr">
        <is>
          <t>Collana</t>
        </is>
      </c>
      <c r="K291" s="14" t="inlineStr">
        <is>
          <t>3-6 anni</t>
        </is>
      </c>
      <c r="L291" s="14" t="inlineStr">
        <is>
          <t>Catalogo Terre di Mezzo 1° semestre 2026, p. 18 (ISBN 9791259960535)</t>
        </is>
      </c>
      <c r="M291" s="16" t="n">
        <v>15</v>
      </c>
      <c r="N291" s="14" t="inlineStr">
        <is>
          <t>Catalogo Terre di Mezzo 1° semestre 2026</t>
        </is>
      </c>
      <c r="O291" s="16">
        <f>IF(ISNUMBER(M291),ROUND(M291*(1-Condizioni!$B$2),2),"")</f>
        <v/>
      </c>
      <c r="P291" s="17" t="inlineStr">
        <is>
          <t>Sì</t>
        </is>
      </c>
    </row>
    <row r="292">
      <c r="A292" s="14" t="inlineStr">
        <is>
          <t>Terre di Mezzo</t>
        </is>
      </c>
      <c r="B292" s="14" t="inlineStr">
        <is>
          <t>Un barattolo di sogni</t>
        </is>
      </c>
      <c r="C292" s="14" t="inlineStr">
        <is>
          <t>Deborah Marcero</t>
        </is>
      </c>
      <c r="D292" s="14" t="inlineStr">
        <is>
          <t>L'Acchiappastorie – Albi illustrati</t>
        </is>
      </c>
      <c r="E292" s="14" t="inlineStr">
        <is>
          <t>albi illustrati (età indicativa)</t>
        </is>
      </c>
      <c r="F292" s="14" t="inlineStr">
        <is>
          <t>3-6 anni</t>
        </is>
      </c>
      <c r="G292" s="14" t="inlineStr">
        <is>
          <t>Albo illustrato</t>
        </is>
      </c>
      <c r="H292" s="14" t="inlineStr"/>
      <c r="I292" s="14" t="inlineStr">
        <is>
          <t>No</t>
        </is>
      </c>
      <c r="J292" s="14" t="inlineStr">
        <is>
          <t>Collana</t>
        </is>
      </c>
      <c r="K292" s="14" t="inlineStr">
        <is>
          <t>3-6 anni</t>
        </is>
      </c>
      <c r="L292" s="14" t="inlineStr">
        <is>
          <t>Catalogo Terre di Mezzo 1° semestre 2026, p. 18 (ISBN 9791259962898)</t>
        </is>
      </c>
      <c r="M292" s="16" t="n">
        <v>16</v>
      </c>
      <c r="N292" s="14" t="inlineStr">
        <is>
          <t>Catalogo Terre di Mezzo 1° semestre 2026</t>
        </is>
      </c>
      <c r="O292" s="16">
        <f>IF(ISNUMBER(M292),ROUND(M292*(1-Condizioni!$B$2),2),"")</f>
        <v/>
      </c>
      <c r="P292" s="17" t="inlineStr">
        <is>
          <t>No</t>
        </is>
      </c>
    </row>
    <row r="293">
      <c r="A293" s="14" t="inlineStr">
        <is>
          <t>Terre di Mezzo</t>
        </is>
      </c>
      <c r="B293" s="14" t="inlineStr">
        <is>
          <t>Un barattolo di stelle</t>
        </is>
      </c>
      <c r="C293" s="14" t="inlineStr">
        <is>
          <t>Deborah Marcero</t>
        </is>
      </c>
      <c r="D293" s="14" t="inlineStr">
        <is>
          <t>L'Acchiappastorie – Albi illustrati</t>
        </is>
      </c>
      <c r="E293" s="14" t="inlineStr">
        <is>
          <t>albi illustrati (età indicativa)</t>
        </is>
      </c>
      <c r="F293" s="14" t="inlineStr">
        <is>
          <t>3-6 anni</t>
        </is>
      </c>
      <c r="G293" s="14" t="inlineStr">
        <is>
          <t>Albo illustrato</t>
        </is>
      </c>
      <c r="H293" s="14" t="inlineStr"/>
      <c r="I293" s="14" t="inlineStr">
        <is>
          <t>No</t>
        </is>
      </c>
      <c r="J293" s="14" t="inlineStr">
        <is>
          <t>Collana</t>
        </is>
      </c>
      <c r="K293" s="14" t="inlineStr">
        <is>
          <t>3-6 anni</t>
        </is>
      </c>
      <c r="L293" s="14" t="inlineStr">
        <is>
          <t>Catalogo Terre di Mezzo 1° semestre 2026, p. 18 (ISBN 9788861896451)</t>
        </is>
      </c>
      <c r="M293" s="16" t="n">
        <v>15</v>
      </c>
      <c r="N293" s="14" t="inlineStr">
        <is>
          <t>Catalogo Terre di Mezzo 1° semestre 2026</t>
        </is>
      </c>
      <c r="O293" s="16">
        <f>IF(ISNUMBER(M293),ROUND(M293*(1-Condizioni!$B$2),2),"")</f>
        <v/>
      </c>
      <c r="P293" s="17" t="inlineStr">
        <is>
          <t>No</t>
        </is>
      </c>
    </row>
    <row r="294">
      <c r="A294" s="14" t="inlineStr">
        <is>
          <t>Terre di Mezzo</t>
        </is>
      </c>
      <c r="B294" s="14" t="inlineStr">
        <is>
          <t>Un gattino come te</t>
        </is>
      </c>
      <c r="C294" s="14" t="inlineStr">
        <is>
          <t>Natalia Shaloshvili</t>
        </is>
      </c>
      <c r="D294" s="14" t="inlineStr">
        <is>
          <t>L'Acchiappastorie – Albi illustrati</t>
        </is>
      </c>
      <c r="E294" s="14" t="inlineStr">
        <is>
          <t>albi illustrati (età indicativa)</t>
        </is>
      </c>
      <c r="F294" s="14" t="inlineStr">
        <is>
          <t>3-6 anni</t>
        </is>
      </c>
      <c r="G294" s="14" t="inlineStr">
        <is>
          <t>Albo illustrato</t>
        </is>
      </c>
      <c r="H294" s="14" t="inlineStr"/>
      <c r="I294" s="14" t="inlineStr">
        <is>
          <t>No</t>
        </is>
      </c>
      <c r="J294" s="14" t="inlineStr">
        <is>
          <t>Collana</t>
        </is>
      </c>
      <c r="K294" s="14" t="inlineStr">
        <is>
          <t>3-6 anni</t>
        </is>
      </c>
      <c r="L294" s="14" t="inlineStr">
        <is>
          <t>Catalogo Terre di Mezzo 1° semestre 2026, p. 29 (ISBN 9791259961082)</t>
        </is>
      </c>
      <c r="M294" s="16" t="n">
        <v>16</v>
      </c>
      <c r="N294" s="14" t="inlineStr">
        <is>
          <t>Catalogo Terre di Mezzo 1° semestre 2026</t>
        </is>
      </c>
      <c r="O294" s="16">
        <f>IF(ISNUMBER(M294),ROUND(M294*(1-Condizioni!$B$2),2),"")</f>
        <v/>
      </c>
      <c r="P294" s="17" t="inlineStr">
        <is>
          <t>No</t>
        </is>
      </c>
    </row>
    <row r="295">
      <c r="A295" s="14" t="inlineStr">
        <is>
          <t>Terre di Mezzo</t>
        </is>
      </c>
      <c r="B295" s="14" t="inlineStr">
        <is>
          <t>Un leprotto molto di fretta</t>
        </is>
      </c>
      <c r="C295" s="14" t="inlineStr">
        <is>
          <t>Christian Merveille, Lorenzo Sangiò</t>
        </is>
      </c>
      <c r="D295" s="14" t="inlineStr">
        <is>
          <t>L'Acchiappastorie – Albi illustrati</t>
        </is>
      </c>
      <c r="E295" s="14" t="inlineStr">
        <is>
          <t>albi illustrati (età indicativa)</t>
        </is>
      </c>
      <c r="F295" s="14" t="inlineStr">
        <is>
          <t>3-6 anni</t>
        </is>
      </c>
      <c r="G295" s="14" t="inlineStr">
        <is>
          <t>Albo illustrato</t>
        </is>
      </c>
      <c r="H295" s="14" t="inlineStr"/>
      <c r="I295" s="14" t="inlineStr">
        <is>
          <t>No</t>
        </is>
      </c>
      <c r="J295" s="14" t="inlineStr">
        <is>
          <t>Collana</t>
        </is>
      </c>
      <c r="K295" s="14" t="inlineStr">
        <is>
          <t>3-6 anni</t>
        </is>
      </c>
      <c r="L295" s="14" t="inlineStr">
        <is>
          <t>Catalogo Terre di Mezzo 1° semestre 2026, p. 16 (ISBN 9791259963413)</t>
        </is>
      </c>
      <c r="M295" s="16" t="n">
        <v>16</v>
      </c>
      <c r="N295" s="14" t="inlineStr">
        <is>
          <t>Catalogo Terre di Mezzo 1° semestre 2026</t>
        </is>
      </c>
      <c r="O295" s="16">
        <f>IF(ISNUMBER(M295),ROUND(M295*(1-Condizioni!$B$2),2),"")</f>
        <v/>
      </c>
      <c r="P295" s="17" t="inlineStr">
        <is>
          <t>No</t>
        </is>
      </c>
    </row>
    <row r="296">
      <c r="A296" s="14" t="inlineStr">
        <is>
          <t>Terre di Mezzo</t>
        </is>
      </c>
      <c r="B296" s="14" t="inlineStr">
        <is>
          <t>Un mare d’amore</t>
        </is>
      </c>
      <c r="C296" s="14" t="inlineStr">
        <is>
          <t>Pieter Gaudesaboos</t>
        </is>
      </c>
      <c r="D296" s="14" t="inlineStr">
        <is>
          <t>L'Acchiappastorie – Albi illustrati</t>
        </is>
      </c>
      <c r="E296" s="14" t="inlineStr">
        <is>
          <t>albi illustrati (età indicativa)</t>
        </is>
      </c>
      <c r="F296" s="14" t="inlineStr">
        <is>
          <t>3-6 anni</t>
        </is>
      </c>
      <c r="G296" s="14" t="inlineStr">
        <is>
          <t>Albo illustrato</t>
        </is>
      </c>
      <c r="H296" s="14" t="inlineStr"/>
      <c r="I296" s="14" t="inlineStr">
        <is>
          <t>No</t>
        </is>
      </c>
      <c r="J296" s="14" t="inlineStr">
        <is>
          <t>Collana</t>
        </is>
      </c>
      <c r="K296" s="14" t="inlineStr">
        <is>
          <t>3-6 anni</t>
        </is>
      </c>
      <c r="L296" s="14" t="inlineStr">
        <is>
          <t>Catalogo Terre di Mezzo 1° semestre 2026, p. 27 (ISBN 9791259960429)</t>
        </is>
      </c>
      <c r="M296" s="16" t="n">
        <v>18</v>
      </c>
      <c r="N296" s="14" t="inlineStr">
        <is>
          <t>Catalogo Terre di Mezzo 1° semestre 2026</t>
        </is>
      </c>
      <c r="O296" s="16">
        <f>IF(ISNUMBER(M296),ROUND(M296*(1-Condizioni!$B$2),2),"")</f>
        <v/>
      </c>
      <c r="P296" s="17" t="inlineStr">
        <is>
          <t>No</t>
        </is>
      </c>
    </row>
    <row r="297">
      <c r="A297" s="14" t="inlineStr">
        <is>
          <t>Terre di Mezzo</t>
        </is>
      </c>
      <c r="B297" s="14" t="inlineStr">
        <is>
          <t>Un milione di Babbi Natale</t>
        </is>
      </c>
      <c r="C297" s="14" t="inlineStr">
        <is>
          <t>Hiroko Motai, Marika Maijala</t>
        </is>
      </c>
      <c r="D297" s="14" t="inlineStr">
        <is>
          <t>L'Acchiappastorie – Albi illustrati</t>
        </is>
      </c>
      <c r="E297" s="14" t="inlineStr">
        <is>
          <t>albi illustrati (età indicativa)</t>
        </is>
      </c>
      <c r="F297" s="14" t="inlineStr">
        <is>
          <t>3-6 anni</t>
        </is>
      </c>
      <c r="G297" s="14" t="inlineStr">
        <is>
          <t>Albo illustrato</t>
        </is>
      </c>
      <c r="H297" s="14" t="inlineStr"/>
      <c r="I297" s="14" t="inlineStr">
        <is>
          <t>No</t>
        </is>
      </c>
      <c r="J297" s="14" t="inlineStr">
        <is>
          <t>Collana</t>
        </is>
      </c>
      <c r="K297" s="14" t="inlineStr">
        <is>
          <t>3-6 anni</t>
        </is>
      </c>
      <c r="L297" s="14" t="inlineStr">
        <is>
          <t>Catalogo Terre di Mezzo 1° semestre 2026, p. 18 (ISBN 9791259964083)</t>
        </is>
      </c>
      <c r="M297" s="16" t="n">
        <v>16</v>
      </c>
      <c r="N297" s="14" t="inlineStr">
        <is>
          <t>Catalogo Terre di Mezzo 1° semestre 2026</t>
        </is>
      </c>
      <c r="O297" s="16">
        <f>IF(ISNUMBER(M297),ROUND(M297*(1-Condizioni!$B$2),2),"")</f>
        <v/>
      </c>
      <c r="P297" s="17" t="inlineStr">
        <is>
          <t>No</t>
        </is>
      </c>
    </row>
    <row r="298">
      <c r="A298" s="14" t="inlineStr">
        <is>
          <t>Terre di Mezzo</t>
        </is>
      </c>
      <c r="B298" s="14" t="inlineStr">
        <is>
          <t>Un posto chiamato casa</t>
        </is>
      </c>
      <c r="C298" s="14" t="inlineStr">
        <is>
          <t>Victoria Turnbull</t>
        </is>
      </c>
      <c r="D298" s="14" t="inlineStr">
        <is>
          <t>L'Acchiappastorie – Albi illustrati</t>
        </is>
      </c>
      <c r="E298" s="14" t="inlineStr">
        <is>
          <t>albi illustrati (età indicativa)</t>
        </is>
      </c>
      <c r="F298" s="14" t="inlineStr">
        <is>
          <t>3-6 anni</t>
        </is>
      </c>
      <c r="G298" s="14" t="inlineStr">
        <is>
          <t>Albo illustrato</t>
        </is>
      </c>
      <c r="H298" s="14" t="inlineStr"/>
      <c r="I298" s="14" t="inlineStr">
        <is>
          <t>No</t>
        </is>
      </c>
      <c r="J298" s="14" t="inlineStr">
        <is>
          <t>Collana</t>
        </is>
      </c>
      <c r="K298" s="14" t="inlineStr">
        <is>
          <t>3-6 anni</t>
        </is>
      </c>
      <c r="L298" s="14" t="inlineStr">
        <is>
          <t>Catalogo Terre di Mezzo 1° semestre 2026, p. 17 (ISBN 9791259963321)</t>
        </is>
      </c>
      <c r="M298" s="16" t="n">
        <v>16</v>
      </c>
      <c r="N298" s="14" t="inlineStr">
        <is>
          <t>Catalogo Terre di Mezzo 1° semestre 2026</t>
        </is>
      </c>
      <c r="O298" s="16">
        <f>IF(ISNUMBER(M298),ROUND(M298*(1-Condizioni!$B$2),2),"")</f>
        <v/>
      </c>
      <c r="P298" s="17" t="inlineStr">
        <is>
          <t>Sì</t>
        </is>
      </c>
    </row>
    <row r="299">
      <c r="A299" s="14" t="inlineStr">
        <is>
          <t>Terre di Mezzo</t>
        </is>
      </c>
      <c r="B299" s="14" t="inlineStr">
        <is>
          <t>Un posto nel cuore del maestro Orso Bruno</t>
        </is>
      </c>
      <c r="C299" s="14" t="inlineStr">
        <is>
          <t>Wu Ya-Nan, Liu Long-Sha</t>
        </is>
      </c>
      <c r="D299" s="14" t="inlineStr">
        <is>
          <t>L'Acchiappastorie – Albi illustrati</t>
        </is>
      </c>
      <c r="E299" s="14" t="inlineStr">
        <is>
          <t>albi illustrati (età indicativa)</t>
        </is>
      </c>
      <c r="F299" s="14" t="inlineStr">
        <is>
          <t>3-6 anni</t>
        </is>
      </c>
      <c r="G299" s="14" t="inlineStr">
        <is>
          <t>Albo illustrato</t>
        </is>
      </c>
      <c r="H299" s="14" t="inlineStr"/>
      <c r="I299" s="14" t="inlineStr">
        <is>
          <t>No</t>
        </is>
      </c>
      <c r="J299" s="14" t="inlineStr">
        <is>
          <t>Collana</t>
        </is>
      </c>
      <c r="K299" s="14" t="inlineStr">
        <is>
          <t>3-6 anni</t>
        </is>
      </c>
      <c r="L299" s="14" t="inlineStr">
        <is>
          <t>Catalogo Terre di Mezzo 1° semestre 2026, p. 12 (ISBN 9791259963918)</t>
        </is>
      </c>
      <c r="M299" s="16" t="n">
        <v>16</v>
      </c>
      <c r="N299" s="14" t="inlineStr">
        <is>
          <t>Catalogo Terre di Mezzo 1° semestre 2026</t>
        </is>
      </c>
      <c r="O299" s="16">
        <f>IF(ISNUMBER(M299),ROUND(M299*(1-Condizioni!$B$2),2),"")</f>
        <v/>
      </c>
      <c r="P299" s="17" t="inlineStr">
        <is>
          <t>Sì</t>
        </is>
      </c>
    </row>
    <row r="300">
      <c r="A300" s="14" t="inlineStr">
        <is>
          <t>Terre di Mezzo</t>
        </is>
      </c>
      <c r="B300" s="14" t="inlineStr">
        <is>
          <t>Un tempo il mondo era di chi dormiva più a lungo</t>
        </is>
      </c>
      <c r="C300" s="14" t="inlineStr">
        <is>
          <t>Massimo D’Anolfi, Giulia Pastorino</t>
        </is>
      </c>
      <c r="D300" s="14" t="inlineStr">
        <is>
          <t>L'Acchiappastorie – Albi illustrati</t>
        </is>
      </c>
      <c r="E300" s="14" t="inlineStr">
        <is>
          <t>albi illustrati (età indicativa)</t>
        </is>
      </c>
      <c r="F300" s="14" t="inlineStr">
        <is>
          <t>3-6 anni</t>
        </is>
      </c>
      <c r="G300" s="14" t="inlineStr">
        <is>
          <t>Albo illustrato</t>
        </is>
      </c>
      <c r="H300" s="14" t="inlineStr"/>
      <c r="I300" s="14" t="inlineStr">
        <is>
          <t>No</t>
        </is>
      </c>
      <c r="J300" s="14" t="inlineStr">
        <is>
          <t>Collana</t>
        </is>
      </c>
      <c r="K300" s="14" t="inlineStr">
        <is>
          <t>3-6 anni</t>
        </is>
      </c>
      <c r="L300" s="14" t="inlineStr">
        <is>
          <t>Catalogo Terre di Mezzo 1° semestre 2026, p. 10 (ISBN 9791259963260)</t>
        </is>
      </c>
      <c r="M300" s="16" t="n">
        <v>16</v>
      </c>
      <c r="N300" s="14" t="inlineStr">
        <is>
          <t>Catalogo Terre di Mezzo 1° semestre 2026</t>
        </is>
      </c>
      <c r="O300" s="16">
        <f>IF(ISNUMBER(M300),ROUND(M300*(1-Condizioni!$B$2),2),"")</f>
        <v/>
      </c>
      <c r="P300" s="17" t="inlineStr">
        <is>
          <t>No</t>
        </is>
      </c>
    </row>
    <row r="301">
      <c r="A301" s="14" t="inlineStr">
        <is>
          <t>Terre di Mezzo</t>
        </is>
      </c>
      <c r="B301" s="14" t="inlineStr">
        <is>
          <t>Un tè all’acqua di nuvola</t>
        </is>
      </c>
      <c r="C301" s="14" t="inlineStr">
        <is>
          <t>Karen Hottois, Chloé Malard</t>
        </is>
      </c>
      <c r="D301" s="14" t="inlineStr">
        <is>
          <t>L'Acchiappastorie – Albi illustrati</t>
        </is>
      </c>
      <c r="E301" s="14" t="inlineStr">
        <is>
          <t>albi illustrati (età indicativa)</t>
        </is>
      </c>
      <c r="F301" s="14" t="inlineStr">
        <is>
          <t>3-6 anni</t>
        </is>
      </c>
      <c r="G301" s="14" t="inlineStr">
        <is>
          <t>Albo illustrato</t>
        </is>
      </c>
      <c r="H301" s="14" t="inlineStr"/>
      <c r="I301" s="14" t="inlineStr">
        <is>
          <t>No</t>
        </is>
      </c>
      <c r="J301" s="14" t="inlineStr">
        <is>
          <t>Collana</t>
        </is>
      </c>
      <c r="K301" s="14" t="inlineStr">
        <is>
          <t>3-6 anni</t>
        </is>
      </c>
      <c r="L301" s="14" t="inlineStr">
        <is>
          <t>Catalogo Terre di Mezzo 1° semestre 2026, p. 34 (ISBN 9791259961129)</t>
        </is>
      </c>
      <c r="M301" s="16" t="n">
        <v>14</v>
      </c>
      <c r="N301" s="14" t="inlineStr">
        <is>
          <t>Catalogo Terre di Mezzo 1° semestre 2026</t>
        </is>
      </c>
      <c r="O301" s="16">
        <f>IF(ISNUMBER(M301),ROUND(M301*(1-Condizioni!$B$2),2),"")</f>
        <v/>
      </c>
      <c r="P301" s="17" t="inlineStr">
        <is>
          <t>No</t>
        </is>
      </c>
    </row>
    <row r="302">
      <c r="A302" s="14" t="inlineStr">
        <is>
          <t>Terre di Mezzo</t>
        </is>
      </c>
      <c r="B302" s="14" t="inlineStr">
        <is>
          <t>Un veliero tutto per me</t>
        </is>
      </c>
      <c r="C302" s="14" t="inlineStr">
        <is>
          <t>Travis Jonker, Matthew Cordell</t>
        </is>
      </c>
      <c r="D302" s="14" t="inlineStr">
        <is>
          <t>L'Acchiappastorie – Albi illustrati</t>
        </is>
      </c>
      <c r="E302" s="14" t="inlineStr">
        <is>
          <t>albi illustrati (età indicativa)</t>
        </is>
      </c>
      <c r="F302" s="14" t="inlineStr">
        <is>
          <t>3-6 anni</t>
        </is>
      </c>
      <c r="G302" s="14" t="inlineStr">
        <is>
          <t>Albo illustrato</t>
        </is>
      </c>
      <c r="H302" s="14" t="inlineStr"/>
      <c r="I302" s="14" t="inlineStr">
        <is>
          <t>No</t>
        </is>
      </c>
      <c r="J302" s="14" t="inlineStr">
        <is>
          <t>Collana</t>
        </is>
      </c>
      <c r="K302" s="14" t="inlineStr">
        <is>
          <t>3-6 anni</t>
        </is>
      </c>
      <c r="L302" s="14" t="inlineStr">
        <is>
          <t>Catalogo Terre di Mezzo 1° semestre 2026, p. 21 (ISBN 9791259962607)</t>
        </is>
      </c>
      <c r="M302" s="16" t="n">
        <v>16</v>
      </c>
      <c r="N302" s="14" t="inlineStr">
        <is>
          <t>Catalogo Terre di Mezzo 1° semestre 2026</t>
        </is>
      </c>
      <c r="O302" s="16">
        <f>IF(ISNUMBER(M302),ROUND(M302*(1-Condizioni!$B$2),2),"")</f>
        <v/>
      </c>
      <c r="P302" s="17" t="inlineStr">
        <is>
          <t>No</t>
        </is>
      </c>
    </row>
    <row r="303">
      <c r="A303" s="14" t="inlineStr">
        <is>
          <t>Terre di Mezzo</t>
        </is>
      </c>
      <c r="B303" s="14" t="inlineStr">
        <is>
          <t>Una casa di nuovo</t>
        </is>
      </c>
      <c r="C303" s="14" t="inlineStr">
        <is>
          <t>Colleen Rowan Kosinski, Valeria Docampo</t>
        </is>
      </c>
      <c r="D303" s="14" t="inlineStr">
        <is>
          <t>L'Acchiappastorie – Albi illustrati</t>
        </is>
      </c>
      <c r="E303" s="14" t="inlineStr">
        <is>
          <t>albi illustrati (età indicativa)</t>
        </is>
      </c>
      <c r="F303" s="14" t="inlineStr">
        <is>
          <t>3-6 anni</t>
        </is>
      </c>
      <c r="G303" s="14" t="inlineStr">
        <is>
          <t>Albo illustrato</t>
        </is>
      </c>
      <c r="H303" s="14" t="inlineStr"/>
      <c r="I303" s="14" t="inlineStr">
        <is>
          <t>No</t>
        </is>
      </c>
      <c r="J303" s="14" t="inlineStr">
        <is>
          <t>Collana</t>
        </is>
      </c>
      <c r="K303" s="14" t="inlineStr">
        <is>
          <t>3-6 anni</t>
        </is>
      </c>
      <c r="L303" s="14" t="inlineStr">
        <is>
          <t>Catalogo Terre di Mezzo 1° semestre 2026, p. 32 (ISBN 9788861897786)</t>
        </is>
      </c>
      <c r="M303" s="16" t="n">
        <v>15</v>
      </c>
      <c r="N303" s="14" t="inlineStr">
        <is>
          <t>Catalogo Terre di Mezzo 1° semestre 2026</t>
        </is>
      </c>
      <c r="O303" s="16">
        <f>IF(ISNUMBER(M303),ROUND(M303*(1-Condizioni!$B$2),2),"")</f>
        <v/>
      </c>
      <c r="P303" s="17" t="inlineStr">
        <is>
          <t>No</t>
        </is>
      </c>
    </row>
    <row r="304">
      <c r="A304" s="14" t="inlineStr">
        <is>
          <t>Terre di Mezzo</t>
        </is>
      </c>
      <c r="B304" s="14" t="inlineStr">
        <is>
          <t>Una notte all’insect Hotel</t>
        </is>
      </c>
      <c r="C304" s="14" t="inlineStr">
        <is>
          <t>Claire Schvartz</t>
        </is>
      </c>
      <c r="D304" s="14" t="inlineStr">
        <is>
          <t>L'Acchiappastorie – Albi illustrati</t>
        </is>
      </c>
      <c r="E304" s="14" t="inlineStr">
        <is>
          <t>albi illustrati (età indicativa)</t>
        </is>
      </c>
      <c r="F304" s="14" t="inlineStr">
        <is>
          <t>3-6 anni</t>
        </is>
      </c>
      <c r="G304" s="14" t="inlineStr">
        <is>
          <t>Albo illustrato</t>
        </is>
      </c>
      <c r="H304" s="14" t="inlineStr"/>
      <c r="I304" s="14" t="inlineStr">
        <is>
          <t>No</t>
        </is>
      </c>
      <c r="J304" s="14" t="inlineStr">
        <is>
          <t>Collana</t>
        </is>
      </c>
      <c r="K304" s="14" t="inlineStr">
        <is>
          <t>3-6 anni</t>
        </is>
      </c>
      <c r="L304" s="14" t="inlineStr">
        <is>
          <t>Catalogo Terre di Mezzo 1° semestre 2026, p. 30 (ISBN 9791259960276)</t>
        </is>
      </c>
      <c r="M304" s="16" t="n">
        <v>15</v>
      </c>
      <c r="N304" s="14" t="inlineStr">
        <is>
          <t>Catalogo Terre di Mezzo 1° semestre 2026</t>
        </is>
      </c>
      <c r="O304" s="16">
        <f>IF(ISNUMBER(M304),ROUND(M304*(1-Condizioni!$B$2),2),"")</f>
        <v/>
      </c>
      <c r="P304" s="17" t="inlineStr">
        <is>
          <t>No</t>
        </is>
      </c>
    </row>
    <row r="305">
      <c r="A305" s="14" t="inlineStr">
        <is>
          <t>Terre di Mezzo</t>
        </is>
      </c>
      <c r="B305" s="14" t="inlineStr">
        <is>
          <t>Una splendida giornata</t>
        </is>
      </c>
      <c r="C305" s="14" t="inlineStr">
        <is>
          <t>Richard Jackson, Suzy Lee</t>
        </is>
      </c>
      <c r="D305" s="14" t="inlineStr">
        <is>
          <t>L'Acchiappastorie – Albi illustrati</t>
        </is>
      </c>
      <c r="E305" s="14" t="inlineStr">
        <is>
          <t>albi illustrati (età indicativa)</t>
        </is>
      </c>
      <c r="F305" s="14" t="inlineStr">
        <is>
          <t>3-6 anni</t>
        </is>
      </c>
      <c r="G305" s="14" t="inlineStr">
        <is>
          <t>Albo illustrato</t>
        </is>
      </c>
      <c r="H305" s="14" t="inlineStr"/>
      <c r="I305" s="14" t="inlineStr">
        <is>
          <t>No</t>
        </is>
      </c>
      <c r="J305" s="14" t="inlineStr">
        <is>
          <t>Collana</t>
        </is>
      </c>
      <c r="K305" s="14" t="inlineStr">
        <is>
          <t>3-6 anni</t>
        </is>
      </c>
      <c r="L305" s="14" t="inlineStr">
        <is>
          <t>Catalogo Terre di Mezzo 1° semestre 2026, p. 38 (ISBN 9788861894358)</t>
        </is>
      </c>
      <c r="M305" s="16" t="n">
        <v>16</v>
      </c>
      <c r="N305" s="14" t="inlineStr">
        <is>
          <t>Catalogo Terre di Mezzo 1° semestre 2026</t>
        </is>
      </c>
      <c r="O305" s="16">
        <f>IF(ISNUMBER(M305),ROUND(M305*(1-Condizioni!$B$2),2),"")</f>
        <v/>
      </c>
      <c r="P305" s="17" t="inlineStr">
        <is>
          <t>No</t>
        </is>
      </c>
    </row>
    <row r="306">
      <c r="A306" s="14" t="inlineStr">
        <is>
          <t>Terre di Mezzo</t>
        </is>
      </c>
      <c r="B306" s="14" t="inlineStr">
        <is>
          <t>Una storia molto in ritardo</t>
        </is>
      </c>
      <c r="C306" s="14" t="inlineStr">
        <is>
          <t>Marianna Coppo</t>
        </is>
      </c>
      <c r="D306" s="14" t="inlineStr">
        <is>
          <t>L'Acchiappastorie – Albi illustrati</t>
        </is>
      </c>
      <c r="E306" s="14" t="inlineStr">
        <is>
          <t>albi illustrati (età indicativa)</t>
        </is>
      </c>
      <c r="F306" s="14" t="inlineStr">
        <is>
          <t>3-6 anni</t>
        </is>
      </c>
      <c r="G306" s="14" t="inlineStr">
        <is>
          <t>Albo illustrato</t>
        </is>
      </c>
      <c r="H306" s="14" t="inlineStr"/>
      <c r="I306" s="14" t="inlineStr">
        <is>
          <t>No</t>
        </is>
      </c>
      <c r="J306" s="14" t="inlineStr">
        <is>
          <t>Collana</t>
        </is>
      </c>
      <c r="K306" s="14" t="inlineStr">
        <is>
          <t>3-6 anni</t>
        </is>
      </c>
      <c r="L306" s="14" t="inlineStr">
        <is>
          <t>Catalogo Terre di Mezzo 1° semestre 2026, p. 36 (ISBN 9788861895140)</t>
        </is>
      </c>
      <c r="M306" s="16" t="n">
        <v>12.9</v>
      </c>
      <c r="N306" s="14" t="inlineStr">
        <is>
          <t>Catalogo Terre di Mezzo 1° semestre 2026</t>
        </is>
      </c>
      <c r="O306" s="16">
        <f>IF(ISNUMBER(M306),ROUND(M306*(1-Condizioni!$B$2),2),"")</f>
        <v/>
      </c>
      <c r="P306" s="17" t="inlineStr">
        <is>
          <t>No</t>
        </is>
      </c>
    </row>
    <row r="307">
      <c r="A307" s="14" t="inlineStr">
        <is>
          <t>Terre di Mezzo</t>
        </is>
      </c>
      <c r="B307" s="14" t="inlineStr">
        <is>
          <t>Una vacanza da unicorni</t>
        </is>
      </c>
      <c r="C307" s="14" t="inlineStr">
        <is>
          <t>Gilles Bachelet</t>
        </is>
      </c>
      <c r="D307" s="14" t="inlineStr">
        <is>
          <t>L'Acchiappastorie – Albi illustrati</t>
        </is>
      </c>
      <c r="E307" s="14" t="inlineStr">
        <is>
          <t>albi illustrati (età indicativa)</t>
        </is>
      </c>
      <c r="F307" s="14" t="inlineStr">
        <is>
          <t>3-6 anni</t>
        </is>
      </c>
      <c r="G307" s="14" t="inlineStr">
        <is>
          <t>Albo illustrato</t>
        </is>
      </c>
      <c r="H307" s="14" t="inlineStr"/>
      <c r="I307" s="14" t="inlineStr">
        <is>
          <t>No</t>
        </is>
      </c>
      <c r="J307" s="14" t="inlineStr">
        <is>
          <t>Collana</t>
        </is>
      </c>
      <c r="K307" s="14" t="inlineStr">
        <is>
          <t>3-6 anni</t>
        </is>
      </c>
      <c r="L307" s="14" t="inlineStr">
        <is>
          <t>Catalogo Terre di Mezzo 1° semestre 2026, p. 30 (ISBN 9788861897434)</t>
        </is>
      </c>
      <c r="M307" s="16" t="n">
        <v>16</v>
      </c>
      <c r="N307" s="14" t="inlineStr">
        <is>
          <t>Catalogo Terre di Mezzo 1° semestre 2026</t>
        </is>
      </c>
      <c r="O307" s="16">
        <f>IF(ISNUMBER(M307),ROUND(M307*(1-Condizioni!$B$2),2),"")</f>
        <v/>
      </c>
      <c r="P307" s="17" t="inlineStr">
        <is>
          <t>No</t>
        </is>
      </c>
    </row>
    <row r="308">
      <c r="A308" s="14" t="inlineStr">
        <is>
          <t>Terre di Mezzo</t>
        </is>
      </c>
      <c r="B308" s="14" t="inlineStr">
        <is>
          <t>Vita da ape</t>
        </is>
      </c>
      <c r="C308" s="14" t="inlineStr">
        <is>
          <t>Kirsten Hall, Isabelle Arsenault</t>
        </is>
      </c>
      <c r="D308" s="14" t="inlineStr">
        <is>
          <t>L'Acchiappastorie – Albi illustrati</t>
        </is>
      </c>
      <c r="E308" s="14" t="inlineStr">
        <is>
          <t>albi illustrati (età indicativa)</t>
        </is>
      </c>
      <c r="F308" s="14" t="inlineStr">
        <is>
          <t>3-6 anni</t>
        </is>
      </c>
      <c r="G308" s="14" t="inlineStr">
        <is>
          <t>Albo illustrato</t>
        </is>
      </c>
      <c r="H308" s="14" t="inlineStr"/>
      <c r="I308" s="14" t="inlineStr">
        <is>
          <t>No</t>
        </is>
      </c>
      <c r="J308" s="14" t="inlineStr">
        <is>
          <t>Collana</t>
        </is>
      </c>
      <c r="K308" s="14" t="inlineStr">
        <is>
          <t>3-6 anni</t>
        </is>
      </c>
      <c r="L308" s="14" t="inlineStr">
        <is>
          <t>Catalogo Terre di Mezzo 1° semestre 2026, p. 17 (ISBN 9788861895072)</t>
        </is>
      </c>
      <c r="M308" s="16" t="n">
        <v>16</v>
      </c>
      <c r="N308" s="14" t="inlineStr">
        <is>
          <t>Catalogo Terre di Mezzo 1° semestre 2026</t>
        </is>
      </c>
      <c r="O308" s="16">
        <f>IF(ISNUMBER(M308),ROUND(M308*(1-Condizioni!$B$2),2),"")</f>
        <v/>
      </c>
      <c r="P308" s="17" t="inlineStr">
        <is>
          <t>No</t>
        </is>
      </c>
    </row>
    <row r="309">
      <c r="A309" s="14" t="inlineStr">
        <is>
          <t>Terre di Mezzo</t>
        </is>
      </c>
      <c r="B309" s="14" t="inlineStr">
        <is>
          <t>Vita da farfalla</t>
        </is>
      </c>
      <c r="C309" s="14" t="inlineStr">
        <is>
          <t>Kirsten Hall, Isabelle Arsenault</t>
        </is>
      </c>
      <c r="D309" s="14" t="inlineStr">
        <is>
          <t>L'Acchiappastorie – Albi illustrati</t>
        </is>
      </c>
      <c r="E309" s="14" t="inlineStr">
        <is>
          <t>albi illustrati (età indicativa)</t>
        </is>
      </c>
      <c r="F309" s="14" t="inlineStr">
        <is>
          <t>3-6 anni</t>
        </is>
      </c>
      <c r="G309" s="14" t="inlineStr">
        <is>
          <t>Albo illustrato</t>
        </is>
      </c>
      <c r="H309" s="14" t="inlineStr"/>
      <c r="I309" s="14" t="inlineStr">
        <is>
          <t>No</t>
        </is>
      </c>
      <c r="J309" s="14" t="inlineStr">
        <is>
          <t>Collana</t>
        </is>
      </c>
      <c r="K309" s="14" t="inlineStr">
        <is>
          <t>3-6 anni</t>
        </is>
      </c>
      <c r="L309" s="14" t="inlineStr">
        <is>
          <t>Catalogo Terre di Mezzo 1° semestre 2026, p. 17 (ISBN 9791259963239)</t>
        </is>
      </c>
      <c r="M309" s="16" t="n">
        <v>16</v>
      </c>
      <c r="N309" s="14" t="inlineStr">
        <is>
          <t>Catalogo Terre di Mezzo 1° semestre 2026</t>
        </is>
      </c>
      <c r="O309" s="16">
        <f>IF(ISNUMBER(M309),ROUND(M309*(1-Condizioni!$B$2),2),"")</f>
        <v/>
      </c>
      <c r="P309" s="17" t="inlineStr">
        <is>
          <t>No</t>
        </is>
      </c>
    </row>
    <row r="310">
      <c r="A310" s="14" t="inlineStr">
        <is>
          <t>Terre di Mezzo</t>
        </is>
      </c>
      <c r="B310" s="14" t="inlineStr">
        <is>
          <t>(Per davvero)</t>
        </is>
      </c>
      <c r="C310" s="14" t="inlineStr">
        <is>
          <t>DORY FANTASMAGORICA TROVA UN’AMICA</t>
        </is>
      </c>
      <c r="D310" s="14" t="inlineStr">
        <is>
          <t>L'Acchiappastorie – Primi lettori</t>
        </is>
      </c>
      <c r="E310" s="14" t="inlineStr">
        <is>
          <t>primi lettori</t>
        </is>
      </c>
      <c r="F310" s="14" t="inlineStr">
        <is>
          <t>Prime letture (6-8)</t>
        </is>
      </c>
      <c r="G310" s="14" t="inlineStr">
        <is>
          <t>Narrativa</t>
        </is>
      </c>
      <c r="H310" s="14" t="inlineStr"/>
      <c r="I310" s="14" t="inlineStr">
        <is>
          <t>No</t>
        </is>
      </c>
      <c r="J310" s="14" t="inlineStr">
        <is>
          <t>Collana</t>
        </is>
      </c>
      <c r="K310" s="14" t="inlineStr">
        <is>
          <t>prime letture, narrativa</t>
        </is>
      </c>
      <c r="L310" s="14" t="inlineStr">
        <is>
          <t>Catalogo Terre di Mezzo 1° semestre 2026, p. 53 (ISBN 9788861894013)</t>
        </is>
      </c>
      <c r="M310" s="16" t="n">
        <v>13.5</v>
      </c>
      <c r="N310" s="14" t="inlineStr">
        <is>
          <t>Catalogo Terre di Mezzo 1° semestre 2026</t>
        </is>
      </c>
      <c r="O310" s="16">
        <f>IF(ISNUMBER(M310),ROUND(M310*(1-Condizioni!$B$2),2),"")</f>
        <v/>
      </c>
      <c r="P310" s="17" t="inlineStr">
        <is>
          <t>No</t>
        </is>
      </c>
    </row>
    <row r="311">
      <c r="A311" s="14" t="inlineStr">
        <is>
          <t>Terre di Mezzo</t>
        </is>
      </c>
      <c r="B311" s="14" t="inlineStr">
        <is>
          <t>Adelina Testafina e la chiave misteriosa</t>
        </is>
      </c>
      <c r="C311" s="14" t="inlineStr">
        <is>
          <t>Cristina Marsi, Francesca Carabelli</t>
        </is>
      </c>
      <c r="D311" s="14" t="inlineStr">
        <is>
          <t>L'Acchiappastorie – Primi lettori</t>
        </is>
      </c>
      <c r="E311" s="14" t="inlineStr">
        <is>
          <t>primi lettori</t>
        </is>
      </c>
      <c r="F311" s="14" t="inlineStr">
        <is>
          <t>Prime letture (6-8)</t>
        </is>
      </c>
      <c r="G311" s="14" t="inlineStr">
        <is>
          <t>Narrativa</t>
        </is>
      </c>
      <c r="H311" s="14" t="inlineStr"/>
      <c r="I311" s="14" t="inlineStr">
        <is>
          <t>No</t>
        </is>
      </c>
      <c r="J311" s="14" t="inlineStr">
        <is>
          <t>Collana</t>
        </is>
      </c>
      <c r="K311" s="14" t="inlineStr">
        <is>
          <t>prime letture, narrativa</t>
        </is>
      </c>
      <c r="L311" s="14" t="inlineStr">
        <is>
          <t>Catalogo Terre di Mezzo 1° semestre 2026, p. 50 (ISBN 9791259962720)</t>
        </is>
      </c>
      <c r="M311" s="16" t="n">
        <v>12</v>
      </c>
      <c r="N311" s="14" t="inlineStr">
        <is>
          <t>Catalogo Terre di Mezzo 1° semestre 2026</t>
        </is>
      </c>
      <c r="O311" s="16">
        <f>IF(ISNUMBER(M311),ROUND(M311*(1-Condizioni!$B$2),2),"")</f>
        <v/>
      </c>
      <c r="P311" s="17" t="inlineStr">
        <is>
          <t>No</t>
        </is>
      </c>
    </row>
    <row r="312">
      <c r="A312" s="14" t="inlineStr">
        <is>
          <t>Terre di Mezzo</t>
        </is>
      </c>
      <c r="B312" s="14" t="inlineStr">
        <is>
          <t>Adelina testafina e i fantasmi di primavera</t>
        </is>
      </c>
      <c r="C312" s="14" t="inlineStr">
        <is>
          <t>Cristina Marsi, Francesca Carabelli</t>
        </is>
      </c>
      <c r="D312" s="14" t="inlineStr">
        <is>
          <t>L'Acchiappastorie – Primi lettori</t>
        </is>
      </c>
      <c r="E312" s="14" t="inlineStr">
        <is>
          <t>primi lettori</t>
        </is>
      </c>
      <c r="F312" s="14" t="inlineStr">
        <is>
          <t>Prime letture (6-8)</t>
        </is>
      </c>
      <c r="G312" s="14" t="inlineStr">
        <is>
          <t>Narrativa</t>
        </is>
      </c>
      <c r="H312" s="14" t="inlineStr"/>
      <c r="I312" s="14" t="inlineStr">
        <is>
          <t>No</t>
        </is>
      </c>
      <c r="J312" s="14" t="inlineStr">
        <is>
          <t>Collana</t>
        </is>
      </c>
      <c r="K312" s="14" t="inlineStr">
        <is>
          <t>prime letture, narrativa</t>
        </is>
      </c>
      <c r="L312" s="14" t="inlineStr">
        <is>
          <t>Catalogo Terre di Mezzo 1° semestre 2026, p. 50 (ISBN 9791259961099)</t>
        </is>
      </c>
      <c r="M312" s="16" t="n">
        <v>12</v>
      </c>
      <c r="N312" s="14" t="inlineStr">
        <is>
          <t>Catalogo Terre di Mezzo 1° semestre 2026</t>
        </is>
      </c>
      <c r="O312" s="16">
        <f>IF(ISNUMBER(M312),ROUND(M312*(1-Condizioni!$B$2),2),"")</f>
        <v/>
      </c>
      <c r="P312" s="17" t="inlineStr">
        <is>
          <t>No</t>
        </is>
      </c>
    </row>
    <row r="313">
      <c r="A313" s="14" t="inlineStr">
        <is>
          <t>Terre di Mezzo</t>
        </is>
      </c>
      <c r="B313" s="14" t="inlineStr">
        <is>
          <t>Adelina testafina e la lettera d’amore sbagliata</t>
        </is>
      </c>
      <c r="C313" s="14" t="inlineStr">
        <is>
          <t>Cristina Marsi, Francesca Carabelli</t>
        </is>
      </c>
      <c r="D313" s="14" t="inlineStr">
        <is>
          <t>L'Acchiappastorie – Primi lettori</t>
        </is>
      </c>
      <c r="E313" s="14" t="inlineStr">
        <is>
          <t>primi lettori</t>
        </is>
      </c>
      <c r="F313" s="14" t="inlineStr">
        <is>
          <t>Prime letture (6-8)</t>
        </is>
      </c>
      <c r="G313" s="14" t="inlineStr">
        <is>
          <t>Narrativa</t>
        </is>
      </c>
      <c r="H313" s="14" t="inlineStr"/>
      <c r="I313" s="14" t="inlineStr">
        <is>
          <t>No</t>
        </is>
      </c>
      <c r="J313" s="14" t="inlineStr">
        <is>
          <t>Collana</t>
        </is>
      </c>
      <c r="K313" s="14" t="inlineStr">
        <is>
          <t>prime letture, narrativa</t>
        </is>
      </c>
      <c r="L313" s="14" t="inlineStr">
        <is>
          <t>Catalogo Terre di Mezzo 1° semestre 2026, p. 50 (ISBN 9788861897694)</t>
        </is>
      </c>
      <c r="M313" s="16" t="n">
        <v>12</v>
      </c>
      <c r="N313" s="14" t="inlineStr">
        <is>
          <t>Catalogo Terre di Mezzo 1° semestre 2026</t>
        </is>
      </c>
      <c r="O313" s="16">
        <f>IF(ISNUMBER(M313),ROUND(M313*(1-Condizioni!$B$2),2),"")</f>
        <v/>
      </c>
      <c r="P313" s="17" t="inlineStr">
        <is>
          <t>No</t>
        </is>
      </c>
    </row>
    <row r="314">
      <c r="A314" s="14" t="inlineStr">
        <is>
          <t>Terre di Mezzo</t>
        </is>
      </c>
      <c r="B314" s="14" t="inlineStr">
        <is>
          <t>Anche ebook</t>
        </is>
      </c>
      <c r="C314" s="14" t="inlineStr">
        <is>
          <t>PUZZONE</t>
        </is>
      </c>
      <c r="D314" s="14" t="inlineStr">
        <is>
          <t>L'Acchiappastorie – Primi lettori</t>
        </is>
      </c>
      <c r="E314" s="14" t="inlineStr">
        <is>
          <t>primi lettori</t>
        </is>
      </c>
      <c r="F314" s="14" t="inlineStr">
        <is>
          <t>Prime letture (6-8)</t>
        </is>
      </c>
      <c r="G314" s="14" t="inlineStr">
        <is>
          <t>Narrativa</t>
        </is>
      </c>
      <c r="H314" s="14" t="inlineStr"/>
      <c r="I314" s="14" t="inlineStr">
        <is>
          <t>No</t>
        </is>
      </c>
      <c r="J314" s="14" t="inlineStr">
        <is>
          <t>Collana</t>
        </is>
      </c>
      <c r="K314" s="14" t="inlineStr">
        <is>
          <t>prime letture, narrativa</t>
        </is>
      </c>
      <c r="L314" s="14" t="inlineStr">
        <is>
          <t>Catalogo Terre di Mezzo 1° semestre 2026, p. 57 (ISBN 9788861894907)</t>
        </is>
      </c>
      <c r="M314" s="16" t="n">
        <v>16.9</v>
      </c>
      <c r="N314" s="14" t="inlineStr">
        <is>
          <t>Catalogo Terre di Mezzo 1° semestre 2026</t>
        </is>
      </c>
      <c r="O314" s="16">
        <f>IF(ISNUMBER(M314),ROUND(M314*(1-Condizioni!$B$2),2),"")</f>
        <v/>
      </c>
      <c r="P314" s="17" t="inlineStr">
        <is>
          <t>No</t>
        </is>
      </c>
    </row>
    <row r="315">
      <c r="A315" s="14" t="inlineStr">
        <is>
          <t>Terre di Mezzo</t>
        </is>
      </c>
      <c r="B315" s="14" t="inlineStr">
        <is>
          <t>Anche ebook</t>
        </is>
      </c>
      <c r="C315" s="14" t="inlineStr">
        <is>
          <t>ANCHE EBOOK</t>
        </is>
      </c>
      <c r="D315" s="14" t="inlineStr">
        <is>
          <t>L'Acchiappastorie – Primi lettori</t>
        </is>
      </c>
      <c r="E315" s="14" t="inlineStr">
        <is>
          <t>primi lettori</t>
        </is>
      </c>
      <c r="F315" s="14" t="inlineStr">
        <is>
          <t>Prime letture (6-8)</t>
        </is>
      </c>
      <c r="G315" s="14" t="inlineStr">
        <is>
          <t>Narrativa</t>
        </is>
      </c>
      <c r="H315" s="14" t="inlineStr"/>
      <c r="I315" s="14" t="inlineStr">
        <is>
          <t>No</t>
        </is>
      </c>
      <c r="J315" s="14" t="inlineStr">
        <is>
          <t>Collana</t>
        </is>
      </c>
      <c r="K315" s="14" t="inlineStr">
        <is>
          <t>prime letture, narrativa</t>
        </is>
      </c>
      <c r="L315" s="14" t="inlineStr">
        <is>
          <t>Catalogo Terre di Mezzo 1° semestre 2026, p. 58 (ISBN 9788861896239)</t>
        </is>
      </c>
      <c r="M315" s="16" t="n">
        <v>16.9</v>
      </c>
      <c r="N315" s="14" t="inlineStr">
        <is>
          <t>Catalogo Terre di Mezzo 1° semestre 2026</t>
        </is>
      </c>
      <c r="O315" s="16">
        <f>IF(ISNUMBER(M315),ROUND(M315*(1-Condizioni!$B$2),2),"")</f>
        <v/>
      </c>
      <c r="P315" s="17" t="inlineStr">
        <is>
          <t>No</t>
        </is>
      </c>
    </row>
    <row r="316">
      <c r="A316" s="14" t="inlineStr">
        <is>
          <t>Terre di Mezzo</t>
        </is>
      </c>
      <c r="B316" s="14" t="inlineStr">
        <is>
          <t>Anche ebook</t>
        </is>
      </c>
      <c r="C316" s="14" t="inlineStr">
        <is>
          <t>ANCHE EBOOK</t>
        </is>
      </c>
      <c r="D316" s="14" t="inlineStr">
        <is>
          <t>L'Acchiappastorie – Primi lettori</t>
        </is>
      </c>
      <c r="E316" s="14" t="inlineStr">
        <is>
          <t>primi lettori</t>
        </is>
      </c>
      <c r="F316" s="14" t="inlineStr">
        <is>
          <t>Prime letture (6-8)</t>
        </is>
      </c>
      <c r="G316" s="14" t="inlineStr">
        <is>
          <t>Narrativa</t>
        </is>
      </c>
      <c r="H316" s="14" t="inlineStr"/>
      <c r="I316" s="14" t="inlineStr">
        <is>
          <t>No</t>
        </is>
      </c>
      <c r="J316" s="14" t="inlineStr">
        <is>
          <t>Collana</t>
        </is>
      </c>
      <c r="K316" s="14" t="inlineStr">
        <is>
          <t>prime letture, narrativa</t>
        </is>
      </c>
      <c r="L316" s="14" t="inlineStr">
        <is>
          <t>Catalogo Terre di Mezzo 1° semestre 2026, p. 58 (ISBN 9788861896512)</t>
        </is>
      </c>
      <c r="M316" s="16" t="n">
        <v>16.9</v>
      </c>
      <c r="N316" s="14" t="inlineStr">
        <is>
          <t>Catalogo Terre di Mezzo 1° semestre 2026</t>
        </is>
      </c>
      <c r="O316" s="16">
        <f>IF(ISNUMBER(M316),ROUND(M316*(1-Condizioni!$B$2),2),"")</f>
        <v/>
      </c>
      <c r="P316" s="17" t="inlineStr">
        <is>
          <t>No</t>
        </is>
      </c>
    </row>
    <row r="317">
      <c r="A317" s="14" t="inlineStr">
        <is>
          <t>Terre di Mezzo</t>
        </is>
      </c>
      <c r="B317" s="14" t="inlineStr">
        <is>
          <t>Anche ebook</t>
        </is>
      </c>
      <c r="C317" s="14" t="inlineStr">
        <is>
          <t>ANCHE EBOOK</t>
        </is>
      </c>
      <c r="D317" s="14" t="inlineStr">
        <is>
          <t>L'Acchiappastorie – Primi lettori</t>
        </is>
      </c>
      <c r="E317" s="14" t="inlineStr">
        <is>
          <t>primi lettori</t>
        </is>
      </c>
      <c r="F317" s="14" t="inlineStr">
        <is>
          <t>Prime letture (6-8)</t>
        </is>
      </c>
      <c r="G317" s="14" t="inlineStr">
        <is>
          <t>Narrativa</t>
        </is>
      </c>
      <c r="H317" s="14" t="inlineStr"/>
      <c r="I317" s="14" t="inlineStr">
        <is>
          <t>No</t>
        </is>
      </c>
      <c r="J317" s="14" t="inlineStr">
        <is>
          <t>Collana</t>
        </is>
      </c>
      <c r="K317" s="14" t="inlineStr">
        <is>
          <t>prime letture, narrativa</t>
        </is>
      </c>
      <c r="L317" s="14" t="inlineStr">
        <is>
          <t>Catalogo Terre di Mezzo 1° semestre 2026, p. 58 (ISBN 9788861897212)</t>
        </is>
      </c>
      <c r="M317" s="16" t="n">
        <v>16.9</v>
      </c>
      <c r="N317" s="14" t="inlineStr">
        <is>
          <t>Catalogo Terre di Mezzo 1° semestre 2026</t>
        </is>
      </c>
      <c r="O317" s="16">
        <f>IF(ISNUMBER(M317),ROUND(M317*(1-Condizioni!$B$2),2),"")</f>
        <v/>
      </c>
      <c r="P317" s="17" t="inlineStr">
        <is>
          <t>No</t>
        </is>
      </c>
    </row>
    <row r="318">
      <c r="A318" s="14" t="inlineStr">
        <is>
          <t>Terre di Mezzo</t>
        </is>
      </c>
      <c r="B318" s="14" t="inlineStr">
        <is>
          <t>Anche ebook</t>
        </is>
      </c>
      <c r="C318" s="14" t="inlineStr">
        <is>
          <t>ANCHE EBOOK</t>
        </is>
      </c>
      <c r="D318" s="14" t="inlineStr">
        <is>
          <t>L'Acchiappastorie – Primi lettori</t>
        </is>
      </c>
      <c r="E318" s="14" t="inlineStr">
        <is>
          <t>primi lettori</t>
        </is>
      </c>
      <c r="F318" s="14" t="inlineStr">
        <is>
          <t>Prime letture (6-8)</t>
        </is>
      </c>
      <c r="G318" s="14" t="inlineStr">
        <is>
          <t>Narrativa</t>
        </is>
      </c>
      <c r="H318" s="14" t="inlineStr"/>
      <c r="I318" s="14" t="inlineStr">
        <is>
          <t>No</t>
        </is>
      </c>
      <c r="J318" s="14" t="inlineStr">
        <is>
          <t>Collana</t>
        </is>
      </c>
      <c r="K318" s="14" t="inlineStr">
        <is>
          <t>prime letture, narrativa</t>
        </is>
      </c>
      <c r="L318" s="14" t="inlineStr">
        <is>
          <t>Catalogo Terre di Mezzo 1° semestre 2026, p. 58 (ISBN 9788861897243)</t>
        </is>
      </c>
      <c r="M318" s="16" t="n">
        <v>16.9</v>
      </c>
      <c r="N318" s="14" t="inlineStr">
        <is>
          <t>Catalogo Terre di Mezzo 1° semestre 2026</t>
        </is>
      </c>
      <c r="O318" s="16">
        <f>IF(ISNUMBER(M318),ROUND(M318*(1-Condizioni!$B$2),2),"")</f>
        <v/>
      </c>
      <c r="P318" s="17" t="inlineStr">
        <is>
          <t>No</t>
        </is>
      </c>
    </row>
    <row r="319">
      <c r="A319" s="14" t="inlineStr">
        <is>
          <t>Terre di Mezzo</t>
        </is>
      </c>
      <c r="B319" s="14" t="inlineStr">
        <is>
          <t>Anche ebook</t>
        </is>
      </c>
      <c r="C319" s="14" t="inlineStr">
        <is>
          <t>GURU</t>
        </is>
      </c>
      <c r="D319" s="14" t="inlineStr">
        <is>
          <t>L'Acchiappastorie – Primi lettori</t>
        </is>
      </c>
      <c r="E319" s="14" t="inlineStr">
        <is>
          <t>primi lettori</t>
        </is>
      </c>
      <c r="F319" s="14" t="inlineStr">
        <is>
          <t>Prime letture (6-8)</t>
        </is>
      </c>
      <c r="G319" s="14" t="inlineStr">
        <is>
          <t>Narrativa</t>
        </is>
      </c>
      <c r="H319" s="14" t="inlineStr"/>
      <c r="I319" s="14" t="inlineStr">
        <is>
          <t>No</t>
        </is>
      </c>
      <c r="J319" s="14" t="inlineStr">
        <is>
          <t>Collana</t>
        </is>
      </c>
      <c r="K319" s="14" t="inlineStr">
        <is>
          <t>prime letture, narrativa</t>
        </is>
      </c>
      <c r="L319" s="14" t="inlineStr">
        <is>
          <t>Catalogo Terre di Mezzo 1° semestre 2026, p. 58 (ISBN 9791259961730)</t>
        </is>
      </c>
      <c r="M319" s="16" t="n">
        <v>16.9</v>
      </c>
      <c r="N319" s="14" t="inlineStr">
        <is>
          <t>Catalogo Terre di Mezzo 1° semestre 2026</t>
        </is>
      </c>
      <c r="O319" s="16">
        <f>IF(ISNUMBER(M319),ROUND(M319*(1-Condizioni!$B$2),2),"")</f>
        <v/>
      </c>
      <c r="P319" s="17" t="inlineStr">
        <is>
          <t>No</t>
        </is>
      </c>
    </row>
    <row r="320">
      <c r="A320" s="14" t="inlineStr">
        <is>
          <t>Terre di Mezzo</t>
        </is>
      </c>
      <c r="B320" s="14" t="inlineStr">
        <is>
          <t>Anche ebook</t>
        </is>
      </c>
      <c r="C320" s="14" t="inlineStr">
        <is>
          <t>GURU</t>
        </is>
      </c>
      <c r="D320" s="14" t="inlineStr">
        <is>
          <t>L'Acchiappastorie – Primi lettori</t>
        </is>
      </c>
      <c r="E320" s="14" t="inlineStr">
        <is>
          <t>primi lettori</t>
        </is>
      </c>
      <c r="F320" s="14" t="inlineStr">
        <is>
          <t>Prime letture (6-8)</t>
        </is>
      </c>
      <c r="G320" s="14" t="inlineStr">
        <is>
          <t>Narrativa</t>
        </is>
      </c>
      <c r="H320" s="14" t="inlineStr"/>
      <c r="I320" s="14" t="inlineStr">
        <is>
          <t>No</t>
        </is>
      </c>
      <c r="J320" s="14" t="inlineStr">
        <is>
          <t>Collana</t>
        </is>
      </c>
      <c r="K320" s="14" t="inlineStr">
        <is>
          <t>prime letture, narrativa</t>
        </is>
      </c>
      <c r="L320" s="14" t="inlineStr">
        <is>
          <t>Catalogo Terre di Mezzo 1° semestre 2026, p. 58 (ISBN 9788861897236)</t>
        </is>
      </c>
      <c r="M320" s="16" t="n">
        <v>16.9</v>
      </c>
      <c r="N320" s="14" t="inlineStr">
        <is>
          <t>Catalogo Terre di Mezzo 1° semestre 2026</t>
        </is>
      </c>
      <c r="O320" s="16">
        <f>IF(ISNUMBER(M320),ROUND(M320*(1-Condizioni!$B$2),2),"")</f>
        <v/>
      </c>
      <c r="P320" s="17" t="inlineStr">
        <is>
          <t>No</t>
        </is>
      </c>
    </row>
    <row r="321">
      <c r="A321" s="14" t="inlineStr">
        <is>
          <t>Terre di Mezzo</t>
        </is>
      </c>
      <c r="B321" s="14" t="inlineStr">
        <is>
          <t>Anche ebook</t>
        </is>
      </c>
      <c r="C321" s="14" t="inlineStr">
        <is>
          <t>GURU</t>
        </is>
      </c>
      <c r="D321" s="14" t="inlineStr">
        <is>
          <t>L'Acchiappastorie – Primi lettori</t>
        </is>
      </c>
      <c r="E321" s="14" t="inlineStr">
        <is>
          <t>primi lettori</t>
        </is>
      </c>
      <c r="F321" s="14" t="inlineStr">
        <is>
          <t>Prime letture (6-8)</t>
        </is>
      </c>
      <c r="G321" s="14" t="inlineStr">
        <is>
          <t>Narrativa</t>
        </is>
      </c>
      <c r="H321" s="14" t="inlineStr"/>
      <c r="I321" s="14" t="inlineStr">
        <is>
          <t>No</t>
        </is>
      </c>
      <c r="J321" s="14" t="inlineStr">
        <is>
          <t>Collana</t>
        </is>
      </c>
      <c r="K321" s="14" t="inlineStr">
        <is>
          <t>prime letture, narrativa</t>
        </is>
      </c>
      <c r="L321" s="14" t="inlineStr">
        <is>
          <t>Catalogo Terre di Mezzo 1° semestre 2026, p. 58 (ISBN 9791259961648)</t>
        </is>
      </c>
      <c r="M321" s="16" t="n">
        <v>16.9</v>
      </c>
      <c r="N321" s="14" t="inlineStr">
        <is>
          <t>Catalogo Terre di Mezzo 1° semestre 2026</t>
        </is>
      </c>
      <c r="O321" s="16">
        <f>IF(ISNUMBER(M321),ROUND(M321*(1-Condizioni!$B$2),2),"")</f>
        <v/>
      </c>
      <c r="P321" s="17" t="inlineStr">
        <is>
          <t>No</t>
        </is>
      </c>
    </row>
    <row r="322">
      <c r="A322" s="14" t="inlineStr">
        <is>
          <t>Terre di Mezzo</t>
        </is>
      </c>
      <c r="B322" s="14" t="inlineStr">
        <is>
          <t>Anna e la banda del ghiacciolo sciolto</t>
        </is>
      </c>
      <c r="C322" s="14" t="inlineStr">
        <is>
          <t>Rossella Sobrero, Silvio Boselli</t>
        </is>
      </c>
      <c r="D322" s="14" t="inlineStr">
        <is>
          <t>L'Acchiappastorie – Primi lettori</t>
        </is>
      </c>
      <c r="E322" s="14" t="inlineStr">
        <is>
          <t>primi lettori</t>
        </is>
      </c>
      <c r="F322" s="14" t="inlineStr">
        <is>
          <t>Prime letture (6-8)</t>
        </is>
      </c>
      <c r="G322" s="14" t="inlineStr">
        <is>
          <t>Narrativa</t>
        </is>
      </c>
      <c r="H322" s="14" t="inlineStr"/>
      <c r="I322" s="14" t="inlineStr">
        <is>
          <t>No</t>
        </is>
      </c>
      <c r="J322" s="14" t="inlineStr">
        <is>
          <t>Collana</t>
        </is>
      </c>
      <c r="K322" s="14" t="inlineStr">
        <is>
          <t>prime letture, narrativa</t>
        </is>
      </c>
      <c r="L322" s="14" t="inlineStr">
        <is>
          <t>Catalogo Terre di Mezzo 1° semestre 2026, p. 51 (ISBN 9791259963253)</t>
        </is>
      </c>
      <c r="M322" s="16" t="n">
        <v>12.9</v>
      </c>
      <c r="N322" s="14" t="inlineStr">
        <is>
          <t>Catalogo Terre di Mezzo 1° semestre 2026</t>
        </is>
      </c>
      <c r="O322" s="16">
        <f>IF(ISNUMBER(M322),ROUND(M322*(1-Condizioni!$B$2),2),"")</f>
        <v/>
      </c>
      <c r="P322" s="17" t="inlineStr">
        <is>
          <t>Sì</t>
        </is>
      </c>
    </row>
    <row r="323">
      <c r="A323" s="14" t="inlineStr">
        <is>
          <t>Terre di Mezzo</t>
        </is>
      </c>
      <c r="B323" s="14" t="inlineStr">
        <is>
          <t>Beatrice Sottosopra</t>
        </is>
      </c>
      <c r="C323" s="14" t="inlineStr">
        <is>
          <t>Shelley Johannes</t>
        </is>
      </c>
      <c r="D323" s="14" t="inlineStr">
        <is>
          <t>L'Acchiappastorie – Primi lettori</t>
        </is>
      </c>
      <c r="E323" s="14" t="inlineStr">
        <is>
          <t>primi lettori</t>
        </is>
      </c>
      <c r="F323" s="14" t="inlineStr">
        <is>
          <t>Prime letture (6-8)</t>
        </is>
      </c>
      <c r="G323" s="14" t="inlineStr">
        <is>
          <t>Narrativa</t>
        </is>
      </c>
      <c r="H323" s="14" t="inlineStr"/>
      <c r="I323" s="14" t="inlineStr">
        <is>
          <t>No</t>
        </is>
      </c>
      <c r="J323" s="14" t="inlineStr">
        <is>
          <t>Collana</t>
        </is>
      </c>
      <c r="K323" s="14" t="inlineStr">
        <is>
          <t>prime letture, narrativa</t>
        </is>
      </c>
      <c r="L323" s="14" t="inlineStr">
        <is>
          <t>Catalogo Terre di Mezzo 1° semestre 2026, p. 55 (ISBN 9788861895805)</t>
        </is>
      </c>
      <c r="M323" s="16" t="n">
        <v>12.9</v>
      </c>
      <c r="N323" s="14" t="inlineStr">
        <is>
          <t>Catalogo Terre di Mezzo 1° semestre 2026</t>
        </is>
      </c>
      <c r="O323" s="16">
        <f>IF(ISNUMBER(M323),ROUND(M323*(1-Condizioni!$B$2),2),"")</f>
        <v/>
      </c>
      <c r="P323" s="17" t="inlineStr">
        <is>
          <t>Sì</t>
        </is>
      </c>
    </row>
    <row r="324">
      <c r="A324" s="14" t="inlineStr">
        <is>
          <t>Terre di Mezzo</t>
        </is>
      </c>
      <c r="B324" s="14" t="inlineStr">
        <is>
          <t>Beatrice sottosopra. il sabotatore di amicizie</t>
        </is>
      </c>
      <c r="C324" s="14" t="inlineStr">
        <is>
          <t>Shelley Johannes</t>
        </is>
      </c>
      <c r="D324" s="14" t="inlineStr">
        <is>
          <t>L'Acchiappastorie – Primi lettori</t>
        </is>
      </c>
      <c r="E324" s="14" t="inlineStr">
        <is>
          <t>primi lettori</t>
        </is>
      </c>
      <c r="F324" s="14" t="inlineStr">
        <is>
          <t>Prime letture (6-8)</t>
        </is>
      </c>
      <c r="G324" s="14" t="inlineStr">
        <is>
          <t>Narrativa</t>
        </is>
      </c>
      <c r="H324" s="14" t="inlineStr"/>
      <c r="I324" s="14" t="inlineStr">
        <is>
          <t>No</t>
        </is>
      </c>
      <c r="J324" s="14" t="inlineStr">
        <is>
          <t>Collana</t>
        </is>
      </c>
      <c r="K324" s="14" t="inlineStr">
        <is>
          <t>prime letture, narrativa</t>
        </is>
      </c>
      <c r="L324" s="14" t="inlineStr">
        <is>
          <t>Catalogo Terre di Mezzo 1° semestre 2026, p. 55 (ISBN 9788861896796)</t>
        </is>
      </c>
      <c r="M324" s="16" t="n">
        <v>12.9</v>
      </c>
      <c r="N324" s="14" t="inlineStr">
        <is>
          <t>Catalogo Terre di Mezzo 1° semestre 2026</t>
        </is>
      </c>
      <c r="O324" s="16">
        <f>IF(ISNUMBER(M324),ROUND(M324*(1-Condizioni!$B$2),2),"")</f>
        <v/>
      </c>
      <c r="P324" s="17" t="inlineStr">
        <is>
          <t>No</t>
        </is>
      </c>
    </row>
    <row r="325">
      <c r="A325" s="14" t="inlineStr">
        <is>
          <t>Terre di Mezzo</t>
        </is>
      </c>
      <c r="B325" s="14" t="inlineStr">
        <is>
          <t>Beatrice sottosopra. missione top secret</t>
        </is>
      </c>
      <c r="C325" s="14" t="inlineStr">
        <is>
          <t>Shelley Johannes</t>
        </is>
      </c>
      <c r="D325" s="14" t="inlineStr">
        <is>
          <t>L'Acchiappastorie – Primi lettori</t>
        </is>
      </c>
      <c r="E325" s="14" t="inlineStr">
        <is>
          <t>primi lettori</t>
        </is>
      </c>
      <c r="F325" s="14" t="inlineStr">
        <is>
          <t>Prime letture (6-8)</t>
        </is>
      </c>
      <c r="G325" s="14" t="inlineStr">
        <is>
          <t>Narrativa</t>
        </is>
      </c>
      <c r="H325" s="14" t="inlineStr"/>
      <c r="I325" s="14" t="inlineStr">
        <is>
          <t>No</t>
        </is>
      </c>
      <c r="J325" s="14" t="inlineStr">
        <is>
          <t>Collana</t>
        </is>
      </c>
      <c r="K325" s="14" t="inlineStr">
        <is>
          <t>prime letture, narrativa</t>
        </is>
      </c>
      <c r="L325" s="14" t="inlineStr">
        <is>
          <t>Catalogo Terre di Mezzo 1° semestre 2026, p. 55 (ISBN 9788861896185)</t>
        </is>
      </c>
      <c r="M325" s="16" t="n">
        <v>12.9</v>
      </c>
      <c r="N325" s="14" t="inlineStr">
        <is>
          <t>Catalogo Terre di Mezzo 1° semestre 2026</t>
        </is>
      </c>
      <c r="O325" s="16">
        <f>IF(ISNUMBER(M325),ROUND(M325*(1-Condizioni!$B$2),2),"")</f>
        <v/>
      </c>
      <c r="P325" s="17" t="inlineStr">
        <is>
          <t>No</t>
        </is>
      </c>
    </row>
    <row r="326">
      <c r="A326" s="14" t="inlineStr">
        <is>
          <t>Terre di Mezzo</t>
        </is>
      </c>
      <c r="B326" s="14" t="inlineStr">
        <is>
          <t>Bibi. una coccinella senza puntini</t>
        </is>
      </c>
      <c r="C326" s="14" t="inlineStr">
        <is>
          <t>Pascal Parisot, Marc Boutavant</t>
        </is>
      </c>
      <c r="D326" s="14" t="inlineStr">
        <is>
          <t>L'Acchiappastorie – Primi lettori</t>
        </is>
      </c>
      <c r="E326" s="14" t="inlineStr">
        <is>
          <t>primi lettori</t>
        </is>
      </c>
      <c r="F326" s="14" t="inlineStr">
        <is>
          <t>Prime letture (6-8)</t>
        </is>
      </c>
      <c r="G326" s="14" t="inlineStr">
        <is>
          <t>Narrativa</t>
        </is>
      </c>
      <c r="H326" s="14" t="inlineStr"/>
      <c r="I326" s="14" t="inlineStr">
        <is>
          <t>No</t>
        </is>
      </c>
      <c r="J326" s="14" t="inlineStr">
        <is>
          <t>Collana</t>
        </is>
      </c>
      <c r="K326" s="14" t="inlineStr">
        <is>
          <t>prime letture, narrativa</t>
        </is>
      </c>
      <c r="L326" s="14" t="inlineStr">
        <is>
          <t>Catalogo Terre di Mezzo 1° semestre 2026, p. 51 (ISBN 9791259962751)</t>
        </is>
      </c>
      <c r="M326" s="16" t="n">
        <v>12.9</v>
      </c>
      <c r="N326" s="14" t="inlineStr">
        <is>
          <t>Catalogo Terre di Mezzo 1° semestre 2026</t>
        </is>
      </c>
      <c r="O326" s="16">
        <f>IF(ISNUMBER(M326),ROUND(M326*(1-Condizioni!$B$2),2),"")</f>
        <v/>
      </c>
      <c r="P326" s="17" t="inlineStr">
        <is>
          <t>No</t>
        </is>
      </c>
    </row>
    <row r="327">
      <c r="A327" s="14" t="inlineStr">
        <is>
          <t>Terre di Mezzo</t>
        </is>
      </c>
      <c r="B327" s="14" t="inlineStr">
        <is>
          <t>Björn. a cosa serve un amico</t>
        </is>
      </c>
      <c r="C327" s="14" t="inlineStr">
        <is>
          <t>Delphine Perret</t>
        </is>
      </c>
      <c r="D327" s="14" t="inlineStr">
        <is>
          <t>L'Acchiappastorie – Primi lettori</t>
        </is>
      </c>
      <c r="E327" s="14" t="inlineStr">
        <is>
          <t>primi lettori</t>
        </is>
      </c>
      <c r="F327" s="14" t="inlineStr">
        <is>
          <t>Prime letture (6-8)</t>
        </is>
      </c>
      <c r="G327" s="14" t="inlineStr">
        <is>
          <t>Narrativa</t>
        </is>
      </c>
      <c r="H327" s="14" t="inlineStr"/>
      <c r="I327" s="14" t="inlineStr">
        <is>
          <t>No</t>
        </is>
      </c>
      <c r="J327" s="14" t="inlineStr">
        <is>
          <t>Collana</t>
        </is>
      </c>
      <c r="K327" s="14" t="inlineStr">
        <is>
          <t>prime letture, narrativa</t>
        </is>
      </c>
      <c r="L327" s="14" t="inlineStr">
        <is>
          <t>Catalogo Terre di Mezzo 1° semestre 2026, p. 56 (ISBN 9791259960252)</t>
        </is>
      </c>
      <c r="M327" s="16" t="n">
        <v>12</v>
      </c>
      <c r="N327" s="14" t="inlineStr">
        <is>
          <t>Catalogo Terre di Mezzo 1° semestre 2026</t>
        </is>
      </c>
      <c r="O327" s="16">
        <f>IF(ISNUMBER(M327),ROUND(M327*(1-Condizioni!$B$2),2),"")</f>
        <v/>
      </c>
      <c r="P327" s="17" t="inlineStr">
        <is>
          <t>No</t>
        </is>
      </c>
    </row>
    <row r="328">
      <c r="A328" s="14" t="inlineStr">
        <is>
          <t>Terre di Mezzo</t>
        </is>
      </c>
      <c r="B328" s="14" t="inlineStr">
        <is>
          <t>Björn. sei storie da orso</t>
        </is>
      </c>
      <c r="C328" s="14" t="inlineStr">
        <is>
          <t>Delphine Perret</t>
        </is>
      </c>
      <c r="D328" s="14" t="inlineStr">
        <is>
          <t>L'Acchiappastorie – Primi lettori</t>
        </is>
      </c>
      <c r="E328" s="14" t="inlineStr">
        <is>
          <t>primi lettori</t>
        </is>
      </c>
      <c r="F328" s="14" t="inlineStr">
        <is>
          <t>Prime letture (6-8)</t>
        </is>
      </c>
      <c r="G328" s="14" t="inlineStr">
        <is>
          <t>Narrativa</t>
        </is>
      </c>
      <c r="H328" s="14" t="inlineStr"/>
      <c r="I328" s="14" t="inlineStr">
        <is>
          <t>No</t>
        </is>
      </c>
      <c r="J328" s="14" t="inlineStr">
        <is>
          <t>Collana</t>
        </is>
      </c>
      <c r="K328" s="14" t="inlineStr">
        <is>
          <t>prime letture, narrativa</t>
        </is>
      </c>
      <c r="L328" s="14" t="inlineStr">
        <is>
          <t>Catalogo Terre di Mezzo 1° semestre 2026, p. 56 (ISBN 9788861894501)</t>
        </is>
      </c>
      <c r="M328" s="16" t="n">
        <v>12</v>
      </c>
      <c r="N328" s="14" t="inlineStr">
        <is>
          <t>Catalogo Terre di Mezzo 1° semestre 2026</t>
        </is>
      </c>
      <c r="O328" s="16">
        <f>IF(ISNUMBER(M328),ROUND(M328*(1-Condizioni!$B$2),2),"")</f>
        <v/>
      </c>
      <c r="P328" s="17" t="inlineStr">
        <is>
          <t>Sì</t>
        </is>
      </c>
    </row>
    <row r="329">
      <c r="A329" s="14" t="inlineStr">
        <is>
          <t>Terre di Mezzo</t>
        </is>
      </c>
      <c r="B329" s="14" t="inlineStr">
        <is>
          <t>Björn. una primavera di scoperte</t>
        </is>
      </c>
      <c r="C329" s="14" t="inlineStr">
        <is>
          <t>Delphine Perret</t>
        </is>
      </c>
      <c r="D329" s="14" t="inlineStr">
        <is>
          <t>L'Acchiappastorie – Primi lettori</t>
        </is>
      </c>
      <c r="E329" s="14" t="inlineStr">
        <is>
          <t>primi lettori</t>
        </is>
      </c>
      <c r="F329" s="14" t="inlineStr">
        <is>
          <t>Prime letture (6-8)</t>
        </is>
      </c>
      <c r="G329" s="14" t="inlineStr">
        <is>
          <t>Narrativa</t>
        </is>
      </c>
      <c r="H329" s="14" t="inlineStr"/>
      <c r="I329" s="14" t="inlineStr">
        <is>
          <t>No</t>
        </is>
      </c>
      <c r="J329" s="14" t="inlineStr">
        <is>
          <t>Collana</t>
        </is>
      </c>
      <c r="K329" s="14" t="inlineStr">
        <is>
          <t>prime letture, narrativa</t>
        </is>
      </c>
      <c r="L329" s="14" t="inlineStr">
        <is>
          <t>Catalogo Terre di Mezzo 1° semestre 2026, p. 56 (ISBN 9788861895317)</t>
        </is>
      </c>
      <c r="M329" s="16" t="n">
        <v>12</v>
      </c>
      <c r="N329" s="14" t="inlineStr">
        <is>
          <t>Catalogo Terre di Mezzo 1° semestre 2026</t>
        </is>
      </c>
      <c r="O329" s="16">
        <f>IF(ISNUMBER(M329),ROUND(M329*(1-Condizioni!$B$2),2),"")</f>
        <v/>
      </c>
      <c r="P329" s="17" t="inlineStr">
        <is>
          <t>No</t>
        </is>
      </c>
    </row>
    <row r="330">
      <c r="A330" s="14" t="inlineStr">
        <is>
          <t>Terre di Mezzo</t>
        </is>
      </c>
      <c r="B330" s="14" t="inlineStr">
        <is>
          <t>Bombolone gatto pigrone cerca famiglia</t>
        </is>
      </c>
      <c r="C330" s="14" t="inlineStr">
        <is>
          <t>Ronan Badel</t>
        </is>
      </c>
      <c r="D330" s="14" t="inlineStr">
        <is>
          <t>L'Acchiappastorie – Primi lettori</t>
        </is>
      </c>
      <c r="E330" s="14" t="inlineStr">
        <is>
          <t>primi lettori</t>
        </is>
      </c>
      <c r="F330" s="14" t="inlineStr">
        <is>
          <t>Prime letture (6-8)</t>
        </is>
      </c>
      <c r="G330" s="14" t="inlineStr">
        <is>
          <t>Narrativa</t>
        </is>
      </c>
      <c r="H330" s="14" t="inlineStr"/>
      <c r="I330" s="14" t="inlineStr">
        <is>
          <t>No</t>
        </is>
      </c>
      <c r="J330" s="14" t="inlineStr">
        <is>
          <t>Collana</t>
        </is>
      </c>
      <c r="K330" s="14" t="inlineStr">
        <is>
          <t>prime letture, narrativa</t>
        </is>
      </c>
      <c r="L330" s="14" t="inlineStr">
        <is>
          <t>Catalogo Terre di Mezzo 1° semestre 2026, p. 61 (ISBN 9791259960290)</t>
        </is>
      </c>
      <c r="M330" s="16" t="n">
        <v>12</v>
      </c>
      <c r="N330" s="14" t="inlineStr">
        <is>
          <t>Catalogo Terre di Mezzo 1° semestre 2026</t>
        </is>
      </c>
      <c r="O330" s="16">
        <f>IF(ISNUMBER(M330),ROUND(M330*(1-Condizioni!$B$2),2),"")</f>
        <v/>
      </c>
      <c r="P330" s="17" t="inlineStr">
        <is>
          <t>No</t>
        </is>
      </c>
    </row>
    <row r="331">
      <c r="A331" s="14" t="inlineStr">
        <is>
          <t>Terre di Mezzo</t>
        </is>
      </c>
      <c r="B331" s="14" t="inlineStr">
        <is>
          <t>Brutto anatroccolo a chi? Dieci fiabe sottosopra</t>
        </is>
      </c>
      <c r="C331" s="14" t="inlineStr">
        <is>
          <t>Giuditta Campello, Ilaria Mancini</t>
        </is>
      </c>
      <c r="D331" s="14" t="inlineStr">
        <is>
          <t>L'Acchiappastorie – Primi lettori</t>
        </is>
      </c>
      <c r="E331" s="14" t="inlineStr">
        <is>
          <t>primi lettori</t>
        </is>
      </c>
      <c r="F331" s="14" t="inlineStr">
        <is>
          <t>Prime letture (6-8)</t>
        </is>
      </c>
      <c r="G331" s="14" t="inlineStr">
        <is>
          <t>Narrativa</t>
        </is>
      </c>
      <c r="H331" s="14" t="inlineStr"/>
      <c r="I331" s="14" t="inlineStr">
        <is>
          <t>No</t>
        </is>
      </c>
      <c r="J331" s="14" t="inlineStr">
        <is>
          <t>Collana</t>
        </is>
      </c>
      <c r="K331" s="14" t="inlineStr">
        <is>
          <t>prime letture, narrativa</t>
        </is>
      </c>
      <c r="L331" s="14" t="inlineStr">
        <is>
          <t>Catalogo Terre di Mezzo 1° semestre 2026, p. 52 (ISBN 9791259963734)</t>
        </is>
      </c>
      <c r="M331" s="16" t="n">
        <v>14</v>
      </c>
      <c r="N331" s="14" t="inlineStr">
        <is>
          <t>Catalogo Terre di Mezzo 1° semestre 2026</t>
        </is>
      </c>
      <c r="O331" s="16">
        <f>IF(ISNUMBER(M331),ROUND(M331*(1-Condizioni!$B$2),2),"")</f>
        <v/>
      </c>
      <c r="P331" s="17" t="inlineStr">
        <is>
          <t>No</t>
        </is>
      </c>
    </row>
    <row r="332">
      <c r="A332" s="14" t="inlineStr">
        <is>
          <t>Terre di Mezzo</t>
        </is>
      </c>
      <c r="B332" s="14" t="inlineStr">
        <is>
          <t>Cookie credi ai tuoi sogni</t>
        </is>
      </c>
      <c r="C332" s="14" t="inlineStr">
        <is>
          <t>Martine Laffon, Louise Mézel</t>
        </is>
      </c>
      <c r="D332" s="14" t="inlineStr">
        <is>
          <t>L'Acchiappastorie – Primi lettori</t>
        </is>
      </c>
      <c r="E332" s="14" t="inlineStr">
        <is>
          <t>primi lettori</t>
        </is>
      </c>
      <c r="F332" s="14" t="inlineStr">
        <is>
          <t>Prime letture (6-8)</t>
        </is>
      </c>
      <c r="G332" s="14" t="inlineStr">
        <is>
          <t>Narrativa</t>
        </is>
      </c>
      <c r="H332" s="14" t="inlineStr"/>
      <c r="I332" s="14" t="inlineStr">
        <is>
          <t>No</t>
        </is>
      </c>
      <c r="J332" s="14" t="inlineStr">
        <is>
          <t>Collana</t>
        </is>
      </c>
      <c r="K332" s="14" t="inlineStr">
        <is>
          <t>prime letture, narrativa</t>
        </is>
      </c>
      <c r="L332" s="14" t="inlineStr">
        <is>
          <t>Catalogo Terre di Mezzo 1° semestre 2026, p. 61 (ISBN 9788861897830)</t>
        </is>
      </c>
      <c r="M332" s="16" t="n">
        <v>12</v>
      </c>
      <c r="N332" s="14" t="inlineStr">
        <is>
          <t>Catalogo Terre di Mezzo 1° semestre 2026</t>
        </is>
      </c>
      <c r="O332" s="16">
        <f>IF(ISNUMBER(M332),ROUND(M332*(1-Condizioni!$B$2),2),"")</f>
        <v/>
      </c>
      <c r="P332" s="17" t="inlineStr">
        <is>
          <t>No</t>
        </is>
      </c>
    </row>
    <row r="333">
      <c r="A333" s="14" t="inlineStr">
        <is>
          <t>Terre di Mezzo</t>
        </is>
      </c>
      <c r="B333" s="14" t="inlineStr">
        <is>
          <t>Dory fantasmagorica</t>
        </is>
      </c>
      <c r="C333" s="14" t="inlineStr">
        <is>
          <t>Abby Hanlon</t>
        </is>
      </c>
      <c r="D333" s="14" t="inlineStr">
        <is>
          <t>L'Acchiappastorie – Primi lettori</t>
        </is>
      </c>
      <c r="E333" s="14" t="inlineStr">
        <is>
          <t>primi lettori</t>
        </is>
      </c>
      <c r="F333" s="14" t="inlineStr">
        <is>
          <t>Prime letture (6-8)</t>
        </is>
      </c>
      <c r="G333" s="14" t="inlineStr">
        <is>
          <t>Narrativa</t>
        </is>
      </c>
      <c r="H333" s="14" t="inlineStr"/>
      <c r="I333" s="14" t="inlineStr">
        <is>
          <t>No</t>
        </is>
      </c>
      <c r="J333" s="14" t="inlineStr">
        <is>
          <t>Collana</t>
        </is>
      </c>
      <c r="K333" s="14" t="inlineStr">
        <is>
          <t>prime letture, narrativa</t>
        </is>
      </c>
      <c r="L333" s="14" t="inlineStr">
        <is>
          <t>Catalogo Terre di Mezzo 1° semestre 2026, p. 53 (ISBN 9788861893863)</t>
        </is>
      </c>
      <c r="M333" s="16" t="n">
        <v>13.5</v>
      </c>
      <c r="N333" s="14" t="inlineStr">
        <is>
          <t>Catalogo Terre di Mezzo 1° semestre 2026</t>
        </is>
      </c>
      <c r="O333" s="16">
        <f>IF(ISNUMBER(M333),ROUND(M333*(1-Condizioni!$B$2),2),"")</f>
        <v/>
      </c>
      <c r="P333" s="17" t="inlineStr">
        <is>
          <t>Sì</t>
        </is>
      </c>
    </row>
    <row r="334">
      <c r="A334" s="14" t="inlineStr">
        <is>
          <t>Terre di Mezzo</t>
        </is>
      </c>
      <c r="B334" s="14" t="inlineStr">
        <is>
          <t>Dory fantasmagorica. al centro dell’universo</t>
        </is>
      </c>
      <c r="C334" s="14" t="inlineStr">
        <is>
          <t>Abby Hanlon</t>
        </is>
      </c>
      <c r="D334" s="14" t="inlineStr">
        <is>
          <t>L'Acchiappastorie – Primi lettori</t>
        </is>
      </c>
      <c r="E334" s="14" t="inlineStr">
        <is>
          <t>primi lettori</t>
        </is>
      </c>
      <c r="F334" s="14" t="inlineStr">
        <is>
          <t>Prime letture (6-8)</t>
        </is>
      </c>
      <c r="G334" s="14" t="inlineStr">
        <is>
          <t>Narrativa</t>
        </is>
      </c>
      <c r="H334" s="14" t="inlineStr"/>
      <c r="I334" s="14" t="inlineStr">
        <is>
          <t>No</t>
        </is>
      </c>
      <c r="J334" s="14" t="inlineStr">
        <is>
          <t>Collana</t>
        </is>
      </c>
      <c r="K334" s="14" t="inlineStr">
        <is>
          <t>prime letture, narrativa</t>
        </is>
      </c>
      <c r="L334" s="14" t="inlineStr">
        <is>
          <t>Catalogo Terre di Mezzo 1° semestre 2026, p. 54 (ISBN 9791259963345)</t>
        </is>
      </c>
      <c r="M334" s="16" t="n">
        <v>13.5</v>
      </c>
      <c r="N334" s="14" t="inlineStr">
        <is>
          <t>Catalogo Terre di Mezzo 1° semestre 2026</t>
        </is>
      </c>
      <c r="O334" s="16">
        <f>IF(ISNUMBER(M334),ROUND(M334*(1-Condizioni!$B$2),2),"")</f>
        <v/>
      </c>
      <c r="P334" s="17" t="inlineStr">
        <is>
          <t>No</t>
        </is>
      </c>
    </row>
    <row r="335">
      <c r="A335" s="14" t="inlineStr">
        <is>
          <t>Terre di Mezzo</t>
        </is>
      </c>
      <c r="B335" s="14" t="inlineStr">
        <is>
          <t>Dory fantasmagorica. all’arrembaggio!</t>
        </is>
      </c>
      <c r="C335" s="14" t="inlineStr">
        <is>
          <t>Abby Hanlon</t>
        </is>
      </c>
      <c r="D335" s="14" t="inlineStr">
        <is>
          <t>L'Acchiappastorie – Primi lettori</t>
        </is>
      </c>
      <c r="E335" s="14" t="inlineStr">
        <is>
          <t>primi lettori</t>
        </is>
      </c>
      <c r="F335" s="14" t="inlineStr">
        <is>
          <t>Prime letture (6-8)</t>
        </is>
      </c>
      <c r="G335" s="14" t="inlineStr">
        <is>
          <t>Narrativa</t>
        </is>
      </c>
      <c r="H335" s="14" t="inlineStr"/>
      <c r="I335" s="14" t="inlineStr">
        <is>
          <t>No</t>
        </is>
      </c>
      <c r="J335" s="14" t="inlineStr">
        <is>
          <t>Collana</t>
        </is>
      </c>
      <c r="K335" s="14" t="inlineStr">
        <is>
          <t>prime letture, narrativa</t>
        </is>
      </c>
      <c r="L335" s="14" t="inlineStr">
        <is>
          <t>Catalogo Terre di Mezzo 1° semestre 2026, p. 54 (ISBN 9788861895874)</t>
        </is>
      </c>
      <c r="M335" s="16" t="n">
        <v>13.5</v>
      </c>
      <c r="N335" s="14" t="inlineStr">
        <is>
          <t>Catalogo Terre di Mezzo 1° semestre 2026</t>
        </is>
      </c>
      <c r="O335" s="16">
        <f>IF(ISNUMBER(M335),ROUND(M335*(1-Condizioni!$B$2),2),"")</f>
        <v/>
      </c>
      <c r="P335" s="17" t="inlineStr">
        <is>
          <t>No</t>
        </is>
      </c>
    </row>
    <row r="336">
      <c r="A336" s="14" t="inlineStr">
        <is>
          <t>Terre di Mezzo</t>
        </is>
      </c>
      <c r="B336" s="14" t="inlineStr">
        <is>
          <t>Dory fantasmagorica. con la testa fra le nuvole</t>
        </is>
      </c>
      <c r="C336" s="14" t="inlineStr">
        <is>
          <t>Abby Hanlon</t>
        </is>
      </c>
      <c r="D336" s="14" t="inlineStr">
        <is>
          <t>L'Acchiappastorie – Primi lettori</t>
        </is>
      </c>
      <c r="E336" s="14" t="inlineStr">
        <is>
          <t>primi lettori</t>
        </is>
      </c>
      <c r="F336" s="14" t="inlineStr">
        <is>
          <t>Prime letture (6-8)</t>
        </is>
      </c>
      <c r="G336" s="14" t="inlineStr">
        <is>
          <t>Narrativa</t>
        </is>
      </c>
      <c r="H336" s="14" t="inlineStr"/>
      <c r="I336" s="14" t="inlineStr">
        <is>
          <t>No</t>
        </is>
      </c>
      <c r="J336" s="14" t="inlineStr">
        <is>
          <t>Collana</t>
        </is>
      </c>
      <c r="K336" s="14" t="inlineStr">
        <is>
          <t>prime letture, narrativa</t>
        </is>
      </c>
      <c r="L336" s="14" t="inlineStr">
        <is>
          <t>Catalogo Terre di Mezzo 1° semestre 2026, p. 54 (ISBN 9788861894679)</t>
        </is>
      </c>
      <c r="M336" s="16" t="n">
        <v>13.5</v>
      </c>
      <c r="N336" s="14" t="inlineStr">
        <is>
          <t>Catalogo Terre di Mezzo 1° semestre 2026</t>
        </is>
      </c>
      <c r="O336" s="16">
        <f>IF(ISNUMBER(M336),ROUND(M336*(1-Condizioni!$B$2),2),"")</f>
        <v/>
      </c>
      <c r="P336" s="17" t="inlineStr">
        <is>
          <t>No</t>
        </is>
      </c>
    </row>
    <row r="337">
      <c r="A337" s="14" t="inlineStr">
        <is>
          <t>Terre di Mezzo</t>
        </is>
      </c>
      <c r="B337" s="14" t="inlineStr">
        <is>
          <t>Dory fantasmagorica. ti voglio tutta per me</t>
        </is>
      </c>
      <c r="C337" s="14" t="inlineStr">
        <is>
          <t>Abby Hanlon</t>
        </is>
      </c>
      <c r="D337" s="14" t="inlineStr">
        <is>
          <t>L'Acchiappastorie – Primi lettori</t>
        </is>
      </c>
      <c r="E337" s="14" t="inlineStr">
        <is>
          <t>primi lettori</t>
        </is>
      </c>
      <c r="F337" s="14" t="inlineStr">
        <is>
          <t>Prime letture (6-8)</t>
        </is>
      </c>
      <c r="G337" s="14" t="inlineStr">
        <is>
          <t>Narrativa</t>
        </is>
      </c>
      <c r="H337" s="14" t="inlineStr"/>
      <c r="I337" s="14" t="inlineStr">
        <is>
          <t>No</t>
        </is>
      </c>
      <c r="J337" s="14" t="inlineStr">
        <is>
          <t>Collana</t>
        </is>
      </c>
      <c r="K337" s="14" t="inlineStr">
        <is>
          <t>prime letture, narrativa</t>
        </is>
      </c>
      <c r="L337" s="14" t="inlineStr">
        <is>
          <t>Catalogo Terre di Mezzo 1° semestre 2026, p. 54 (ISBN 9791259961785)</t>
        </is>
      </c>
      <c r="M337" s="16" t="n">
        <v>13.5</v>
      </c>
      <c r="N337" s="14" t="inlineStr">
        <is>
          <t>Catalogo Terre di Mezzo 1° semestre 2026</t>
        </is>
      </c>
      <c r="O337" s="16">
        <f>IF(ISNUMBER(M337),ROUND(M337*(1-Condizioni!$B$2),2),"")</f>
        <v/>
      </c>
      <c r="P337" s="17" t="inlineStr">
        <is>
          <t>No</t>
        </is>
      </c>
    </row>
    <row r="338">
      <c r="A338" s="14" t="inlineStr">
        <is>
          <t>Terre di Mezzo</t>
        </is>
      </c>
      <c r="B338" s="14" t="inlineStr">
        <is>
          <t>Dory fantasmagorica. una pecora nera a scuola</t>
        </is>
      </c>
      <c r="C338" s="14" t="inlineStr">
        <is>
          <t>Abby Hanlon</t>
        </is>
      </c>
      <c r="D338" s="14" t="inlineStr">
        <is>
          <t>L'Acchiappastorie – Primi lettori</t>
        </is>
      </c>
      <c r="E338" s="14" t="inlineStr">
        <is>
          <t>primi lettori</t>
        </is>
      </c>
      <c r="F338" s="14" t="inlineStr">
        <is>
          <t>Prime letture (6-8)</t>
        </is>
      </c>
      <c r="G338" s="14" t="inlineStr">
        <is>
          <t>Narrativa</t>
        </is>
      </c>
      <c r="H338" s="14" t="inlineStr"/>
      <c r="I338" s="14" t="inlineStr">
        <is>
          <t>No</t>
        </is>
      </c>
      <c r="J338" s="14" t="inlineStr">
        <is>
          <t>Collana</t>
        </is>
      </c>
      <c r="K338" s="14" t="inlineStr">
        <is>
          <t>prime letture, narrativa</t>
        </is>
      </c>
      <c r="L338" s="14" t="inlineStr">
        <is>
          <t>Catalogo Terre di Mezzo 1° semestre 2026, p. 54 (ISBN 9788861894228)</t>
        </is>
      </c>
      <c r="M338" s="16" t="n">
        <v>13.5</v>
      </c>
      <c r="N338" s="14" t="inlineStr">
        <is>
          <t>Catalogo Terre di Mezzo 1° semestre 2026</t>
        </is>
      </c>
      <c r="O338" s="16">
        <f>IF(ISNUMBER(M338),ROUND(M338*(1-Condizioni!$B$2),2),"")</f>
        <v/>
      </c>
      <c r="P338" s="17" t="inlineStr">
        <is>
          <t>No</t>
        </is>
      </c>
    </row>
    <row r="339">
      <c r="A339" s="14" t="inlineStr">
        <is>
          <t>Terre di Mezzo</t>
        </is>
      </c>
      <c r="B339" s="14" t="inlineStr">
        <is>
          <t>Grolefante &amp; Topolino. che amicizia bestiale!</t>
        </is>
      </c>
      <c r="C339" s="14" t="inlineStr">
        <is>
          <t>Pierre Delye, Ronan Badel</t>
        </is>
      </c>
      <c r="D339" s="14" t="inlineStr">
        <is>
          <t>L'Acchiappastorie – Primi lettori</t>
        </is>
      </c>
      <c r="E339" s="14" t="inlineStr">
        <is>
          <t>primi lettori</t>
        </is>
      </c>
      <c r="F339" s="14" t="inlineStr">
        <is>
          <t>Prime letture (6-8)</t>
        </is>
      </c>
      <c r="G339" s="14" t="inlineStr">
        <is>
          <t>Narrativa</t>
        </is>
      </c>
      <c r="H339" s="14" t="inlineStr"/>
      <c r="I339" s="14" t="inlineStr">
        <is>
          <t>No</t>
        </is>
      </c>
      <c r="J339" s="14" t="inlineStr">
        <is>
          <t>Collana</t>
        </is>
      </c>
      <c r="K339" s="14" t="inlineStr">
        <is>
          <t>prime letture, narrativa</t>
        </is>
      </c>
      <c r="L339" s="14" t="inlineStr">
        <is>
          <t>Catalogo Terre di Mezzo 1° semestre 2026, p. 62 (ISBN 9788861896048)</t>
        </is>
      </c>
      <c r="M339" s="16" t="n">
        <v>12</v>
      </c>
      <c r="N339" s="14" t="inlineStr">
        <is>
          <t>Catalogo Terre di Mezzo 1° semestre 2026</t>
        </is>
      </c>
      <c r="O339" s="16">
        <f>IF(ISNUMBER(M339),ROUND(M339*(1-Condizioni!$B$2),2),"")</f>
        <v/>
      </c>
      <c r="P339" s="17" t="inlineStr">
        <is>
          <t>No</t>
        </is>
      </c>
    </row>
    <row r="340">
      <c r="A340" s="14" t="inlineStr">
        <is>
          <t>Terre di Mezzo</t>
        </is>
      </c>
      <c r="B340" s="14" t="inlineStr">
        <is>
          <t>Grolefante &amp; topolino. che coppia!</t>
        </is>
      </c>
      <c r="C340" s="14" t="inlineStr">
        <is>
          <t>Pierre Delye, Ronan Badel</t>
        </is>
      </c>
      <c r="D340" s="14" t="inlineStr">
        <is>
          <t>L'Acchiappastorie – Primi lettori</t>
        </is>
      </c>
      <c r="E340" s="14" t="inlineStr">
        <is>
          <t>primi lettori</t>
        </is>
      </c>
      <c r="F340" s="14" t="inlineStr">
        <is>
          <t>Prime letture (6-8)</t>
        </is>
      </c>
      <c r="G340" s="14" t="inlineStr">
        <is>
          <t>Narrativa</t>
        </is>
      </c>
      <c r="H340" s="14" t="inlineStr"/>
      <c r="I340" s="14" t="inlineStr">
        <is>
          <t>No</t>
        </is>
      </c>
      <c r="J340" s="14" t="inlineStr">
        <is>
          <t>Collana</t>
        </is>
      </c>
      <c r="K340" s="14" t="inlineStr">
        <is>
          <t>prime letture, narrativa</t>
        </is>
      </c>
      <c r="L340" s="14" t="inlineStr">
        <is>
          <t>Catalogo Terre di Mezzo 1° semestre 2026, p. 62 (ISBN 9788861897335)</t>
        </is>
      </c>
      <c r="M340" s="16" t="n">
        <v>12</v>
      </c>
      <c r="N340" s="14" t="inlineStr">
        <is>
          <t>Catalogo Terre di Mezzo 1° semestre 2026</t>
        </is>
      </c>
      <c r="O340" s="16">
        <f>IF(ISNUMBER(M340),ROUND(M340*(1-Condizioni!$B$2),2),"")</f>
        <v/>
      </c>
      <c r="P340" s="17" t="inlineStr">
        <is>
          <t>No</t>
        </is>
      </c>
    </row>
    <row r="341">
      <c r="A341" s="14" t="inlineStr">
        <is>
          <t>Terre di Mezzo</t>
        </is>
      </c>
      <c r="B341" s="14" t="inlineStr">
        <is>
          <t>I Supereroi del bosco contro il ladro di nocciole</t>
        </is>
      </c>
      <c r="C341" s="14" t="inlineStr">
        <is>
          <t>Henri Meunier, Nathalie Choux</t>
        </is>
      </c>
      <c r="D341" s="14" t="inlineStr">
        <is>
          <t>L'Acchiappastorie – Primi lettori</t>
        </is>
      </c>
      <c r="E341" s="14" t="inlineStr">
        <is>
          <t>primi lettori</t>
        </is>
      </c>
      <c r="F341" s="14" t="inlineStr">
        <is>
          <t>Prime letture (6-8)</t>
        </is>
      </c>
      <c r="G341" s="14" t="inlineStr">
        <is>
          <t>Narrativa</t>
        </is>
      </c>
      <c r="H341" s="14" t="inlineStr"/>
      <c r="I341" s="14" t="inlineStr">
        <is>
          <t>No</t>
        </is>
      </c>
      <c r="J341" s="14" t="inlineStr">
        <is>
          <t>Collana</t>
        </is>
      </c>
      <c r="K341" s="14" t="inlineStr">
        <is>
          <t>prime letture, narrativa</t>
        </is>
      </c>
      <c r="L341" s="14" t="inlineStr">
        <is>
          <t>Catalogo Terre di Mezzo 1° semestre 2026, p. 62 (ISBN 9788861896659)</t>
        </is>
      </c>
      <c r="M341" s="16" t="n">
        <v>12</v>
      </c>
      <c r="N341" s="14" t="inlineStr">
        <is>
          <t>Catalogo Terre di Mezzo 1° semestre 2026</t>
        </is>
      </c>
      <c r="O341" s="16">
        <f>IF(ISNUMBER(M341),ROUND(M341*(1-Condizioni!$B$2),2),"")</f>
        <v/>
      </c>
      <c r="P341" s="17" t="inlineStr">
        <is>
          <t>No</t>
        </is>
      </c>
    </row>
    <row r="342">
      <c r="A342" s="14" t="inlineStr">
        <is>
          <t>Terre di Mezzo</t>
        </is>
      </c>
      <c r="B342" s="14" t="inlineStr">
        <is>
          <t>I Supereroi del bosco e il fantasma mangiafoglie</t>
        </is>
      </c>
      <c r="C342" s="14" t="inlineStr">
        <is>
          <t>Henri Meunier, Nathalie Choux</t>
        </is>
      </c>
      <c r="D342" s="14" t="inlineStr">
        <is>
          <t>L'Acchiappastorie – Primi lettori</t>
        </is>
      </c>
      <c r="E342" s="14" t="inlineStr">
        <is>
          <t>primi lettori</t>
        </is>
      </c>
      <c r="F342" s="14" t="inlineStr">
        <is>
          <t>Prime letture (6-8)</t>
        </is>
      </c>
      <c r="G342" s="14" t="inlineStr">
        <is>
          <t>Narrativa</t>
        </is>
      </c>
      <c r="H342" s="14" t="inlineStr"/>
      <c r="I342" s="14" t="inlineStr">
        <is>
          <t>No</t>
        </is>
      </c>
      <c r="J342" s="14" t="inlineStr">
        <is>
          <t>Collana</t>
        </is>
      </c>
      <c r="K342" s="14" t="inlineStr">
        <is>
          <t>prime letture, narrativa</t>
        </is>
      </c>
      <c r="L342" s="14" t="inlineStr">
        <is>
          <t>Catalogo Terre di Mezzo 1° semestre 2026, p. 62 (ISBN 9788861896673)</t>
        </is>
      </c>
      <c r="M342" s="16" t="n">
        <v>12</v>
      </c>
      <c r="N342" s="14" t="inlineStr">
        <is>
          <t>Catalogo Terre di Mezzo 1° semestre 2026</t>
        </is>
      </c>
      <c r="O342" s="16">
        <f>IF(ISNUMBER(M342),ROUND(M342*(1-Condizioni!$B$2),2),"")</f>
        <v/>
      </c>
      <c r="P342" s="17" t="inlineStr">
        <is>
          <t>No</t>
        </is>
      </c>
    </row>
    <row r="343">
      <c r="A343" s="14" t="inlineStr">
        <is>
          <t>Terre di Mezzo</t>
        </is>
      </c>
      <c r="B343" s="14" t="inlineStr">
        <is>
          <t>Il ranocchio senza nome</t>
        </is>
      </c>
      <c r="C343" s="14" t="inlineStr">
        <is>
          <t>I RACCONTI DI OMBRAVERDE.</t>
        </is>
      </c>
      <c r="D343" s="14" t="inlineStr">
        <is>
          <t>L'Acchiappastorie – Primi lettori</t>
        </is>
      </c>
      <c r="E343" s="14" t="inlineStr">
        <is>
          <t>primi lettori</t>
        </is>
      </c>
      <c r="F343" s="14" t="inlineStr">
        <is>
          <t>Prime letture (6-8)</t>
        </is>
      </c>
      <c r="G343" s="14" t="inlineStr">
        <is>
          <t>Narrativa</t>
        </is>
      </c>
      <c r="H343" s="14" t="inlineStr"/>
      <c r="I343" s="14" t="inlineStr">
        <is>
          <t>No</t>
        </is>
      </c>
      <c r="J343" s="14" t="inlineStr">
        <is>
          <t>Collana</t>
        </is>
      </c>
      <c r="K343" s="14" t="inlineStr">
        <is>
          <t>prime letture, narrativa</t>
        </is>
      </c>
      <c r="L343" s="14" t="inlineStr">
        <is>
          <t>Catalogo Terre di Mezzo 1° semestre 2026, p. 48 (ISBN 9791259961310)</t>
        </is>
      </c>
      <c r="M343" s="16" t="n">
        <v>14</v>
      </c>
      <c r="N343" s="14" t="inlineStr">
        <is>
          <t>Catalogo Terre di Mezzo 1° semestre 2026</t>
        </is>
      </c>
      <c r="O343" s="16">
        <f>IF(ISNUMBER(M343),ROUND(M343*(1-Condizioni!$B$2),2),"")</f>
        <v/>
      </c>
      <c r="P343" s="17" t="inlineStr">
        <is>
          <t>No</t>
        </is>
      </c>
    </row>
    <row r="344">
      <c r="A344" s="14" t="inlineStr">
        <is>
          <t>Terre di Mezzo</t>
        </is>
      </c>
      <c r="B344" s="14" t="inlineStr">
        <is>
          <t>La Casetta sottoterra. festa di primavera</t>
        </is>
      </c>
      <c r="C344" s="14" t="inlineStr">
        <is>
          <t>Catalina González, Toni Galmés</t>
        </is>
      </c>
      <c r="D344" s="14" t="inlineStr">
        <is>
          <t>L'Acchiappastorie – Primi lettori</t>
        </is>
      </c>
      <c r="E344" s="14" t="inlineStr">
        <is>
          <t>primi lettori</t>
        </is>
      </c>
      <c r="F344" s="14" t="inlineStr">
        <is>
          <t>Prime letture (6-8)</t>
        </is>
      </c>
      <c r="G344" s="14" t="inlineStr">
        <is>
          <t>Narrativa</t>
        </is>
      </c>
      <c r="H344" s="14" t="inlineStr"/>
      <c r="I344" s="14" t="inlineStr">
        <is>
          <t>No</t>
        </is>
      </c>
      <c r="J344" s="14" t="inlineStr">
        <is>
          <t>Collana</t>
        </is>
      </c>
      <c r="K344" s="14" t="inlineStr">
        <is>
          <t>prime letture, narrativa</t>
        </is>
      </c>
      <c r="L344" s="14" t="inlineStr">
        <is>
          <t>Catalogo Terre di Mezzo 1° semestre 2026, p. 48 (ISBN 9791259963710)</t>
        </is>
      </c>
      <c r="M344" s="16" t="n">
        <v>14</v>
      </c>
      <c r="N344" s="14" t="inlineStr">
        <is>
          <t>Catalogo Terre di Mezzo 1° semestre 2026</t>
        </is>
      </c>
      <c r="O344" s="16">
        <f>IF(ISNUMBER(M344),ROUND(M344*(1-Condizioni!$B$2),2),"")</f>
        <v/>
      </c>
      <c r="P344" s="17" t="inlineStr">
        <is>
          <t>No</t>
        </is>
      </c>
    </row>
    <row r="345">
      <c r="A345" s="14" t="inlineStr">
        <is>
          <t>Terre di Mezzo</t>
        </is>
      </c>
      <c r="B345" s="14" t="inlineStr">
        <is>
          <t>La Montagna dei draghi</t>
        </is>
      </c>
      <c r="C345" s="14" t="inlineStr">
        <is>
          <t>Mathieu Pierloot, François Maumont</t>
        </is>
      </c>
      <c r="D345" s="14" t="inlineStr">
        <is>
          <t>L'Acchiappastorie – Primi lettori</t>
        </is>
      </c>
      <c r="E345" s="14" t="inlineStr">
        <is>
          <t>primi lettori</t>
        </is>
      </c>
      <c r="F345" s="14" t="inlineStr">
        <is>
          <t>Prime letture (6-8)</t>
        </is>
      </c>
      <c r="G345" s="14" t="inlineStr">
        <is>
          <t>Narrativa</t>
        </is>
      </c>
      <c r="H345" s="14" t="inlineStr"/>
      <c r="I345" s="14" t="inlineStr">
        <is>
          <t>No</t>
        </is>
      </c>
      <c r="J345" s="14" t="inlineStr">
        <is>
          <t>Collana</t>
        </is>
      </c>
      <c r="K345" s="14" t="inlineStr">
        <is>
          <t>prime letture, narrativa</t>
        </is>
      </c>
      <c r="L345" s="14" t="inlineStr">
        <is>
          <t>Catalogo Terre di Mezzo 1° semestre 2026, p. 48 (ISBN 9791259963697)</t>
        </is>
      </c>
      <c r="M345" s="16" t="n">
        <v>14</v>
      </c>
      <c r="N345" s="14" t="inlineStr">
        <is>
          <t>Catalogo Terre di Mezzo 1° semestre 2026</t>
        </is>
      </c>
      <c r="O345" s="16">
        <f>IF(ISNUMBER(M345),ROUND(M345*(1-Condizioni!$B$2),2),"")</f>
        <v/>
      </c>
      <c r="P345" s="17" t="inlineStr">
        <is>
          <t>No</t>
        </is>
      </c>
    </row>
    <row r="346">
      <c r="A346" s="14" t="inlineStr">
        <is>
          <t>Terre di Mezzo</t>
        </is>
      </c>
      <c r="B346" s="14" t="inlineStr">
        <is>
          <t>La casetta sottoterra. un amico tira l’altro</t>
        </is>
      </c>
      <c r="C346" s="14" t="inlineStr">
        <is>
          <t>Catalina González, Toni Galmés</t>
        </is>
      </c>
      <c r="D346" s="14" t="inlineStr">
        <is>
          <t>L'Acchiappastorie – Primi lettori</t>
        </is>
      </c>
      <c r="E346" s="14" t="inlineStr">
        <is>
          <t>primi lettori</t>
        </is>
      </c>
      <c r="F346" s="14" t="inlineStr">
        <is>
          <t>Prime letture (6-8)</t>
        </is>
      </c>
      <c r="G346" s="14" t="inlineStr">
        <is>
          <t>Narrativa</t>
        </is>
      </c>
      <c r="H346" s="14" t="inlineStr"/>
      <c r="I346" s="14" t="inlineStr">
        <is>
          <t>No</t>
        </is>
      </c>
      <c r="J346" s="14" t="inlineStr">
        <is>
          <t>Collana</t>
        </is>
      </c>
      <c r="K346" s="14" t="inlineStr">
        <is>
          <t>prime letture, narrativa</t>
        </is>
      </c>
      <c r="L346" s="14" t="inlineStr">
        <is>
          <t>Catalogo Terre di Mezzo 1° semestre 2026, p. 48 (ISBN 9791259963703)</t>
        </is>
      </c>
      <c r="M346" s="16" t="n">
        <v>14</v>
      </c>
      <c r="N346" s="14" t="inlineStr">
        <is>
          <t>Catalogo Terre di Mezzo 1° semestre 2026</t>
        </is>
      </c>
      <c r="O346" s="16">
        <f>IF(ISNUMBER(M346),ROUND(M346*(1-Condizioni!$B$2),2),"")</f>
        <v/>
      </c>
      <c r="P346" s="17" t="inlineStr">
        <is>
          <t>No</t>
        </is>
      </c>
    </row>
    <row r="347">
      <c r="A347" s="14" t="inlineStr">
        <is>
          <t>Terre di Mezzo</t>
        </is>
      </c>
      <c r="B347" s="14" t="inlineStr">
        <is>
          <t>La dura vita di un ex randagio</t>
        </is>
      </c>
      <c r="C347" s="14" t="inlineStr">
        <is>
          <t>BOMBOLONE GATTO PIGRONE.</t>
        </is>
      </c>
      <c r="D347" s="14" t="inlineStr">
        <is>
          <t>L'Acchiappastorie – Primi lettori</t>
        </is>
      </c>
      <c r="E347" s="14" t="inlineStr">
        <is>
          <t>primi lettori</t>
        </is>
      </c>
      <c r="F347" s="14" t="inlineStr">
        <is>
          <t>Prime letture (6-8)</t>
        </is>
      </c>
      <c r="G347" s="14" t="inlineStr">
        <is>
          <t>Narrativa</t>
        </is>
      </c>
      <c r="H347" s="14" t="inlineStr"/>
      <c r="I347" s="14" t="inlineStr">
        <is>
          <t>No</t>
        </is>
      </c>
      <c r="J347" s="14" t="inlineStr">
        <is>
          <t>Collana</t>
        </is>
      </c>
      <c r="K347" s="14" t="inlineStr">
        <is>
          <t>prime letture, narrativa</t>
        </is>
      </c>
      <c r="L347" s="14" t="inlineStr">
        <is>
          <t>Catalogo Terre di Mezzo 1° semestre 2026, p. 61 (ISBN 9791259960573)</t>
        </is>
      </c>
      <c r="M347" s="16" t="n">
        <v>12</v>
      </c>
      <c r="N347" s="14" t="inlineStr">
        <is>
          <t>Catalogo Terre di Mezzo 1° semestre 2026</t>
        </is>
      </c>
      <c r="O347" s="16">
        <f>IF(ISNUMBER(M347),ROUND(M347*(1-Condizioni!$B$2),2),"")</f>
        <v/>
      </c>
      <c r="P347" s="17" t="inlineStr">
        <is>
          <t>No</t>
        </is>
      </c>
    </row>
    <row r="348">
      <c r="A348" s="14" t="inlineStr">
        <is>
          <t>Terre di Mezzo</t>
        </is>
      </c>
      <c r="B348" s="14" t="inlineStr">
        <is>
          <t>La fantasmagorica storia di Ralph</t>
        </is>
      </c>
      <c r="C348" s="14" t="inlineStr">
        <is>
          <t>Abby Hanlon</t>
        </is>
      </c>
      <c r="D348" s="14" t="inlineStr">
        <is>
          <t>L'Acchiappastorie – Primi lettori</t>
        </is>
      </c>
      <c r="E348" s="14" t="inlineStr">
        <is>
          <t>primi lettori</t>
        </is>
      </c>
      <c r="F348" s="14" t="inlineStr">
        <is>
          <t>Prime letture (6-8)</t>
        </is>
      </c>
      <c r="G348" s="14" t="inlineStr">
        <is>
          <t>Narrativa</t>
        </is>
      </c>
      <c r="H348" s="14" t="inlineStr"/>
      <c r="I348" s="14" t="inlineStr">
        <is>
          <t>No</t>
        </is>
      </c>
      <c r="J348" s="14" t="inlineStr">
        <is>
          <t>Collana</t>
        </is>
      </c>
      <c r="K348" s="14" t="inlineStr">
        <is>
          <t>prime letture, narrativa</t>
        </is>
      </c>
      <c r="L348" s="14" t="inlineStr">
        <is>
          <t>Catalogo Terre di Mezzo 1° semestre 2026, p. 54 (ISBN 9788861897410)</t>
        </is>
      </c>
      <c r="M348" s="16" t="n">
        <v>12</v>
      </c>
      <c r="N348" s="14" t="inlineStr">
        <is>
          <t>Catalogo Terre di Mezzo 1° semestre 2026</t>
        </is>
      </c>
      <c r="O348" s="16">
        <f>IF(ISNUMBER(M348),ROUND(M348*(1-Condizioni!$B$2),2),"")</f>
        <v/>
      </c>
      <c r="P348" s="17" t="inlineStr">
        <is>
          <t>No</t>
        </is>
      </c>
    </row>
    <row r="349">
      <c r="A349" s="14" t="inlineStr">
        <is>
          <t>Terre di Mezzo</t>
        </is>
      </c>
      <c r="B349" s="14" t="inlineStr">
        <is>
          <t>La felicità è una tazza di tè</t>
        </is>
      </c>
      <c r="C349" s="14" t="inlineStr">
        <is>
          <t>Eulàlia Canal, Toni Galmés</t>
        </is>
      </c>
      <c r="D349" s="14" t="inlineStr">
        <is>
          <t>L'Acchiappastorie – Primi lettori</t>
        </is>
      </c>
      <c r="E349" s="14" t="inlineStr">
        <is>
          <t>primi lettori</t>
        </is>
      </c>
      <c r="F349" s="14" t="inlineStr">
        <is>
          <t>Prime letture (6-8)</t>
        </is>
      </c>
      <c r="G349" s="14" t="inlineStr">
        <is>
          <t>Narrativa</t>
        </is>
      </c>
      <c r="H349" s="14" t="inlineStr"/>
      <c r="I349" s="14" t="inlineStr">
        <is>
          <t>No</t>
        </is>
      </c>
      <c r="J349" s="14" t="inlineStr">
        <is>
          <t>Collana</t>
        </is>
      </c>
      <c r="K349" s="14" t="inlineStr">
        <is>
          <t>prime letture, narrativa</t>
        </is>
      </c>
      <c r="L349" s="14" t="inlineStr">
        <is>
          <t>Catalogo Terre di Mezzo 1° semestre 2026, p. 51 (ISBN 9791259961495)</t>
        </is>
      </c>
      <c r="M349" s="16" t="n">
        <v>14</v>
      </c>
      <c r="N349" s="14" t="inlineStr">
        <is>
          <t>Catalogo Terre di Mezzo 1° semestre 2026</t>
        </is>
      </c>
      <c r="O349" s="16">
        <f>IF(ISNUMBER(M349),ROUND(M349*(1-Condizioni!$B$2),2),"")</f>
        <v/>
      </c>
      <c r="P349" s="17" t="inlineStr">
        <is>
          <t>No</t>
        </is>
      </c>
    </row>
    <row r="350">
      <c r="A350" s="14" t="inlineStr">
        <is>
          <t>Terre di Mezzo</t>
        </is>
      </c>
      <c r="B350" s="14" t="inlineStr">
        <is>
          <t>La mia nonna ratto</t>
        </is>
      </c>
      <c r="C350" s="14" t="inlineStr">
        <is>
          <t>Stella Nosella, Lucia Carlini</t>
        </is>
      </c>
      <c r="D350" s="14" t="inlineStr">
        <is>
          <t>L'Acchiappastorie – Primi lettori</t>
        </is>
      </c>
      <c r="E350" s="14" t="inlineStr">
        <is>
          <t>primi lettori</t>
        </is>
      </c>
      <c r="F350" s="14" t="inlineStr">
        <is>
          <t>Prime letture (6-8)</t>
        </is>
      </c>
      <c r="G350" s="14" t="inlineStr">
        <is>
          <t>Narrativa</t>
        </is>
      </c>
      <c r="H350" s="14" t="inlineStr"/>
      <c r="I350" s="14" t="inlineStr">
        <is>
          <t>No</t>
        </is>
      </c>
      <c r="J350" s="14" t="inlineStr">
        <is>
          <t>Collana</t>
        </is>
      </c>
      <c r="K350" s="14" t="inlineStr">
        <is>
          <t>prime letture, narrativa</t>
        </is>
      </c>
      <c r="L350" s="14" t="inlineStr">
        <is>
          <t>Catalogo Terre di Mezzo 1° semestre 2026, p. 48 (ISBN 9791259963192)</t>
        </is>
      </c>
      <c r="M350" s="16" t="n">
        <v>14</v>
      </c>
      <c r="N350" s="14" t="inlineStr">
        <is>
          <t>Catalogo Terre di Mezzo 1° semestre 2026</t>
        </is>
      </c>
      <c r="O350" s="16">
        <f>IF(ISNUMBER(M350),ROUND(M350*(1-Condizioni!$B$2),2),"")</f>
        <v/>
      </c>
      <c r="P350" s="17" t="inlineStr">
        <is>
          <t>No</t>
        </is>
      </c>
    </row>
    <row r="351">
      <c r="A351" s="14" t="inlineStr">
        <is>
          <t>Terre di Mezzo</t>
        </is>
      </c>
      <c r="B351" s="14" t="inlineStr">
        <is>
          <t>Le avventure dello Stagno Stagnante</t>
        </is>
      </c>
      <c r="C351" s="14" t="inlineStr">
        <is>
          <t>Cristina Marsi, Francesca Carabelli</t>
        </is>
      </c>
      <c r="D351" s="14" t="inlineStr">
        <is>
          <t>L'Acchiappastorie – Primi lettori</t>
        </is>
      </c>
      <c r="E351" s="14" t="inlineStr">
        <is>
          <t>primi lettori</t>
        </is>
      </c>
      <c r="F351" s="14" t="inlineStr">
        <is>
          <t>Prime letture (6-8)</t>
        </is>
      </c>
      <c r="G351" s="14" t="inlineStr">
        <is>
          <t>Narrativa</t>
        </is>
      </c>
      <c r="H351" s="14" t="inlineStr"/>
      <c r="I351" s="14" t="inlineStr">
        <is>
          <t>No</t>
        </is>
      </c>
      <c r="J351" s="14" t="inlineStr">
        <is>
          <t>Collana</t>
        </is>
      </c>
      <c r="K351" s="14" t="inlineStr">
        <is>
          <t>prime letture, narrativa</t>
        </is>
      </c>
      <c r="L351" s="14" t="inlineStr">
        <is>
          <t>Catalogo Terre di Mezzo 1° semestre 2026, p. 56 (ISBN 9791259960726)</t>
        </is>
      </c>
      <c r="M351" s="16" t="n">
        <v>12</v>
      </c>
      <c r="N351" s="14" t="inlineStr">
        <is>
          <t>Catalogo Terre di Mezzo 1° semestre 2026</t>
        </is>
      </c>
      <c r="O351" s="16">
        <f>IF(ISNUMBER(M351),ROUND(M351*(1-Condizioni!$B$2),2),"")</f>
        <v/>
      </c>
      <c r="P351" s="17" t="inlineStr">
        <is>
          <t>No</t>
        </is>
      </c>
    </row>
    <row r="352">
      <c r="A352" s="14" t="inlineStr">
        <is>
          <t>Terre di Mezzo</t>
        </is>
      </c>
      <c r="B352" s="14" t="inlineStr">
        <is>
          <t>Le bambine della palude. una vacanza da paura!</t>
        </is>
      </c>
      <c r="C352" s="14" t="inlineStr">
        <is>
          <t>Taylor Dolan</t>
        </is>
      </c>
      <c r="D352" s="14" t="inlineStr">
        <is>
          <t>L'Acchiappastorie – Primi lettori</t>
        </is>
      </c>
      <c r="E352" s="14" t="inlineStr">
        <is>
          <t>primi lettori</t>
        </is>
      </c>
      <c r="F352" s="14" t="inlineStr">
        <is>
          <t>Prime letture (6-8)</t>
        </is>
      </c>
      <c r="G352" s="14" t="inlineStr">
        <is>
          <t>Narrativa</t>
        </is>
      </c>
      <c r="H352" s="14" t="inlineStr"/>
      <c r="I352" s="14" t="inlineStr">
        <is>
          <t>No</t>
        </is>
      </c>
      <c r="J352" s="14" t="inlineStr">
        <is>
          <t>Collana</t>
        </is>
      </c>
      <c r="K352" s="14" t="inlineStr">
        <is>
          <t>prime letture, narrativa</t>
        </is>
      </c>
      <c r="L352" s="14" t="inlineStr">
        <is>
          <t>Catalogo Terre di Mezzo 1° semestre 2026, p. 56 (ISBN 9788861896529)</t>
        </is>
      </c>
      <c r="M352" s="16" t="n">
        <v>12</v>
      </c>
      <c r="N352" s="14" t="inlineStr">
        <is>
          <t>Catalogo Terre di Mezzo 1° semestre 2026</t>
        </is>
      </c>
      <c r="O352" s="16">
        <f>IF(ISNUMBER(M352),ROUND(M352*(1-Condizioni!$B$2),2),"")</f>
        <v/>
      </c>
      <c r="P352" s="17" t="inlineStr">
        <is>
          <t>No</t>
        </is>
      </c>
    </row>
    <row r="353">
      <c r="A353" s="14" t="inlineStr">
        <is>
          <t>Terre di Mezzo</t>
        </is>
      </c>
      <c r="B353" s="14" t="inlineStr">
        <is>
          <t>L’acqua è per i pesci</t>
        </is>
      </c>
      <c r="C353" s="14" t="inlineStr">
        <is>
          <t>Puck Koper</t>
        </is>
      </c>
      <c r="D353" s="14" t="inlineStr">
        <is>
          <t>L'Acchiappastorie – Primi lettori</t>
        </is>
      </c>
      <c r="E353" s="14" t="inlineStr">
        <is>
          <t>primi lettori</t>
        </is>
      </c>
      <c r="F353" s="14" t="inlineStr">
        <is>
          <t>Prime letture (6-8)</t>
        </is>
      </c>
      <c r="G353" s="14" t="inlineStr">
        <is>
          <t>Narrativa</t>
        </is>
      </c>
      <c r="H353" s="14" t="inlineStr"/>
      <c r="I353" s="14" t="inlineStr">
        <is>
          <t>No</t>
        </is>
      </c>
      <c r="J353" s="14" t="inlineStr">
        <is>
          <t>Collana</t>
        </is>
      </c>
      <c r="K353" s="14" t="inlineStr">
        <is>
          <t>prime letture, narrativa</t>
        </is>
      </c>
      <c r="L353" s="14" t="inlineStr">
        <is>
          <t>Catalogo Terre di Mezzo 1° semestre 2026, p. 50 (ISBN 9791259962096)</t>
        </is>
      </c>
      <c r="M353" s="16" t="n">
        <v>14</v>
      </c>
      <c r="N353" s="14" t="inlineStr">
        <is>
          <t>Catalogo Terre di Mezzo 1° semestre 2026</t>
        </is>
      </c>
      <c r="O353" s="16">
        <f>IF(ISNUMBER(M353),ROUND(M353*(1-Condizioni!$B$2),2),"")</f>
        <v/>
      </c>
      <c r="P353" s="17" t="inlineStr">
        <is>
          <t>No</t>
        </is>
      </c>
    </row>
    <row r="354">
      <c r="A354" s="14" t="inlineStr">
        <is>
          <t>Terre di Mezzo</t>
        </is>
      </c>
      <c r="B354" s="14" t="inlineStr">
        <is>
          <t>L’amore è un segreto blu</t>
        </is>
      </c>
      <c r="C354" s="14" t="inlineStr">
        <is>
          <t>Eulàlia Canal, Toni Galmés</t>
        </is>
      </c>
      <c r="D354" s="14" t="inlineStr">
        <is>
          <t>L'Acchiappastorie – Primi lettori</t>
        </is>
      </c>
      <c r="E354" s="14" t="inlineStr">
        <is>
          <t>primi lettori</t>
        </is>
      </c>
      <c r="F354" s="14" t="inlineStr">
        <is>
          <t>Prime letture (6-8)</t>
        </is>
      </c>
      <c r="G354" s="14" t="inlineStr">
        <is>
          <t>Narrativa</t>
        </is>
      </c>
      <c r="H354" s="14" t="inlineStr"/>
      <c r="I354" s="14" t="inlineStr">
        <is>
          <t>No</t>
        </is>
      </c>
      <c r="J354" s="14" t="inlineStr">
        <is>
          <t>Collana</t>
        </is>
      </c>
      <c r="K354" s="14" t="inlineStr">
        <is>
          <t>prime letture, narrativa</t>
        </is>
      </c>
      <c r="L354" s="14" t="inlineStr">
        <is>
          <t>Catalogo Terre di Mezzo 1° semestre 2026, p. 51 (ISBN 9791259962645)</t>
        </is>
      </c>
      <c r="M354" s="16" t="n">
        <v>14</v>
      </c>
      <c r="N354" s="14" t="inlineStr">
        <is>
          <t>Catalogo Terre di Mezzo 1° semestre 2026</t>
        </is>
      </c>
      <c r="O354" s="16">
        <f>IF(ISNUMBER(M354),ROUND(M354*(1-Condizioni!$B$2),2),"")</f>
        <v/>
      </c>
      <c r="P354" s="17" t="inlineStr">
        <is>
          <t>No</t>
        </is>
      </c>
    </row>
    <row r="355">
      <c r="A355" s="14" t="inlineStr">
        <is>
          <t>Terre di Mezzo</t>
        </is>
      </c>
      <c r="B355" s="14" t="inlineStr">
        <is>
          <t>L’impavida Aurora e la sfida delle principesse</t>
        </is>
      </c>
      <c r="C355" s="14" t="inlineStr">
        <is>
          <t>Matthieu Sylvander, Perceval Barrier</t>
        </is>
      </c>
      <c r="D355" s="14" t="inlineStr">
        <is>
          <t>L'Acchiappastorie – Primi lettori</t>
        </is>
      </c>
      <c r="E355" s="14" t="inlineStr">
        <is>
          <t>primi lettori</t>
        </is>
      </c>
      <c r="F355" s="14" t="inlineStr">
        <is>
          <t>Prime letture (6-8)</t>
        </is>
      </c>
      <c r="G355" s="14" t="inlineStr">
        <is>
          <t>Narrativa</t>
        </is>
      </c>
      <c r="H355" s="14" t="inlineStr"/>
      <c r="I355" s="14" t="inlineStr">
        <is>
          <t>No</t>
        </is>
      </c>
      <c r="J355" s="14" t="inlineStr">
        <is>
          <t>Collana</t>
        </is>
      </c>
      <c r="K355" s="14" t="inlineStr">
        <is>
          <t>prime letture, narrativa</t>
        </is>
      </c>
      <c r="L355" s="14" t="inlineStr">
        <is>
          <t>Catalogo Terre di Mezzo 1° semestre 2026, p. 62 (ISBN 9788861896055)</t>
        </is>
      </c>
      <c r="M355" s="16" t="n">
        <v>12</v>
      </c>
      <c r="N355" s="14" t="inlineStr">
        <is>
          <t>Catalogo Terre di Mezzo 1° semestre 2026</t>
        </is>
      </c>
      <c r="O355" s="16">
        <f>IF(ISNUMBER(M355),ROUND(M355*(1-Condizioni!$B$2),2),"")</f>
        <v/>
      </c>
      <c r="P355" s="17" t="inlineStr">
        <is>
          <t>Sì</t>
        </is>
      </c>
    </row>
    <row r="356">
      <c r="A356" s="14" t="inlineStr">
        <is>
          <t>Terre di Mezzo</t>
        </is>
      </c>
      <c r="B356" s="14" t="inlineStr">
        <is>
          <t>Mina Gattina e il pulcino a sorpresa</t>
        </is>
      </c>
      <c r="C356" s="14" t="inlineStr">
        <is>
          <t>Clothilde Delacroix</t>
        </is>
      </c>
      <c r="D356" s="14" t="inlineStr">
        <is>
          <t>L'Acchiappastorie – Primi lettori</t>
        </is>
      </c>
      <c r="E356" s="14" t="inlineStr">
        <is>
          <t>primi lettori</t>
        </is>
      </c>
      <c r="F356" s="14" t="inlineStr">
        <is>
          <t>Prime letture (6-8)</t>
        </is>
      </c>
      <c r="G356" s="14" t="inlineStr">
        <is>
          <t>Narrativa</t>
        </is>
      </c>
      <c r="H356" s="14" t="inlineStr"/>
      <c r="I356" s="14" t="inlineStr">
        <is>
          <t>No</t>
        </is>
      </c>
      <c r="J356" s="14" t="inlineStr">
        <is>
          <t>Collana</t>
        </is>
      </c>
      <c r="K356" s="14" t="inlineStr">
        <is>
          <t>prime letture, narrativa</t>
        </is>
      </c>
      <c r="L356" s="14" t="inlineStr">
        <is>
          <t>Catalogo Terre di Mezzo 1° semestre 2026, p. 59 (ISBN 9791259960269)</t>
        </is>
      </c>
      <c r="M356" s="16" t="n">
        <v>12</v>
      </c>
      <c r="N356" s="14" t="inlineStr">
        <is>
          <t>Catalogo Terre di Mezzo 1° semestre 2026</t>
        </is>
      </c>
      <c r="O356" s="16">
        <f>IF(ISNUMBER(M356),ROUND(M356*(1-Condizioni!$B$2),2),"")</f>
        <v/>
      </c>
      <c r="P356" s="17" t="inlineStr">
        <is>
          <t>No</t>
        </is>
      </c>
    </row>
    <row r="357">
      <c r="A357" s="14" t="inlineStr">
        <is>
          <t>Terre di Mezzo</t>
        </is>
      </c>
      <c r="B357" s="14" t="inlineStr">
        <is>
          <t>Mina Gattina e la sciarpa infinita</t>
        </is>
      </c>
      <c r="C357" s="14" t="inlineStr">
        <is>
          <t>Clothilde Delacroix</t>
        </is>
      </c>
      <c r="D357" s="14" t="inlineStr">
        <is>
          <t>L'Acchiappastorie – Primi lettori</t>
        </is>
      </c>
      <c r="E357" s="14" t="inlineStr">
        <is>
          <t>primi lettori</t>
        </is>
      </c>
      <c r="F357" s="14" t="inlineStr">
        <is>
          <t>Prime letture (6-8)</t>
        </is>
      </c>
      <c r="G357" s="14" t="inlineStr">
        <is>
          <t>Narrativa</t>
        </is>
      </c>
      <c r="H357" s="14" t="inlineStr"/>
      <c r="I357" s="14" t="inlineStr">
        <is>
          <t>No</t>
        </is>
      </c>
      <c r="J357" s="14" t="inlineStr">
        <is>
          <t>Collana</t>
        </is>
      </c>
      <c r="K357" s="14" t="inlineStr">
        <is>
          <t>prime letture, narrativa</t>
        </is>
      </c>
      <c r="L357" s="14" t="inlineStr">
        <is>
          <t>Catalogo Terre di Mezzo 1° semestre 2026, p. 59 (ISBN 9791259960351)</t>
        </is>
      </c>
      <c r="M357" s="16" t="n">
        <v>12</v>
      </c>
      <c r="N357" s="14" t="inlineStr">
        <is>
          <t>Catalogo Terre di Mezzo 1° semestre 2026</t>
        </is>
      </c>
      <c r="O357" s="16">
        <f>IF(ISNUMBER(M357),ROUND(M357*(1-Condizioni!$B$2),2),"")</f>
        <v/>
      </c>
      <c r="P357" s="17" t="inlineStr">
        <is>
          <t>No</t>
        </is>
      </c>
    </row>
    <row r="358">
      <c r="A358" s="14" t="inlineStr">
        <is>
          <t>Terre di Mezzo</t>
        </is>
      </c>
      <c r="B358" s="14" t="inlineStr">
        <is>
          <t>Nella pancia del gatto</t>
        </is>
      </c>
      <c r="C358" s="14" t="inlineStr">
        <is>
          <t>Magdalena Hai, Teemu Juhani</t>
        </is>
      </c>
      <c r="D358" s="14" t="inlineStr">
        <is>
          <t>L'Acchiappastorie – Primi lettori</t>
        </is>
      </c>
      <c r="E358" s="14" t="inlineStr">
        <is>
          <t>primi lettori</t>
        </is>
      </c>
      <c r="F358" s="14" t="inlineStr">
        <is>
          <t>Prime letture (6-8)</t>
        </is>
      </c>
      <c r="G358" s="14" t="inlineStr">
        <is>
          <t>Narrativa</t>
        </is>
      </c>
      <c r="H358" s="14" t="inlineStr"/>
      <c r="I358" s="14" t="inlineStr">
        <is>
          <t>No</t>
        </is>
      </c>
      <c r="J358" s="14" t="inlineStr">
        <is>
          <t>Collana</t>
        </is>
      </c>
      <c r="K358" s="14" t="inlineStr">
        <is>
          <t>prime letture, narrativa</t>
        </is>
      </c>
      <c r="L358" s="14" t="inlineStr">
        <is>
          <t>Catalogo Terre di Mezzo 1° semestre 2026, p. 60 (ISBN 9791259960443)</t>
        </is>
      </c>
      <c r="M358" s="16" t="n">
        <v>12.9</v>
      </c>
      <c r="N358" s="14" t="inlineStr">
        <is>
          <t>Catalogo Terre di Mezzo 1° semestre 2026</t>
        </is>
      </c>
      <c r="O358" s="16">
        <f>IF(ISNUMBER(M358),ROUND(M358*(1-Condizioni!$B$2),2),"")</f>
        <v/>
      </c>
      <c r="P358" s="17" t="inlineStr">
        <is>
          <t>No</t>
        </is>
      </c>
    </row>
    <row r="359">
      <c r="A359" s="14" t="inlineStr">
        <is>
          <t>Terre di Mezzo</t>
        </is>
      </c>
      <c r="B359" s="14" t="inlineStr">
        <is>
          <t>Nino &amp; Taddeo dipingono la primavera</t>
        </is>
      </c>
      <c r="C359" s="14" t="inlineStr">
        <is>
          <t>Henri Meunier, Benjamin Chaud</t>
        </is>
      </c>
      <c r="D359" s="14" t="inlineStr">
        <is>
          <t>L'Acchiappastorie – Primi lettori</t>
        </is>
      </c>
      <c r="E359" s="14" t="inlineStr">
        <is>
          <t>primi lettori</t>
        </is>
      </c>
      <c r="F359" s="14" t="inlineStr">
        <is>
          <t>Prime letture (6-8)</t>
        </is>
      </c>
      <c r="G359" s="14" t="inlineStr">
        <is>
          <t>Narrativa</t>
        </is>
      </c>
      <c r="H359" s="14" t="inlineStr"/>
      <c r="I359" s="14" t="inlineStr">
        <is>
          <t>No</t>
        </is>
      </c>
      <c r="J359" s="14" t="inlineStr">
        <is>
          <t>Collana</t>
        </is>
      </c>
      <c r="K359" s="14" t="inlineStr">
        <is>
          <t>prime letture, narrativa</t>
        </is>
      </c>
      <c r="L359" s="14" t="inlineStr">
        <is>
          <t>Catalogo Terre di Mezzo 1° semestre 2026, p. 60 (ISBN 9788861896253)</t>
        </is>
      </c>
      <c r="M359" s="16" t="n">
        <v>12</v>
      </c>
      <c r="N359" s="14" t="inlineStr">
        <is>
          <t>Catalogo Terre di Mezzo 1° semestre 2026</t>
        </is>
      </c>
      <c r="O359" s="16">
        <f>IF(ISNUMBER(M359),ROUND(M359*(1-Condizioni!$B$2),2),"")</f>
        <v/>
      </c>
      <c r="P359" s="17" t="inlineStr">
        <is>
          <t>No</t>
        </is>
      </c>
    </row>
    <row r="360">
      <c r="A360" s="14" t="inlineStr">
        <is>
          <t>Terre di Mezzo</t>
        </is>
      </c>
      <c r="B360" s="14" t="inlineStr">
        <is>
          <t>Nino &amp; Taddeo e i primi fiocchi di neve</t>
        </is>
      </c>
      <c r="C360" s="14" t="inlineStr">
        <is>
          <t>Henri Meunier, Benjamin Chaud</t>
        </is>
      </c>
      <c r="D360" s="14" t="inlineStr">
        <is>
          <t>L'Acchiappastorie – Primi lettori</t>
        </is>
      </c>
      <c r="E360" s="14" t="inlineStr">
        <is>
          <t>primi lettori</t>
        </is>
      </c>
      <c r="F360" s="14" t="inlineStr">
        <is>
          <t>Prime letture (6-8)</t>
        </is>
      </c>
      <c r="G360" s="14" t="inlineStr">
        <is>
          <t>Narrativa</t>
        </is>
      </c>
      <c r="H360" s="14" t="inlineStr"/>
      <c r="I360" s="14" t="inlineStr">
        <is>
          <t>No</t>
        </is>
      </c>
      <c r="J360" s="14" t="inlineStr">
        <is>
          <t>Collana</t>
        </is>
      </c>
      <c r="K360" s="14" t="inlineStr">
        <is>
          <t>prime letture, narrativa</t>
        </is>
      </c>
      <c r="L360" s="14" t="inlineStr">
        <is>
          <t>Catalogo Terre di Mezzo 1° semestre 2026, p. 60 (ISBN 9788861897748)</t>
        </is>
      </c>
      <c r="M360" s="16" t="n">
        <v>12</v>
      </c>
      <c r="N360" s="14" t="inlineStr">
        <is>
          <t>Catalogo Terre di Mezzo 1° semestre 2026</t>
        </is>
      </c>
      <c r="O360" s="16">
        <f>IF(ISNUMBER(M360),ROUND(M360*(1-Condizioni!$B$2),2),"")</f>
        <v/>
      </c>
      <c r="P360" s="17" t="inlineStr">
        <is>
          <t>No</t>
        </is>
      </c>
    </row>
    <row r="361">
      <c r="A361" s="14" t="inlineStr">
        <is>
          <t>Terre di Mezzo</t>
        </is>
      </c>
      <c r="B361" s="14" t="inlineStr">
        <is>
          <t>Nino &amp; Taddeo e la torta di lombrichi</t>
        </is>
      </c>
      <c r="C361" s="14" t="inlineStr">
        <is>
          <t>Henri Meunier, Benjamin Chaud</t>
        </is>
      </c>
      <c r="D361" s="14" t="inlineStr">
        <is>
          <t>L'Acchiappastorie – Primi lettori</t>
        </is>
      </c>
      <c r="E361" s="14" t="inlineStr">
        <is>
          <t>primi lettori</t>
        </is>
      </c>
      <c r="F361" s="14" t="inlineStr">
        <is>
          <t>Prime letture (6-8)</t>
        </is>
      </c>
      <c r="G361" s="14" t="inlineStr">
        <is>
          <t>Narrativa</t>
        </is>
      </c>
      <c r="H361" s="14" t="inlineStr"/>
      <c r="I361" s="14" t="inlineStr">
        <is>
          <t>No</t>
        </is>
      </c>
      <c r="J361" s="14" t="inlineStr">
        <is>
          <t>Collana</t>
        </is>
      </c>
      <c r="K361" s="14" t="inlineStr">
        <is>
          <t>prime letture, narrativa</t>
        </is>
      </c>
      <c r="L361" s="14" t="inlineStr">
        <is>
          <t>Catalogo Terre di Mezzo 1° semestre 2026, p. 60 (ISBN 9788861896536)</t>
        </is>
      </c>
      <c r="M361" s="16" t="n">
        <v>12</v>
      </c>
      <c r="N361" s="14" t="inlineStr">
        <is>
          <t>Catalogo Terre di Mezzo 1° semestre 2026</t>
        </is>
      </c>
      <c r="O361" s="16">
        <f>IF(ISNUMBER(M361),ROUND(M361*(1-Condizioni!$B$2),2),"")</f>
        <v/>
      </c>
      <c r="P361" s="17" t="inlineStr">
        <is>
          <t>No</t>
        </is>
      </c>
    </row>
    <row r="362">
      <c r="A362" s="14" t="inlineStr">
        <is>
          <t>Terre di Mezzo</t>
        </is>
      </c>
      <c r="B362" s="14" t="inlineStr">
        <is>
          <t>Nino &amp; Taddeo. lezioni di volo</t>
        </is>
      </c>
      <c r="C362" s="14" t="inlineStr">
        <is>
          <t>Henri Meunier, Benjamin Chaud</t>
        </is>
      </c>
      <c r="D362" s="14" t="inlineStr">
        <is>
          <t>L'Acchiappastorie – Primi lettori</t>
        </is>
      </c>
      <c r="E362" s="14" t="inlineStr">
        <is>
          <t>primi lettori</t>
        </is>
      </c>
      <c r="F362" s="14" t="inlineStr">
        <is>
          <t>Prime letture (6-8)</t>
        </is>
      </c>
      <c r="G362" s="14" t="inlineStr">
        <is>
          <t>Narrativa</t>
        </is>
      </c>
      <c r="H362" s="14" t="inlineStr"/>
      <c r="I362" s="14" t="inlineStr">
        <is>
          <t>No</t>
        </is>
      </c>
      <c r="J362" s="14" t="inlineStr">
        <is>
          <t>Collana</t>
        </is>
      </c>
      <c r="K362" s="14" t="inlineStr">
        <is>
          <t>prime letture, narrativa</t>
        </is>
      </c>
      <c r="L362" s="14" t="inlineStr">
        <is>
          <t>Catalogo Terre di Mezzo 1° semestre 2026, p. 60 (ISBN 9791259961440)</t>
        </is>
      </c>
      <c r="M362" s="16" t="n">
        <v>12</v>
      </c>
      <c r="N362" s="14" t="inlineStr">
        <is>
          <t>Catalogo Terre di Mezzo 1° semestre 2026</t>
        </is>
      </c>
      <c r="O362" s="16">
        <f>IF(ISNUMBER(M362),ROUND(M362*(1-Condizioni!$B$2),2),"")</f>
        <v/>
      </c>
      <c r="P362" s="17" t="inlineStr">
        <is>
          <t>No</t>
        </is>
      </c>
    </row>
    <row r="363">
      <c r="A363" s="14" t="inlineStr">
        <is>
          <t>Terre di Mezzo</t>
        </is>
      </c>
      <c r="B363" s="14" t="inlineStr">
        <is>
          <t>Nino &amp; Taddeo. un’estate in tandem</t>
        </is>
      </c>
      <c r="C363" s="14" t="inlineStr">
        <is>
          <t>Henri Meunier, Benjamin Chaud</t>
        </is>
      </c>
      <c r="D363" s="14" t="inlineStr">
        <is>
          <t>L'Acchiappastorie – Primi lettori</t>
        </is>
      </c>
      <c r="E363" s="14" t="inlineStr">
        <is>
          <t>primi lettori</t>
        </is>
      </c>
      <c r="F363" s="14" t="inlineStr">
        <is>
          <t>Prime letture (6-8)</t>
        </is>
      </c>
      <c r="G363" s="14" t="inlineStr">
        <is>
          <t>Narrativa</t>
        </is>
      </c>
      <c r="H363" s="14" t="inlineStr"/>
      <c r="I363" s="14" t="inlineStr">
        <is>
          <t>No</t>
        </is>
      </c>
      <c r="J363" s="14" t="inlineStr">
        <is>
          <t>Collana</t>
        </is>
      </c>
      <c r="K363" s="14" t="inlineStr">
        <is>
          <t>prime letture, narrativa</t>
        </is>
      </c>
      <c r="L363" s="14" t="inlineStr">
        <is>
          <t>Catalogo Terre di Mezzo 1° semestre 2026, p. 60 (ISBN 9788861897403)</t>
        </is>
      </c>
      <c r="M363" s="16" t="n">
        <v>12</v>
      </c>
      <c r="N363" s="14" t="inlineStr">
        <is>
          <t>Catalogo Terre di Mezzo 1° semestre 2026</t>
        </is>
      </c>
      <c r="O363" s="16">
        <f>IF(ISNUMBER(M363),ROUND(M363*(1-Condizioni!$B$2),2),"")</f>
        <v/>
      </c>
      <c r="P363" s="17" t="inlineStr">
        <is>
          <t>No</t>
        </is>
      </c>
    </row>
    <row r="364">
      <c r="A364" s="14" t="inlineStr">
        <is>
          <t>Terre di Mezzo</t>
        </is>
      </c>
      <c r="B364" s="14" t="inlineStr">
        <is>
          <t>Odore di brodo</t>
        </is>
      </c>
      <c r="C364" s="14" t="inlineStr">
        <is>
          <t>Cristina Brambilla, Arianna Bellucci</t>
        </is>
      </c>
      <c r="D364" s="14" t="inlineStr">
        <is>
          <t>L'Acchiappastorie – Primi lettori</t>
        </is>
      </c>
      <c r="E364" s="14" t="inlineStr">
        <is>
          <t>primi lettori</t>
        </is>
      </c>
      <c r="F364" s="14" t="inlineStr">
        <is>
          <t>Prime letture (6-8)</t>
        </is>
      </c>
      <c r="G364" s="14" t="inlineStr">
        <is>
          <t>Narrativa</t>
        </is>
      </c>
      <c r="H364" s="14" t="inlineStr"/>
      <c r="I364" s="14" t="inlineStr">
        <is>
          <t>No</t>
        </is>
      </c>
      <c r="J364" s="14" t="inlineStr">
        <is>
          <t>Collana</t>
        </is>
      </c>
      <c r="K364" s="14" t="inlineStr">
        <is>
          <t>prime letture, narrativa</t>
        </is>
      </c>
      <c r="L364" s="14" t="inlineStr">
        <is>
          <t>Catalogo Terre di Mezzo 1° semestre 2026, p. 50 (ISBN 9791259962232)</t>
        </is>
      </c>
      <c r="M364" s="16" t="n">
        <v>14</v>
      </c>
      <c r="N364" s="14" t="inlineStr">
        <is>
          <t>Catalogo Terre di Mezzo 1° semestre 2026</t>
        </is>
      </c>
      <c r="O364" s="16">
        <f>IF(ISNUMBER(M364),ROUND(M364*(1-Condizioni!$B$2),2),"")</f>
        <v/>
      </c>
      <c r="P364" s="17" t="inlineStr">
        <is>
          <t>No</t>
        </is>
      </c>
    </row>
    <row r="365">
      <c r="A365" s="14" t="inlineStr">
        <is>
          <t>Terre di Mezzo</t>
        </is>
      </c>
      <c r="B365" s="14" t="inlineStr">
        <is>
          <t>Oscar superstar e il grande splash</t>
        </is>
      </c>
      <c r="C365" s="14" t="inlineStr">
        <is>
          <t>Greg Pizzoli</t>
        </is>
      </c>
      <c r="D365" s="14" t="inlineStr">
        <is>
          <t>L'Acchiappastorie – Primi lettori</t>
        </is>
      </c>
      <c r="E365" s="14" t="inlineStr">
        <is>
          <t>primi lettori</t>
        </is>
      </c>
      <c r="F365" s="14" t="inlineStr">
        <is>
          <t>Prime letture (6-8)</t>
        </is>
      </c>
      <c r="G365" s="14" t="inlineStr">
        <is>
          <t>Narrativa</t>
        </is>
      </c>
      <c r="H365" s="14" t="inlineStr"/>
      <c r="I365" s="14" t="inlineStr">
        <is>
          <t>No</t>
        </is>
      </c>
      <c r="J365" s="14" t="inlineStr">
        <is>
          <t>Collana</t>
        </is>
      </c>
      <c r="K365" s="14" t="inlineStr">
        <is>
          <t>prime letture, narrativa</t>
        </is>
      </c>
      <c r="L365" s="14" t="inlineStr">
        <is>
          <t>Catalogo Terre di Mezzo 1° semestre 2026, p. 59 (ISBN 9788861896635)</t>
        </is>
      </c>
      <c r="M365" s="16" t="n">
        <v>12</v>
      </c>
      <c r="N365" s="14" t="inlineStr">
        <is>
          <t>Catalogo Terre di Mezzo 1° semestre 2026</t>
        </is>
      </c>
      <c r="O365" s="16">
        <f>IF(ISNUMBER(M365),ROUND(M365*(1-Condizioni!$B$2),2),"")</f>
        <v/>
      </c>
      <c r="P365" s="17" t="inlineStr">
        <is>
          <t>No</t>
        </is>
      </c>
    </row>
    <row r="366">
      <c r="A366" s="14" t="inlineStr">
        <is>
          <t>Terre di Mezzo</t>
        </is>
      </c>
      <c r="B366" s="14" t="inlineStr">
        <is>
          <t>Oscar superstar. sempre più in alto!</t>
        </is>
      </c>
      <c r="C366" s="14" t="inlineStr">
        <is>
          <t>Greg Pizzoli</t>
        </is>
      </c>
      <c r="D366" s="14" t="inlineStr">
        <is>
          <t>L'Acchiappastorie – Primi lettori</t>
        </is>
      </c>
      <c r="E366" s="14" t="inlineStr">
        <is>
          <t>primi lettori</t>
        </is>
      </c>
      <c r="F366" s="14" t="inlineStr">
        <is>
          <t>Prime letture (6-8)</t>
        </is>
      </c>
      <c r="G366" s="14" t="inlineStr">
        <is>
          <t>Narrativa</t>
        </is>
      </c>
      <c r="H366" s="14" t="inlineStr"/>
      <c r="I366" s="14" t="inlineStr">
        <is>
          <t>No</t>
        </is>
      </c>
      <c r="J366" s="14" t="inlineStr">
        <is>
          <t>Collana</t>
        </is>
      </c>
      <c r="K366" s="14" t="inlineStr">
        <is>
          <t>prime letture, narrativa</t>
        </is>
      </c>
      <c r="L366" s="14" t="inlineStr">
        <is>
          <t>Catalogo Terre di Mezzo 1° semestre 2026, p. 59 (ISBN 9788861897106)</t>
        </is>
      </c>
      <c r="M366" s="16" t="n">
        <v>12</v>
      </c>
      <c r="N366" s="14" t="inlineStr">
        <is>
          <t>Catalogo Terre di Mezzo 1° semestre 2026</t>
        </is>
      </c>
      <c r="O366" s="16">
        <f>IF(ISNUMBER(M366),ROUND(M366*(1-Condizioni!$B$2),2),"")</f>
        <v/>
      </c>
      <c r="P366" s="17" t="inlineStr">
        <is>
          <t>No</t>
        </is>
      </c>
    </row>
    <row r="367">
      <c r="A367" s="14" t="inlineStr">
        <is>
          <t>Terre di Mezzo</t>
        </is>
      </c>
      <c r="B367" s="14" t="inlineStr">
        <is>
          <t>Premio andersen 2007, grand prix de l’imaginaire 2007</t>
        </is>
      </c>
      <c r="C367" s="14" t="inlineStr">
        <is>
          <t>a tornare tra le fronde più alte per salvare coloro che ama.</t>
        </is>
      </c>
      <c r="D367" s="14" t="inlineStr">
        <is>
          <t>L'Acchiappastorie – Primi lettori</t>
        </is>
      </c>
      <c r="E367" s="14" t="inlineStr">
        <is>
          <t>primi lettori</t>
        </is>
      </c>
      <c r="F367" s="14" t="inlineStr">
        <is>
          <t>Prime letture (6-8)</t>
        </is>
      </c>
      <c r="G367" s="14" t="inlineStr">
        <is>
          <t>Narrativa</t>
        </is>
      </c>
      <c r="H367" s="14" t="inlineStr"/>
      <c r="I367" s="14" t="inlineStr">
        <is>
          <t>No</t>
        </is>
      </c>
      <c r="J367" s="14" t="inlineStr">
        <is>
          <t>Collana</t>
        </is>
      </c>
      <c r="K367" s="14" t="inlineStr">
        <is>
          <t>prime letture, narrativa</t>
        </is>
      </c>
      <c r="L367" s="14" t="inlineStr">
        <is>
          <t>Catalogo Terre di Mezzo 1° semestre 2026, p. 63 (ISBN 9791259963758)</t>
        </is>
      </c>
      <c r="M367" s="16" t="n">
        <v>18</v>
      </c>
      <c r="N367" s="14" t="inlineStr">
        <is>
          <t>Catalogo Terre di Mezzo 1° semestre 2026</t>
        </is>
      </c>
      <c r="O367" s="16">
        <f>IF(ISNUMBER(M367),ROUND(M367*(1-Condizioni!$B$2),2),"")</f>
        <v/>
      </c>
      <c r="P367" s="17" t="inlineStr">
        <is>
          <t>No</t>
        </is>
      </c>
    </row>
    <row r="368">
      <c r="A368" s="14" t="inlineStr">
        <is>
          <t>Terre di Mezzo</t>
        </is>
      </c>
      <c r="B368" s="14" t="inlineStr">
        <is>
          <t>Quando i capelli di papà andarono in vacanza</t>
        </is>
      </c>
      <c r="C368" s="14" t="inlineStr">
        <is>
          <t>Jörg Mühle</t>
        </is>
      </c>
      <c r="D368" s="14" t="inlineStr">
        <is>
          <t>L'Acchiappastorie – Primi lettori</t>
        </is>
      </c>
      <c r="E368" s="14" t="inlineStr">
        <is>
          <t>primi lettori</t>
        </is>
      </c>
      <c r="F368" s="14" t="inlineStr">
        <is>
          <t>Prime letture (6-8)</t>
        </is>
      </c>
      <c r="G368" s="14" t="inlineStr">
        <is>
          <t>Narrativa</t>
        </is>
      </c>
      <c r="H368" s="14" t="inlineStr"/>
      <c r="I368" s="14" t="inlineStr">
        <is>
          <t>No</t>
        </is>
      </c>
      <c r="J368" s="14" t="inlineStr">
        <is>
          <t>Collana</t>
        </is>
      </c>
      <c r="K368" s="14" t="inlineStr">
        <is>
          <t>prime letture, narrativa</t>
        </is>
      </c>
      <c r="L368" s="14" t="inlineStr">
        <is>
          <t>Catalogo Terre di Mezzo 1° semestre 2026, p. 52 (ISBN 9791259961075)</t>
        </is>
      </c>
      <c r="M368" s="16" t="n">
        <v>14</v>
      </c>
      <c r="N368" s="14" t="inlineStr">
        <is>
          <t>Catalogo Terre di Mezzo 1° semestre 2026</t>
        </is>
      </c>
      <c r="O368" s="16">
        <f>IF(ISNUMBER(M368),ROUND(M368*(1-Condizioni!$B$2),2),"")</f>
        <v/>
      </c>
      <c r="P368" s="17" t="inlineStr">
        <is>
          <t>No</t>
        </is>
      </c>
    </row>
    <row r="369">
      <c r="A369" s="14" t="inlineStr">
        <is>
          <t>Terre di Mezzo</t>
        </is>
      </c>
      <c r="B369" s="14" t="inlineStr">
        <is>
          <t>Ranocchia</t>
        </is>
      </c>
      <c r="C369" s="14" t="inlineStr">
        <is>
          <t>LE BAMBINE DELLA PALUDE. SCOMPIGLIO A CAMPO</t>
        </is>
      </c>
      <c r="D369" s="14" t="inlineStr">
        <is>
          <t>L'Acchiappastorie – Primi lettori</t>
        </is>
      </c>
      <c r="E369" s="14" t="inlineStr">
        <is>
          <t>primi lettori</t>
        </is>
      </c>
      <c r="F369" s="14" t="inlineStr">
        <is>
          <t>Prime letture (6-8)</t>
        </is>
      </c>
      <c r="G369" s="14" t="inlineStr">
        <is>
          <t>Narrativa</t>
        </is>
      </c>
      <c r="H369" s="14" t="inlineStr"/>
      <c r="I369" s="14" t="inlineStr">
        <is>
          <t>No</t>
        </is>
      </c>
      <c r="J369" s="14" t="inlineStr">
        <is>
          <t>Collana</t>
        </is>
      </c>
      <c r="K369" s="14" t="inlineStr">
        <is>
          <t>prime letture, narrativa</t>
        </is>
      </c>
      <c r="L369" s="14" t="inlineStr">
        <is>
          <t>Catalogo Terre di Mezzo 1° semestre 2026, p. 56 (ISBN 9788861896901)</t>
        </is>
      </c>
      <c r="M369" s="16" t="n">
        <v>12</v>
      </c>
      <c r="N369" s="14" t="inlineStr">
        <is>
          <t>Catalogo Terre di Mezzo 1° semestre 2026</t>
        </is>
      </c>
      <c r="O369" s="16">
        <f>IF(ISNUMBER(M369),ROUND(M369*(1-Condizioni!$B$2),2),"")</f>
        <v/>
      </c>
      <c r="P369" s="17" t="inlineStr">
        <is>
          <t>No</t>
        </is>
      </c>
    </row>
    <row r="370">
      <c r="A370" s="14" t="inlineStr">
        <is>
          <t>Terre di Mezzo</t>
        </is>
      </c>
      <c r="B370" s="14" t="inlineStr">
        <is>
          <t>Scomparsa</t>
        </is>
      </c>
      <c r="C370" s="14" t="inlineStr">
        <is>
          <t>ADELINA TESTAFINA E IL MISTERO DELLA VICE NONNA</t>
        </is>
      </c>
      <c r="D370" s="14" t="inlineStr">
        <is>
          <t>L'Acchiappastorie – Primi lettori</t>
        </is>
      </c>
      <c r="E370" s="14" t="inlineStr">
        <is>
          <t>primi lettori</t>
        </is>
      </c>
      <c r="F370" s="14" t="inlineStr">
        <is>
          <t>Prime letture (6-8)</t>
        </is>
      </c>
      <c r="G370" s="14" t="inlineStr">
        <is>
          <t>Narrativa</t>
        </is>
      </c>
      <c r="H370" s="14" t="inlineStr"/>
      <c r="I370" s="14" t="inlineStr">
        <is>
          <t>No</t>
        </is>
      </c>
      <c r="J370" s="14" t="inlineStr">
        <is>
          <t>Collana</t>
        </is>
      </c>
      <c r="K370" s="14" t="inlineStr">
        <is>
          <t>prime letture, narrativa</t>
        </is>
      </c>
      <c r="L370" s="14" t="inlineStr">
        <is>
          <t>Catalogo Terre di Mezzo 1° semestre 2026, p. 50 (ISBN 9788861896758)</t>
        </is>
      </c>
      <c r="M370" s="16" t="n">
        <v>12</v>
      </c>
      <c r="N370" s="14" t="inlineStr">
        <is>
          <t>Catalogo Terre di Mezzo 1° semestre 2026</t>
        </is>
      </c>
      <c r="O370" s="16">
        <f>IF(ISNUMBER(M370),ROUND(M370*(1-Condizioni!$B$2),2),"")</f>
        <v/>
      </c>
      <c r="P370" s="17" t="inlineStr">
        <is>
          <t>No</t>
        </is>
      </c>
    </row>
    <row r="371">
      <c r="A371" s="14" t="inlineStr">
        <is>
          <t>Terre di Mezzo</t>
        </is>
      </c>
      <c r="B371" s="14" t="inlineStr">
        <is>
          <t>Supergatto e il Pavone scomparso</t>
        </is>
      </c>
      <c r="C371" s="14" t="inlineStr">
        <is>
          <t>Pascal Parisot, Marc Boutavant</t>
        </is>
      </c>
      <c r="D371" s="14" t="inlineStr">
        <is>
          <t>L'Acchiappastorie – Primi lettori</t>
        </is>
      </c>
      <c r="E371" s="14" t="inlineStr">
        <is>
          <t>primi lettori</t>
        </is>
      </c>
      <c r="F371" s="14" t="inlineStr">
        <is>
          <t>Prime letture (6-8)</t>
        </is>
      </c>
      <c r="G371" s="14" t="inlineStr">
        <is>
          <t>Narrativa</t>
        </is>
      </c>
      <c r="H371" s="14" t="inlineStr"/>
      <c r="I371" s="14" t="inlineStr">
        <is>
          <t>No</t>
        </is>
      </c>
      <c r="J371" s="14" t="inlineStr">
        <is>
          <t>Collana</t>
        </is>
      </c>
      <c r="K371" s="14" t="inlineStr">
        <is>
          <t>prime letture, narrativa</t>
        </is>
      </c>
      <c r="L371" s="14" t="inlineStr">
        <is>
          <t>Catalogo Terre di Mezzo 1° semestre 2026, p. 52 (ISBN 9791259960870)</t>
        </is>
      </c>
      <c r="M371" s="16" t="n">
        <v>16</v>
      </c>
      <c r="N371" s="14" t="inlineStr">
        <is>
          <t>Catalogo Terre di Mezzo 1° semestre 2026</t>
        </is>
      </c>
      <c r="O371" s="16">
        <f>IF(ISNUMBER(M371),ROUND(M371*(1-Condizioni!$B$2),2),"")</f>
        <v/>
      </c>
      <c r="P371" s="17" t="inlineStr">
        <is>
          <t>No</t>
        </is>
      </c>
    </row>
    <row r="372">
      <c r="A372" s="14" t="inlineStr">
        <is>
          <t>Terre di Mezzo</t>
        </is>
      </c>
      <c r="B372" s="14" t="inlineStr">
        <is>
          <t>Tibia e Biagio. l’amicizia è un viaggio</t>
        </is>
      </c>
      <c r="C372" s="14" t="inlineStr">
        <is>
          <t>Ludovic Lecomte, Irène Bonacina</t>
        </is>
      </c>
      <c r="D372" s="14" t="inlineStr">
        <is>
          <t>L'Acchiappastorie – Primi lettori</t>
        </is>
      </c>
      <c r="E372" s="14" t="inlineStr">
        <is>
          <t>primi lettori</t>
        </is>
      </c>
      <c r="F372" s="14" t="inlineStr">
        <is>
          <t>Prime letture (6-8)</t>
        </is>
      </c>
      <c r="G372" s="14" t="inlineStr">
        <is>
          <t>Narrativa</t>
        </is>
      </c>
      <c r="H372" s="14" t="inlineStr"/>
      <c r="I372" s="14" t="inlineStr">
        <is>
          <t>No</t>
        </is>
      </c>
      <c r="J372" s="14" t="inlineStr">
        <is>
          <t>Collana</t>
        </is>
      </c>
      <c r="K372" s="14" t="inlineStr">
        <is>
          <t>prime letture, narrativa</t>
        </is>
      </c>
      <c r="L372" s="14" t="inlineStr">
        <is>
          <t>Catalogo Terre di Mezzo 1° semestre 2026, p. 55 (ISBN 9791259961280)</t>
        </is>
      </c>
      <c r="M372" s="16" t="n">
        <v>12</v>
      </c>
      <c r="N372" s="14" t="inlineStr">
        <is>
          <t>Catalogo Terre di Mezzo 1° semestre 2026</t>
        </is>
      </c>
      <c r="O372" s="16">
        <f>IF(ISNUMBER(M372),ROUND(M372*(1-Condizioni!$B$2),2),"")</f>
        <v/>
      </c>
      <c r="P372" s="17" t="inlineStr">
        <is>
          <t>No</t>
        </is>
      </c>
    </row>
    <row r="373">
      <c r="A373" s="14" t="inlineStr">
        <is>
          <t>Terre di Mezzo</t>
        </is>
      </c>
      <c r="B373" s="14" t="inlineStr">
        <is>
          <t>Tibia e Biagio. l’amicizia è una giostra</t>
        </is>
      </c>
      <c r="C373" s="14" t="inlineStr">
        <is>
          <t>Ludovic Lecomte, Irène Bonacina</t>
        </is>
      </c>
      <c r="D373" s="14" t="inlineStr">
        <is>
          <t>L'Acchiappastorie – Primi lettori</t>
        </is>
      </c>
      <c r="E373" s="14" t="inlineStr">
        <is>
          <t>primi lettori</t>
        </is>
      </c>
      <c r="F373" s="14" t="inlineStr">
        <is>
          <t>Prime letture (6-8)</t>
        </is>
      </c>
      <c r="G373" s="14" t="inlineStr">
        <is>
          <t>Narrativa</t>
        </is>
      </c>
      <c r="H373" s="14" t="inlineStr"/>
      <c r="I373" s="14" t="inlineStr">
        <is>
          <t>No</t>
        </is>
      </c>
      <c r="J373" s="14" t="inlineStr">
        <is>
          <t>Collana</t>
        </is>
      </c>
      <c r="K373" s="14" t="inlineStr">
        <is>
          <t>prime letture, narrativa</t>
        </is>
      </c>
      <c r="L373" s="14" t="inlineStr">
        <is>
          <t>Catalogo Terre di Mezzo 1° semestre 2026, p. 55 (ISBN 9788861897502)</t>
        </is>
      </c>
      <c r="M373" s="16" t="n">
        <v>12</v>
      </c>
      <c r="N373" s="14" t="inlineStr">
        <is>
          <t>Catalogo Terre di Mezzo 1° semestre 2026</t>
        </is>
      </c>
      <c r="O373" s="16">
        <f>IF(ISNUMBER(M373),ROUND(M373*(1-Condizioni!$B$2),2),"")</f>
        <v/>
      </c>
      <c r="P373" s="17" t="inlineStr">
        <is>
          <t>No</t>
        </is>
      </c>
    </row>
    <row r="374">
      <c r="A374" s="14" t="inlineStr">
        <is>
          <t>Terre di Mezzo</t>
        </is>
      </c>
      <c r="B374" s="14" t="inlineStr">
        <is>
          <t>Tibia e biagio. l’amicizia è servita</t>
        </is>
      </c>
      <c r="C374" s="14" t="inlineStr">
        <is>
          <t>Ludovic Lecomte, Irène Bonacina</t>
        </is>
      </c>
      <c r="D374" s="14" t="inlineStr">
        <is>
          <t>L'Acchiappastorie – Primi lettori</t>
        </is>
      </c>
      <c r="E374" s="14" t="inlineStr">
        <is>
          <t>primi lettori</t>
        </is>
      </c>
      <c r="F374" s="14" t="inlineStr">
        <is>
          <t>Prime letture (6-8)</t>
        </is>
      </c>
      <c r="G374" s="14" t="inlineStr">
        <is>
          <t>Narrativa</t>
        </is>
      </c>
      <c r="H374" s="14" t="inlineStr"/>
      <c r="I374" s="14" t="inlineStr">
        <is>
          <t>No</t>
        </is>
      </c>
      <c r="J374" s="14" t="inlineStr">
        <is>
          <t>Collana</t>
        </is>
      </c>
      <c r="K374" s="14" t="inlineStr">
        <is>
          <t>prime letture, narrativa</t>
        </is>
      </c>
      <c r="L374" s="14" t="inlineStr">
        <is>
          <t>Catalogo Terre di Mezzo 1° semestre 2026, p. 55 (ISBN 9788861897496)</t>
        </is>
      </c>
      <c r="M374" s="16" t="n">
        <v>12</v>
      </c>
      <c r="N374" s="14" t="inlineStr">
        <is>
          <t>Catalogo Terre di Mezzo 1° semestre 2026</t>
        </is>
      </c>
      <c r="O374" s="16">
        <f>IF(ISNUMBER(M374),ROUND(M374*(1-Condizioni!$B$2),2),"")</f>
        <v/>
      </c>
      <c r="P374" s="17" t="inlineStr">
        <is>
          <t>No</t>
        </is>
      </c>
    </row>
    <row r="375">
      <c r="A375" s="14" t="inlineStr">
        <is>
          <t>Terre di Mezzo</t>
        </is>
      </c>
      <c r="B375" s="14" t="inlineStr">
        <is>
          <t>Timothée de Fombelle</t>
        </is>
      </c>
      <c r="C375" s="14" t="inlineStr"/>
      <c r="D375" s="14" t="inlineStr">
        <is>
          <t>L'Acchiappastorie – Primi lettori</t>
        </is>
      </c>
      <c r="E375" s="14" t="inlineStr">
        <is>
          <t>primi lettori</t>
        </is>
      </c>
      <c r="F375" s="14" t="inlineStr">
        <is>
          <t>Prime letture (6-8)</t>
        </is>
      </c>
      <c r="G375" s="14" t="inlineStr">
        <is>
          <t>Narrativa</t>
        </is>
      </c>
      <c r="H375" s="14" t="inlineStr"/>
      <c r="I375" s="14" t="inlineStr">
        <is>
          <t>No</t>
        </is>
      </c>
      <c r="J375" s="14" t="inlineStr">
        <is>
          <t>Collana</t>
        </is>
      </c>
      <c r="K375" s="14" t="inlineStr">
        <is>
          <t>prime letture, narrativa</t>
        </is>
      </c>
      <c r="L375" s="14" t="inlineStr">
        <is>
          <t>Catalogo Terre di Mezzo 1° semestre 2026, p. 63 (ISBN 9791259963765)</t>
        </is>
      </c>
      <c r="M375" s="16" t="n">
        <v>18</v>
      </c>
      <c r="N375" s="14" t="inlineStr">
        <is>
          <t>Catalogo Terre di Mezzo 1° semestre 2026</t>
        </is>
      </c>
      <c r="O375" s="16">
        <f>IF(ISNUMBER(M375),ROUND(M375*(1-Condizioni!$B$2),2),"")</f>
        <v/>
      </c>
      <c r="P375" s="17" t="inlineStr">
        <is>
          <t>No</t>
        </is>
      </c>
    </row>
    <row r="376">
      <c r="A376" s="14" t="inlineStr">
        <is>
          <t>Terre di Mezzo</t>
        </is>
      </c>
      <c r="B376" s="14" t="inlineStr">
        <is>
          <t>Timothée de Fombelle</t>
        </is>
      </c>
      <c r="C376" s="14" t="inlineStr"/>
      <c r="D376" s="14" t="inlineStr">
        <is>
          <t>L'Acchiappastorie – Primi lettori</t>
        </is>
      </c>
      <c r="E376" s="14" t="inlineStr">
        <is>
          <t>primi lettori</t>
        </is>
      </c>
      <c r="F376" s="14" t="inlineStr">
        <is>
          <t>Prime letture (6-8)</t>
        </is>
      </c>
      <c r="G376" s="14" t="inlineStr">
        <is>
          <t>Narrativa</t>
        </is>
      </c>
      <c r="H376" s="14" t="inlineStr"/>
      <c r="I376" s="14" t="inlineStr">
        <is>
          <t>No</t>
        </is>
      </c>
      <c r="J376" s="14" t="inlineStr">
        <is>
          <t>Collana</t>
        </is>
      </c>
      <c r="K376" s="14" t="inlineStr">
        <is>
          <t>prime letture, narrativa</t>
        </is>
      </c>
      <c r="L376" s="14" t="inlineStr">
        <is>
          <t>Catalogo Terre di Mezzo 1° semestre 2026, p. 63 (ISBN 9791259963772)</t>
        </is>
      </c>
      <c r="M376" s="16" t="n">
        <v>18</v>
      </c>
      <c r="N376" s="14" t="inlineStr">
        <is>
          <t>Catalogo Terre di Mezzo 1° semestre 2026</t>
        </is>
      </c>
      <c r="O376" s="16">
        <f>IF(ISNUMBER(M376),ROUND(M376*(1-Condizioni!$B$2),2),"")</f>
        <v/>
      </c>
      <c r="P376" s="17" t="inlineStr">
        <is>
          <t>No</t>
        </is>
      </c>
    </row>
    <row r="377">
      <c r="A377" s="14" t="inlineStr">
        <is>
          <t>Terre di Mezzo</t>
        </is>
      </c>
      <c r="B377" s="14" t="inlineStr">
        <is>
          <t>Timothée de Fombelle</t>
        </is>
      </c>
      <c r="C377" s="14" t="inlineStr"/>
      <c r="D377" s="14" t="inlineStr">
        <is>
          <t>L'Acchiappastorie – Primi lettori</t>
        </is>
      </c>
      <c r="E377" s="14" t="inlineStr">
        <is>
          <t>primi lettori</t>
        </is>
      </c>
      <c r="F377" s="14" t="inlineStr">
        <is>
          <t>Prime letture (6-8)</t>
        </is>
      </c>
      <c r="G377" s="14" t="inlineStr">
        <is>
          <t>Narrativa</t>
        </is>
      </c>
      <c r="H377" s="14" t="inlineStr"/>
      <c r="I377" s="14" t="inlineStr">
        <is>
          <t>No</t>
        </is>
      </c>
      <c r="J377" s="14" t="inlineStr">
        <is>
          <t>Collana</t>
        </is>
      </c>
      <c r="K377" s="14" t="inlineStr">
        <is>
          <t>prime letture, narrativa</t>
        </is>
      </c>
      <c r="L377" s="14" t="inlineStr">
        <is>
          <t>Catalogo Terre di Mezzo 1° semestre 2026, p. 63 (ISBN 9791259963741)</t>
        </is>
      </c>
      <c r="M377" s="16" t="n">
        <v>18</v>
      </c>
      <c r="N377" s="14" t="inlineStr">
        <is>
          <t>Catalogo Terre di Mezzo 1° semestre 2026</t>
        </is>
      </c>
      <c r="O377" s="16">
        <f>IF(ISNUMBER(M377),ROUND(M377*(1-Condizioni!$B$2),2),"")</f>
        <v/>
      </c>
      <c r="P377" s="17" t="inlineStr">
        <is>
          <t>No</t>
        </is>
      </c>
    </row>
    <row r="378">
      <c r="A378" s="14" t="inlineStr">
        <is>
          <t>Terre di Mezzo</t>
        </is>
      </c>
      <c r="B378" s="14" t="inlineStr">
        <is>
          <t>Ugo e Poppy. così diversi, così amici!</t>
        </is>
      </c>
      <c r="C378" s="14" t="inlineStr">
        <is>
          <t>Matthew Cordell</t>
        </is>
      </c>
      <c r="D378" s="14" t="inlineStr">
        <is>
          <t>L'Acchiappastorie – Primi lettori</t>
        </is>
      </c>
      <c r="E378" s="14" t="inlineStr">
        <is>
          <t>primi lettori</t>
        </is>
      </c>
      <c r="F378" s="14" t="inlineStr">
        <is>
          <t>Prime letture (6-8)</t>
        </is>
      </c>
      <c r="G378" s="14" t="inlineStr">
        <is>
          <t>Narrativa</t>
        </is>
      </c>
      <c r="H378" s="14" t="inlineStr"/>
      <c r="I378" s="14" t="inlineStr">
        <is>
          <t>No</t>
        </is>
      </c>
      <c r="J378" s="14" t="inlineStr">
        <is>
          <t>Collana</t>
        </is>
      </c>
      <c r="K378" s="14" t="inlineStr">
        <is>
          <t>prime letture, narrativa</t>
        </is>
      </c>
      <c r="L378" s="14" t="inlineStr">
        <is>
          <t>Catalogo Terre di Mezzo 1° semestre 2026, p. 51 (ISBN 9791259961013)</t>
        </is>
      </c>
      <c r="M378" s="16" t="n">
        <v>14</v>
      </c>
      <c r="N378" s="14" t="inlineStr">
        <is>
          <t>Catalogo Terre di Mezzo 1° semestre 2026</t>
        </is>
      </c>
      <c r="O378" s="16">
        <f>IF(ISNUMBER(M378),ROUND(M378*(1-Condizioni!$B$2),2),"")</f>
        <v/>
      </c>
      <c r="P378" s="17" t="inlineStr">
        <is>
          <t>Sì</t>
        </is>
      </c>
    </row>
    <row r="379">
      <c r="A379" s="14" t="inlineStr">
        <is>
          <t>Terre di Mezzo</t>
        </is>
      </c>
      <c r="B379" s="14" t="inlineStr">
        <is>
          <t>Ugo e Poppy. sulle giostre senza paura!</t>
        </is>
      </c>
      <c r="C379" s="14" t="inlineStr">
        <is>
          <t>Matthew Cordell</t>
        </is>
      </c>
      <c r="D379" s="14" t="inlineStr">
        <is>
          <t>L'Acchiappastorie – Primi lettori</t>
        </is>
      </c>
      <c r="E379" s="14" t="inlineStr">
        <is>
          <t>primi lettori</t>
        </is>
      </c>
      <c r="F379" s="14" t="inlineStr">
        <is>
          <t>Prime letture (6-8)</t>
        </is>
      </c>
      <c r="G379" s="14" t="inlineStr">
        <is>
          <t>Narrativa</t>
        </is>
      </c>
      <c r="H379" s="14" t="inlineStr"/>
      <c r="I379" s="14" t="inlineStr">
        <is>
          <t>No</t>
        </is>
      </c>
      <c r="J379" s="14" t="inlineStr">
        <is>
          <t>Collana</t>
        </is>
      </c>
      <c r="K379" s="14" t="inlineStr">
        <is>
          <t>prime letture, narrativa</t>
        </is>
      </c>
      <c r="L379" s="14" t="inlineStr">
        <is>
          <t>Catalogo Terre di Mezzo 1° semestre 2026, p. 51 (ISBN 9791259961549)</t>
        </is>
      </c>
      <c r="M379" s="16" t="n">
        <v>14</v>
      </c>
      <c r="N379" s="14" t="inlineStr">
        <is>
          <t>Catalogo Terre di Mezzo 1° semestre 2026</t>
        </is>
      </c>
      <c r="O379" s="16">
        <f>IF(ISNUMBER(M379),ROUND(M379*(1-Condizioni!$B$2),2),"")</f>
        <v/>
      </c>
      <c r="P379" s="17" t="inlineStr">
        <is>
          <t>No</t>
        </is>
      </c>
    </row>
    <row r="380">
      <c r="A380" s="14" t="inlineStr">
        <is>
          <t>Terre di Mezzo</t>
        </is>
      </c>
      <c r="B380" s="14" t="inlineStr">
        <is>
          <t>Una gallina in cattive acque</t>
        </is>
      </c>
      <c r="C380" s="14" t="inlineStr">
        <is>
          <t>Guia Risari, AnnaLaura Cantone</t>
        </is>
      </c>
      <c r="D380" s="14" t="inlineStr">
        <is>
          <t>L'Acchiappastorie – Primi lettori</t>
        </is>
      </c>
      <c r="E380" s="14" t="inlineStr">
        <is>
          <t>primi lettori</t>
        </is>
      </c>
      <c r="F380" s="14" t="inlineStr">
        <is>
          <t>Prime letture (6-8)</t>
        </is>
      </c>
      <c r="G380" s="14" t="inlineStr">
        <is>
          <t>Narrativa</t>
        </is>
      </c>
      <c r="H380" s="14" t="inlineStr"/>
      <c r="I380" s="14" t="inlineStr">
        <is>
          <t>No</t>
        </is>
      </c>
      <c r="J380" s="14" t="inlineStr">
        <is>
          <t>Collana</t>
        </is>
      </c>
      <c r="K380" s="14" t="inlineStr">
        <is>
          <t>prime letture, narrativa</t>
        </is>
      </c>
      <c r="L380" s="14" t="inlineStr">
        <is>
          <t>Catalogo Terre di Mezzo 1° semestre 2026, p. 61 (ISBN 9791259961518)</t>
        </is>
      </c>
      <c r="M380" s="16" t="n">
        <v>12</v>
      </c>
      <c r="N380" s="14" t="inlineStr">
        <is>
          <t>Catalogo Terre di Mezzo 1° semestre 2026</t>
        </is>
      </c>
      <c r="O380" s="16">
        <f>IF(ISNUMBER(M380),ROUND(M380*(1-Condizioni!$B$2),2),"")</f>
        <v/>
      </c>
      <c r="P380" s="17" t="inlineStr">
        <is>
          <t>No</t>
        </is>
      </c>
    </row>
    <row r="381">
      <c r="A381" s="14" t="inlineStr">
        <is>
          <t>Terre di Mezzo</t>
        </is>
      </c>
      <c r="B381" s="14" t="inlineStr">
        <is>
          <t>Una gallina in mongolfiera</t>
        </is>
      </c>
      <c r="C381" s="14" t="inlineStr">
        <is>
          <t>Guia Risari, AnnaLaura Cantone</t>
        </is>
      </c>
      <c r="D381" s="14" t="inlineStr">
        <is>
          <t>L'Acchiappastorie – Primi lettori</t>
        </is>
      </c>
      <c r="E381" s="14" t="inlineStr">
        <is>
          <t>primi lettori</t>
        </is>
      </c>
      <c r="F381" s="14" t="inlineStr">
        <is>
          <t>Prime letture (6-8)</t>
        </is>
      </c>
      <c r="G381" s="14" t="inlineStr">
        <is>
          <t>Narrativa</t>
        </is>
      </c>
      <c r="H381" s="14" t="inlineStr"/>
      <c r="I381" s="14" t="inlineStr">
        <is>
          <t>No</t>
        </is>
      </c>
      <c r="J381" s="14" t="inlineStr">
        <is>
          <t>Collana</t>
        </is>
      </c>
      <c r="K381" s="14" t="inlineStr">
        <is>
          <t>prime letture, narrativa</t>
        </is>
      </c>
      <c r="L381" s="14" t="inlineStr">
        <is>
          <t>Catalogo Terre di Mezzo 1° semestre 2026, p. 61 (ISBN 9788861896024)</t>
        </is>
      </c>
      <c r="M381" s="16" t="n">
        <v>12</v>
      </c>
      <c r="N381" s="14" t="inlineStr">
        <is>
          <t>Catalogo Terre di Mezzo 1° semestre 2026</t>
        </is>
      </c>
      <c r="O381" s="16">
        <f>IF(ISNUMBER(M381),ROUND(M381*(1-Condizioni!$B$2),2),"")</f>
        <v/>
      </c>
      <c r="P381" s="17" t="inlineStr">
        <is>
          <t>No</t>
        </is>
      </c>
    </row>
    <row r="382">
      <c r="A382" s="14" t="inlineStr">
        <is>
          <t>Terre di Mezzo</t>
        </is>
      </c>
      <c r="B382" s="14" t="inlineStr">
        <is>
          <t>Una gallina nello zaino</t>
        </is>
      </c>
      <c r="C382" s="14" t="inlineStr">
        <is>
          <t>Guia Risari, AnnaLaura Cantone</t>
        </is>
      </c>
      <c r="D382" s="14" t="inlineStr">
        <is>
          <t>L'Acchiappastorie – Primi lettori</t>
        </is>
      </c>
      <c r="E382" s="14" t="inlineStr">
        <is>
          <t>primi lettori</t>
        </is>
      </c>
      <c r="F382" s="14" t="inlineStr">
        <is>
          <t>Prime letture (6-8)</t>
        </is>
      </c>
      <c r="G382" s="14" t="inlineStr">
        <is>
          <t>Narrativa</t>
        </is>
      </c>
      <c r="H382" s="14" t="inlineStr"/>
      <c r="I382" s="14" t="inlineStr">
        <is>
          <t>No</t>
        </is>
      </c>
      <c r="J382" s="14" t="inlineStr">
        <is>
          <t>Collana</t>
        </is>
      </c>
      <c r="K382" s="14" t="inlineStr">
        <is>
          <t>prime letture, narrativa</t>
        </is>
      </c>
      <c r="L382" s="14" t="inlineStr">
        <is>
          <t>Catalogo Terre di Mezzo 1° semestre 2026, p. 61 (ISBN 9788861895218)</t>
        </is>
      </c>
      <c r="M382" s="16" t="n">
        <v>12</v>
      </c>
      <c r="N382" s="14" t="inlineStr">
        <is>
          <t>Catalogo Terre di Mezzo 1° semestre 2026</t>
        </is>
      </c>
      <c r="O382" s="16">
        <f>IF(ISNUMBER(M382),ROUND(M382*(1-Condizioni!$B$2),2),"")</f>
        <v/>
      </c>
      <c r="P382" s="17" t="inlineStr">
        <is>
          <t>No</t>
        </is>
      </c>
    </row>
    <row r="383">
      <c r="A383" s="14" t="inlineStr">
        <is>
          <t>Terre di Mezzo</t>
        </is>
      </c>
      <c r="B383" s="14" t="inlineStr">
        <is>
          <t>Una nuvola a forma di amico</t>
        </is>
      </c>
      <c r="C383" s="14" t="inlineStr">
        <is>
          <t>Beth Ferry, Gergely Dudás</t>
        </is>
      </c>
      <c r="D383" s="14" t="inlineStr">
        <is>
          <t>L'Acchiappastorie – Primi lettori</t>
        </is>
      </c>
      <c r="E383" s="14" t="inlineStr">
        <is>
          <t>primi lettori</t>
        </is>
      </c>
      <c r="F383" s="14" t="inlineStr">
        <is>
          <t>Prime letture (6-8)</t>
        </is>
      </c>
      <c r="G383" s="14" t="inlineStr">
        <is>
          <t>Narrativa</t>
        </is>
      </c>
      <c r="H383" s="14" t="inlineStr"/>
      <c r="I383" s="14" t="inlineStr">
        <is>
          <t>No</t>
        </is>
      </c>
      <c r="J383" s="14" t="inlineStr">
        <is>
          <t>Collana</t>
        </is>
      </c>
      <c r="K383" s="14" t="inlineStr">
        <is>
          <t>prime letture, narrativa</t>
        </is>
      </c>
      <c r="L383" s="14" t="inlineStr">
        <is>
          <t>Catalogo Terre di Mezzo 1° semestre 2026, p. 62 (ISBN 9788861897816)</t>
        </is>
      </c>
      <c r="M383" s="16" t="n">
        <v>12</v>
      </c>
      <c r="N383" s="14" t="inlineStr">
        <is>
          <t>Catalogo Terre di Mezzo 1° semestre 2026</t>
        </is>
      </c>
      <c r="O383" s="16">
        <f>IF(ISNUMBER(M383),ROUND(M383*(1-Condizioni!$B$2),2),"")</f>
        <v/>
      </c>
      <c r="P383" s="17" t="inlineStr">
        <is>
          <t>No</t>
        </is>
      </c>
    </row>
    <row r="384">
      <c r="A384" s="14" t="inlineStr">
        <is>
          <t>Terre di Mezzo</t>
        </is>
      </c>
      <c r="B384" s="14" t="inlineStr">
        <is>
          <t>Un’avventura in alto mare</t>
        </is>
      </c>
      <c r="C384" s="14" t="inlineStr">
        <is>
          <t>CARLOTTA &amp; LO ZIO ELETTRICO.</t>
        </is>
      </c>
      <c r="D384" s="14" t="inlineStr">
        <is>
          <t>L'Acchiappastorie – Primi lettori</t>
        </is>
      </c>
      <c r="E384" s="14" t="inlineStr">
        <is>
          <t>primi lettori</t>
        </is>
      </c>
      <c r="F384" s="14" t="inlineStr">
        <is>
          <t>Prime letture (6-8)</t>
        </is>
      </c>
      <c r="G384" s="14" t="inlineStr">
        <is>
          <t>Narrativa</t>
        </is>
      </c>
      <c r="H384" s="14" t="inlineStr"/>
      <c r="I384" s="14" t="inlineStr">
        <is>
          <t>No</t>
        </is>
      </c>
      <c r="J384" s="14" t="inlineStr">
        <is>
          <t>Collana</t>
        </is>
      </c>
      <c r="K384" s="14" t="inlineStr">
        <is>
          <t>prime letture, narrativa</t>
        </is>
      </c>
      <c r="L384" s="14" t="inlineStr">
        <is>
          <t>Catalogo Terre di Mezzo 1° semestre 2026, p. 59 (ISBN 9788861897847)</t>
        </is>
      </c>
      <c r="M384" s="16" t="n">
        <v>12</v>
      </c>
      <c r="N384" s="14" t="inlineStr">
        <is>
          <t>Catalogo Terre di Mezzo 1° semestre 2026</t>
        </is>
      </c>
      <c r="O384" s="16">
        <f>IF(ISNUMBER(M384),ROUND(M384*(1-Condizioni!$B$2),2),"")</f>
        <v/>
      </c>
      <c r="P384" s="17" t="inlineStr">
        <is>
          <t>No</t>
        </is>
      </c>
    </row>
    <row r="385">
      <c r="A385" s="14" t="inlineStr">
        <is>
          <t>Terre di Mezzo</t>
        </is>
      </c>
      <c r="B385" s="14" t="inlineStr">
        <is>
          <t>Un’avventura rock’n’roll</t>
        </is>
      </c>
      <c r="C385" s="14" t="inlineStr">
        <is>
          <t>CARLOTTA &amp; LO ZIO ELETTRICO.</t>
        </is>
      </c>
      <c r="D385" s="14" t="inlineStr">
        <is>
          <t>L'Acchiappastorie – Primi lettori</t>
        </is>
      </c>
      <c r="E385" s="14" t="inlineStr">
        <is>
          <t>primi lettori</t>
        </is>
      </c>
      <c r="F385" s="14" t="inlineStr">
        <is>
          <t>Prime letture (6-8)</t>
        </is>
      </c>
      <c r="G385" s="14" t="inlineStr">
        <is>
          <t>Narrativa</t>
        </is>
      </c>
      <c r="H385" s="14" t="inlineStr"/>
      <c r="I385" s="14" t="inlineStr">
        <is>
          <t>No</t>
        </is>
      </c>
      <c r="J385" s="14" t="inlineStr">
        <is>
          <t>Collana</t>
        </is>
      </c>
      <c r="K385" s="14" t="inlineStr">
        <is>
          <t>prime letture, narrativa</t>
        </is>
      </c>
      <c r="L385" s="14" t="inlineStr">
        <is>
          <t>Catalogo Terre di Mezzo 1° semestre 2026, p. 59 (ISBN 9788861896680)</t>
        </is>
      </c>
      <c r="M385" s="16" t="n">
        <v>12</v>
      </c>
      <c r="N385" s="14" t="inlineStr">
        <is>
          <t>Catalogo Terre di Mezzo 1° semestre 2026</t>
        </is>
      </c>
      <c r="O385" s="16">
        <f>IF(ISNUMBER(M385),ROUND(M385*(1-Condizioni!$B$2),2),"")</f>
        <v/>
      </c>
      <c r="P385" s="17" t="inlineStr">
        <is>
          <t>No</t>
        </is>
      </c>
    </row>
    <row r="386">
      <c r="A386" s="14" t="inlineStr">
        <is>
          <t>Terre di Mezzo</t>
        </is>
      </c>
      <c r="B386" s="14" t="inlineStr">
        <is>
          <t>Victoria sogna</t>
        </is>
      </c>
      <c r="C386" s="14" t="inlineStr">
        <is>
          <t>Timothée de Fombelle, Mariachiara Di Giorgio</t>
        </is>
      </c>
      <c r="D386" s="14" t="inlineStr">
        <is>
          <t>L'Acchiappastorie – Primi lettori</t>
        </is>
      </c>
      <c r="E386" s="14" t="inlineStr">
        <is>
          <t>primi lettori</t>
        </is>
      </c>
      <c r="F386" s="14" t="inlineStr">
        <is>
          <t>Prime letture (6-8)</t>
        </is>
      </c>
      <c r="G386" s="14" t="inlineStr">
        <is>
          <t>Narrativa</t>
        </is>
      </c>
      <c r="H386" s="14" t="inlineStr"/>
      <c r="I386" s="14" t="inlineStr">
        <is>
          <t>No</t>
        </is>
      </c>
      <c r="J386" s="14" t="inlineStr">
        <is>
          <t>Collana</t>
        </is>
      </c>
      <c r="K386" s="14" t="inlineStr">
        <is>
          <t>prime letture, narrativa</t>
        </is>
      </c>
      <c r="L386" s="14" t="inlineStr">
        <is>
          <t>Catalogo Terre di Mezzo 1° semestre 2026, p. 63 (ISBN 9788861894303)</t>
        </is>
      </c>
      <c r="M386" s="16" t="n">
        <v>14</v>
      </c>
      <c r="N386" s="14" t="inlineStr">
        <is>
          <t>Catalogo Terre di Mezzo 1° semestre 2026</t>
        </is>
      </c>
      <c r="O386" s="16">
        <f>IF(ISNUMBER(M386),ROUND(M386*(1-Condizioni!$B$2),2),"")</f>
        <v/>
      </c>
      <c r="P386" s="17" t="inlineStr">
        <is>
          <t>No</t>
        </is>
      </c>
    </row>
    <row r="387">
      <c r="A387" s="14" t="inlineStr">
        <is>
          <t>Terre di Mezzo</t>
        </is>
      </c>
      <c r="B387" s="14" t="inlineStr">
        <is>
          <t>Zouk. piccola strega dal cuore grande</t>
        </is>
      </c>
      <c r="C387" s="14" t="inlineStr">
        <is>
          <t>Serge Bloch, Nicolas Hubesch</t>
        </is>
      </c>
      <c r="D387" s="14" t="inlineStr">
        <is>
          <t>L'Acchiappastorie – Primi lettori</t>
        </is>
      </c>
      <c r="E387" s="14" t="inlineStr">
        <is>
          <t>primi lettori</t>
        </is>
      </c>
      <c r="F387" s="14" t="inlineStr">
        <is>
          <t>Prime letture (6-8)</t>
        </is>
      </c>
      <c r="G387" s="14" t="inlineStr">
        <is>
          <t>Narrativa</t>
        </is>
      </c>
      <c r="H387" s="14" t="inlineStr"/>
      <c r="I387" s="14" t="inlineStr">
        <is>
          <t>No</t>
        </is>
      </c>
      <c r="J387" s="14" t="inlineStr">
        <is>
          <t>Collana</t>
        </is>
      </c>
      <c r="K387" s="14" t="inlineStr">
        <is>
          <t>prime letture, narrativa</t>
        </is>
      </c>
      <c r="L387" s="14" t="inlineStr">
        <is>
          <t>Catalogo Terre di Mezzo 1° semestre 2026, p. 49 (ISBN 9791259962539)</t>
        </is>
      </c>
      <c r="M387" s="16" t="n">
        <v>14</v>
      </c>
      <c r="N387" s="14" t="inlineStr">
        <is>
          <t>Catalogo Terre di Mezzo 1° semestre 2026</t>
        </is>
      </c>
      <c r="O387" s="16">
        <f>IF(ISNUMBER(M387),ROUND(M387*(1-Condizioni!$B$2),2),"")</f>
        <v/>
      </c>
      <c r="P387" s="17" t="inlineStr">
        <is>
          <t>No</t>
        </is>
      </c>
    </row>
    <row r="388">
      <c r="A388" s="14" t="inlineStr">
        <is>
          <t>Terre di Mezzo</t>
        </is>
      </c>
      <c r="B388" s="14" t="inlineStr">
        <is>
          <t>Zouk. piovono magie a scuola</t>
        </is>
      </c>
      <c r="C388" s="14" t="inlineStr">
        <is>
          <t>Serge Bloch, Nicolas Hubesch</t>
        </is>
      </c>
      <c r="D388" s="14" t="inlineStr">
        <is>
          <t>L'Acchiappastorie – Primi lettori</t>
        </is>
      </c>
      <c r="E388" s="14" t="inlineStr">
        <is>
          <t>primi lettori</t>
        </is>
      </c>
      <c r="F388" s="14" t="inlineStr">
        <is>
          <t>Prime letture (6-8)</t>
        </is>
      </c>
      <c r="G388" s="14" t="inlineStr">
        <is>
          <t>Narrativa</t>
        </is>
      </c>
      <c r="H388" s="14" t="inlineStr"/>
      <c r="I388" s="14" t="inlineStr">
        <is>
          <t>No</t>
        </is>
      </c>
      <c r="J388" s="14" t="inlineStr">
        <is>
          <t>Collana</t>
        </is>
      </c>
      <c r="K388" s="14" t="inlineStr">
        <is>
          <t>prime letture, narrativa</t>
        </is>
      </c>
      <c r="L388" s="14" t="inlineStr">
        <is>
          <t>Catalogo Terre di Mezzo 1° semestre 2026, p. 49 (ISBN 9791259962522)</t>
        </is>
      </c>
      <c r="M388" s="16" t="n">
        <v>14</v>
      </c>
      <c r="N388" s="14" t="inlineStr">
        <is>
          <t>Catalogo Terre di Mezzo 1° semestre 2026</t>
        </is>
      </c>
      <c r="O388" s="16">
        <f>IF(ISNUMBER(M388),ROUND(M388*(1-Condizioni!$B$2),2),"")</f>
        <v/>
      </c>
      <c r="P388" s="17" t="inlineStr">
        <is>
          <t>No</t>
        </is>
      </c>
    </row>
    <row r="389">
      <c r="A389" s="14" t="inlineStr">
        <is>
          <t>Terre di Mezzo</t>
        </is>
      </c>
      <c r="B389" s="14" t="inlineStr">
        <is>
          <t>Zouk. un sortilegio di troppo</t>
        </is>
      </c>
      <c r="C389" s="14" t="inlineStr">
        <is>
          <t>Serge Bloch, Nicolas Hubesch</t>
        </is>
      </c>
      <c r="D389" s="14" t="inlineStr">
        <is>
          <t>L'Acchiappastorie – Primi lettori</t>
        </is>
      </c>
      <c r="E389" s="14" t="inlineStr">
        <is>
          <t>primi lettori</t>
        </is>
      </c>
      <c r="F389" s="14" t="inlineStr">
        <is>
          <t>Prime letture (6-8)</t>
        </is>
      </c>
      <c r="G389" s="14" t="inlineStr">
        <is>
          <t>Narrativa</t>
        </is>
      </c>
      <c r="H389" s="14" t="inlineStr"/>
      <c r="I389" s="14" t="inlineStr">
        <is>
          <t>No</t>
        </is>
      </c>
      <c r="J389" s="14" t="inlineStr">
        <is>
          <t>Collana</t>
        </is>
      </c>
      <c r="K389" s="14" t="inlineStr">
        <is>
          <t>prime letture, narrativa</t>
        </is>
      </c>
      <c r="L389" s="14" t="inlineStr">
        <is>
          <t>Catalogo Terre di Mezzo 1° semestre 2026, p. 49 (ISBN 9791259962515)</t>
        </is>
      </c>
      <c r="M389" s="16" t="n">
        <v>14</v>
      </c>
      <c r="N389" s="14" t="inlineStr">
        <is>
          <t>Catalogo Terre di Mezzo 1° semestre 2026</t>
        </is>
      </c>
      <c r="O389" s="16">
        <f>IF(ISNUMBER(M389),ROUND(M389*(1-Condizioni!$B$2),2),"")</f>
        <v/>
      </c>
      <c r="P389" s="17" t="inlineStr">
        <is>
          <t>No</t>
        </is>
      </c>
    </row>
    <row r="390">
      <c r="A390" s="14" t="inlineStr">
        <is>
          <t>Terre di Mezzo</t>
        </is>
      </c>
      <c r="B390" s="14" t="inlineStr">
        <is>
          <t>Zouk. una magica principessa</t>
        </is>
      </c>
      <c r="C390" s="14" t="inlineStr">
        <is>
          <t>Serge Bloch, Nicolas Hubesch</t>
        </is>
      </c>
      <c r="D390" s="14" t="inlineStr">
        <is>
          <t>L'Acchiappastorie – Primi lettori</t>
        </is>
      </c>
      <c r="E390" s="14" t="inlineStr">
        <is>
          <t>primi lettori</t>
        </is>
      </c>
      <c r="F390" s="14" t="inlineStr">
        <is>
          <t>Prime letture (6-8)</t>
        </is>
      </c>
      <c r="G390" s="14" t="inlineStr">
        <is>
          <t>Narrativa</t>
        </is>
      </c>
      <c r="H390" s="14" t="inlineStr"/>
      <c r="I390" s="14" t="inlineStr">
        <is>
          <t>No</t>
        </is>
      </c>
      <c r="J390" s="14" t="inlineStr">
        <is>
          <t>Collana</t>
        </is>
      </c>
      <c r="K390" s="14" t="inlineStr">
        <is>
          <t>prime letture, narrativa</t>
        </is>
      </c>
      <c r="L390" s="14" t="inlineStr">
        <is>
          <t>Catalogo Terre di Mezzo 1° semestre 2026, p. 49 (ISBN 9791259964434)</t>
        </is>
      </c>
      <c r="M390" s="16" t="n">
        <v>14</v>
      </c>
      <c r="N390" s="14" t="inlineStr">
        <is>
          <t>Catalogo Terre di Mezzo 1° semestre 2026</t>
        </is>
      </c>
      <c r="O390" s="16">
        <f>IF(ISNUMBER(M390),ROUND(M390*(1-Condizioni!$B$2),2),"")</f>
        <v/>
      </c>
      <c r="P390" s="17" t="inlineStr">
        <is>
          <t>No</t>
        </is>
      </c>
    </row>
    <row r="391">
      <c r="A391" s="14" t="inlineStr">
        <is>
          <t>Terre di Mezzo</t>
        </is>
      </c>
      <c r="B391" s="14" t="inlineStr">
        <is>
          <t>Agenzia di viaggi Stranimondi</t>
        </is>
      </c>
      <c r="C391" s="14" t="inlineStr">
        <is>
          <t>L.D. Lapinski</t>
        </is>
      </c>
      <c r="D391" s="14" t="inlineStr">
        <is>
          <t>L'Acchiappastorie – Giovani lettori</t>
        </is>
      </c>
      <c r="E391" s="14" t="inlineStr">
        <is>
          <t>giovani lettori</t>
        </is>
      </c>
      <c r="F391" s="14" t="inlineStr">
        <is>
          <t>Scuola media (11-13)</t>
        </is>
      </c>
      <c r="G391" s="14" t="inlineStr">
        <is>
          <t>Romanzo</t>
        </is>
      </c>
      <c r="H391" s="14" t="inlineStr"/>
      <c r="I391" s="14" t="inlineStr">
        <is>
          <t>No</t>
        </is>
      </c>
      <c r="J391" s="14" t="inlineStr">
        <is>
          <t>Collana</t>
        </is>
      </c>
      <c r="K391" s="14" t="inlineStr">
        <is>
          <t>prima/seconda/terza media, romanzo, narrativa</t>
        </is>
      </c>
      <c r="L391" s="14" t="inlineStr">
        <is>
          <t>Catalogo Terre di Mezzo 1° semestre 2026, p. 67 (ISBN 9791259960856)</t>
        </is>
      </c>
      <c r="M391" s="16" t="n">
        <v>16</v>
      </c>
      <c r="N391" s="14" t="inlineStr">
        <is>
          <t>Catalogo Terre di Mezzo 1° semestre 2026</t>
        </is>
      </c>
      <c r="O391" s="16">
        <f>IF(ISNUMBER(M391),ROUND(M391*(1-Condizioni!$B$2),2),"")</f>
        <v/>
      </c>
      <c r="P391" s="17" t="inlineStr">
        <is>
          <t>No</t>
        </is>
      </c>
    </row>
    <row r="392">
      <c r="A392" s="14" t="inlineStr">
        <is>
          <t>Terre di Mezzo</t>
        </is>
      </c>
      <c r="B392" s="14" t="inlineStr">
        <is>
          <t>Ai confini dell’oceano</t>
        </is>
      </c>
      <c r="C392" s="14" t="inlineStr">
        <is>
          <t>AGENZIA DI VIAGGI STRANIMONDI.</t>
        </is>
      </c>
      <c r="D392" s="14" t="inlineStr">
        <is>
          <t>L'Acchiappastorie – Giovani lettori</t>
        </is>
      </c>
      <c r="E392" s="14" t="inlineStr">
        <is>
          <t>giovani lettori</t>
        </is>
      </c>
      <c r="F392" s="14" t="inlineStr">
        <is>
          <t>Scuola media (11-13)</t>
        </is>
      </c>
      <c r="G392" s="14" t="inlineStr">
        <is>
          <t>Romanzo</t>
        </is>
      </c>
      <c r="H392" s="14" t="inlineStr"/>
      <c r="I392" s="14" t="inlineStr">
        <is>
          <t>No</t>
        </is>
      </c>
      <c r="J392" s="14" t="inlineStr">
        <is>
          <t>Collana</t>
        </is>
      </c>
      <c r="K392" s="14" t="inlineStr">
        <is>
          <t>prima/seconda/terza media, romanzo, narrativa</t>
        </is>
      </c>
      <c r="L392" s="14" t="inlineStr">
        <is>
          <t>Catalogo Terre di Mezzo 1° semestre 2026, p. 67 (ISBN 9791259960900)</t>
        </is>
      </c>
      <c r="M392" s="16" t="n">
        <v>16</v>
      </c>
      <c r="N392" s="14" t="inlineStr">
        <is>
          <t>Catalogo Terre di Mezzo 1° semestre 2026</t>
        </is>
      </c>
      <c r="O392" s="16">
        <f>IF(ISNUMBER(M392),ROUND(M392*(1-Condizioni!$B$2),2),"")</f>
        <v/>
      </c>
      <c r="P392" s="17" t="inlineStr">
        <is>
          <t>No</t>
        </is>
      </c>
    </row>
    <row r="393">
      <c r="A393" s="14" t="inlineStr">
        <is>
          <t>Terre di Mezzo</t>
        </is>
      </c>
      <c r="B393" s="14" t="inlineStr">
        <is>
          <t>Al di là del fiume</t>
        </is>
      </c>
      <c r="C393" s="14" t="inlineStr">
        <is>
          <t>Giuseppe Ferrario</t>
        </is>
      </c>
      <c r="D393" s="14" t="inlineStr">
        <is>
          <t>L'Acchiappastorie – I Tascabili</t>
        </is>
      </c>
      <c r="E393" s="14" t="inlineStr">
        <is>
          <t>tascabili</t>
        </is>
      </c>
      <c r="F393" s="14" t="inlineStr">
        <is>
          <t>Scuola media (11-13)</t>
        </is>
      </c>
      <c r="G393" s="14" t="inlineStr">
        <is>
          <t>Narrativa</t>
        </is>
      </c>
      <c r="H393" s="14" t="inlineStr"/>
      <c r="I393" s="14" t="inlineStr">
        <is>
          <t>No</t>
        </is>
      </c>
      <c r="J393" s="14" t="inlineStr">
        <is>
          <t>Collana</t>
        </is>
      </c>
      <c r="K393" s="14" t="inlineStr">
        <is>
          <t>prima/seconda/terza media, narrativa</t>
        </is>
      </c>
      <c r="L393" s="14" t="inlineStr">
        <is>
          <t>Catalogo Terre di Mezzo 1° semestre 2026, p. 73 (ISBN 9791259961990)</t>
        </is>
      </c>
      <c r="M393" s="16" t="n">
        <v>22</v>
      </c>
      <c r="N393" s="14" t="inlineStr">
        <is>
          <t>Catalogo Terre di Mezzo 1° semestre 2026</t>
        </is>
      </c>
      <c r="O393" s="16">
        <f>IF(ISNUMBER(M393),ROUND(M393*(1-Condizioni!$B$2),2),"")</f>
        <v/>
      </c>
      <c r="P393" s="17" t="inlineStr">
        <is>
          <t>No</t>
        </is>
      </c>
    </row>
    <row r="394">
      <c r="A394" s="14" t="inlineStr">
        <is>
          <t>Terre di Mezzo</t>
        </is>
      </c>
      <c r="B394" s="14" t="inlineStr">
        <is>
          <t>Con una pistola alla tempia</t>
        </is>
      </c>
      <c r="C394" s="14" t="inlineStr">
        <is>
          <t>Francesco “Kento” Carlo</t>
        </is>
      </c>
      <c r="D394" s="14" t="inlineStr">
        <is>
          <t>L'Acchiappastorie – Giovani lettori</t>
        </is>
      </c>
      <c r="E394" s="14" t="inlineStr">
        <is>
          <t>giovani lettori</t>
        </is>
      </c>
      <c r="F394" s="14" t="inlineStr">
        <is>
          <t>Scuola media (11-13)</t>
        </is>
      </c>
      <c r="G394" s="14" t="inlineStr">
        <is>
          <t>Romanzo</t>
        </is>
      </c>
      <c r="H394" s="14" t="inlineStr"/>
      <c r="I394" s="14" t="inlineStr">
        <is>
          <t>No</t>
        </is>
      </c>
      <c r="J394" s="14" t="inlineStr">
        <is>
          <t>Collana</t>
        </is>
      </c>
      <c r="K394" s="14" t="inlineStr">
        <is>
          <t>prima/seconda/terza media, romanzo, narrativa</t>
        </is>
      </c>
      <c r="L394" s="14" t="inlineStr">
        <is>
          <t>Catalogo Terre di Mezzo 1° semestre 2026, p. 64 (ISBN 9791259962881)</t>
        </is>
      </c>
      <c r="M394" s="16" t="n">
        <v>15</v>
      </c>
      <c r="N394" s="14" t="inlineStr">
        <is>
          <t>Catalogo Terre di Mezzo 1° semestre 2026</t>
        </is>
      </c>
      <c r="O394" s="16">
        <f>IF(ISNUMBER(M394),ROUND(M394*(1-Condizioni!$B$2),2),"")</f>
        <v/>
      </c>
      <c r="P394" s="17" t="inlineStr">
        <is>
          <t>Sì</t>
        </is>
      </c>
    </row>
    <row r="395">
      <c r="A395" s="14" t="inlineStr">
        <is>
          <t>Terre di Mezzo</t>
        </is>
      </c>
      <c r="B395" s="14" t="inlineStr">
        <is>
          <t>Dalla fattoria degli orrori</t>
        </is>
      </c>
      <c r="C395" s="14" t="inlineStr">
        <is>
          <t>BILLY ZAMPACORTA E LA ROCAMBOLESCA FUGA</t>
        </is>
      </c>
      <c r="D395" s="14" t="inlineStr">
        <is>
          <t>L'Acchiappastorie – Giovani lettori</t>
        </is>
      </c>
      <c r="E395" s="14" t="inlineStr">
        <is>
          <t>giovani lettori</t>
        </is>
      </c>
      <c r="F395" s="14" t="inlineStr">
        <is>
          <t>Scuola media (11-13)</t>
        </is>
      </c>
      <c r="G395" s="14" t="inlineStr">
        <is>
          <t>Romanzo</t>
        </is>
      </c>
      <c r="H395" s="14" t="inlineStr"/>
      <c r="I395" s="14" t="inlineStr">
        <is>
          <t>No</t>
        </is>
      </c>
      <c r="J395" s="14" t="inlineStr">
        <is>
          <t>Collana</t>
        </is>
      </c>
      <c r="K395" s="14" t="inlineStr">
        <is>
          <t>prima/seconda/terza media, romanzo, narrativa</t>
        </is>
      </c>
      <c r="L395" s="14" t="inlineStr">
        <is>
          <t>Catalogo Terre di Mezzo 1° semestre 2026, p. 69 (ISBN 9788861895737)</t>
        </is>
      </c>
      <c r="M395" s="16" t="n">
        <v>14</v>
      </c>
      <c r="N395" s="14" t="inlineStr">
        <is>
          <t>Catalogo Terre di Mezzo 1° semestre 2026</t>
        </is>
      </c>
      <c r="O395" s="16">
        <f>IF(ISNUMBER(M395),ROUND(M395*(1-Condizioni!$B$2),2),"")</f>
        <v/>
      </c>
      <c r="P395" s="17" t="inlineStr">
        <is>
          <t>No</t>
        </is>
      </c>
    </row>
    <row r="396">
      <c r="A396" s="14" t="inlineStr">
        <is>
          <t>Terre di Mezzo</t>
        </is>
      </c>
      <c r="B396" s="14" t="inlineStr">
        <is>
          <t>Due gemelle troppo diverse</t>
        </is>
      </c>
      <c r="C396" s="14" t="inlineStr">
        <is>
          <t>Kathryn Siebel, Júlia Sardà</t>
        </is>
      </c>
      <c r="D396" s="14" t="inlineStr">
        <is>
          <t>L'Acchiappastorie – Giovani lettori</t>
        </is>
      </c>
      <c r="E396" s="14" t="inlineStr">
        <is>
          <t>giovani lettori</t>
        </is>
      </c>
      <c r="F396" s="14" t="inlineStr">
        <is>
          <t>Scuola media (11-13)</t>
        </is>
      </c>
      <c r="G396" s="14" t="inlineStr">
        <is>
          <t>Romanzo</t>
        </is>
      </c>
      <c r="H396" s="14" t="inlineStr"/>
      <c r="I396" s="14" t="inlineStr">
        <is>
          <t>No</t>
        </is>
      </c>
      <c r="J396" s="14" t="inlineStr">
        <is>
          <t>Collana</t>
        </is>
      </c>
      <c r="K396" s="14" t="inlineStr">
        <is>
          <t>prima/seconda/terza media, romanzo, narrativa</t>
        </is>
      </c>
      <c r="L396" s="14" t="inlineStr">
        <is>
          <t>Catalogo Terre di Mezzo 1° semestre 2026, p. 67 (ISBN 9788861896345)</t>
        </is>
      </c>
      <c r="M396" s="16" t="n">
        <v>14</v>
      </c>
      <c r="N396" s="14" t="inlineStr">
        <is>
          <t>Catalogo Terre di Mezzo 1° semestre 2026</t>
        </is>
      </c>
      <c r="O396" s="16">
        <f>IF(ISNUMBER(M396),ROUND(M396*(1-Condizioni!$B$2),2),"")</f>
        <v/>
      </c>
      <c r="P396" s="17" t="inlineStr">
        <is>
          <t>No</t>
        </is>
      </c>
    </row>
    <row r="397">
      <c r="A397" s="14" t="inlineStr">
        <is>
          <t>Terre di Mezzo</t>
        </is>
      </c>
      <c r="B397" s="14" t="inlineStr">
        <is>
          <t>Froggy</t>
        </is>
      </c>
      <c r="C397" s="14" t="inlineStr">
        <is>
          <t>Paige Walshe</t>
        </is>
      </c>
      <c r="D397" s="14" t="inlineStr">
        <is>
          <t>L'Acchiappastorie – I Tascabili</t>
        </is>
      </c>
      <c r="E397" s="14" t="inlineStr">
        <is>
          <t>tascabili</t>
        </is>
      </c>
      <c r="F397" s="14" t="inlineStr">
        <is>
          <t>Scuola media (11-13)</t>
        </is>
      </c>
      <c r="G397" s="14" t="inlineStr">
        <is>
          <t>Narrativa</t>
        </is>
      </c>
      <c r="H397" s="14" t="inlineStr"/>
      <c r="I397" s="14" t="inlineStr">
        <is>
          <t>No</t>
        </is>
      </c>
      <c r="J397" s="14" t="inlineStr">
        <is>
          <t>Collana</t>
        </is>
      </c>
      <c r="K397" s="14" t="inlineStr">
        <is>
          <t>prima/seconda/terza media, narrativa</t>
        </is>
      </c>
      <c r="L397" s="14" t="inlineStr">
        <is>
          <t>Catalogo Terre di Mezzo 1° semestre 2026, p. 73 (ISBN 9791259963536)</t>
        </is>
      </c>
      <c r="M397" s="16" t="n">
        <v>14</v>
      </c>
      <c r="N397" s="14" t="inlineStr">
        <is>
          <t>Catalogo Terre di Mezzo 1° semestre 2026</t>
        </is>
      </c>
      <c r="O397" s="16">
        <f>IF(ISNUMBER(M397),ROUND(M397*(1-Condizioni!$B$2),2),"")</f>
        <v/>
      </c>
      <c r="P397" s="17" t="inlineStr">
        <is>
          <t>No</t>
        </is>
      </c>
    </row>
    <row r="398">
      <c r="A398" s="14" t="inlineStr">
        <is>
          <t>Terre di Mezzo</t>
        </is>
      </c>
      <c r="B398" s="14" t="inlineStr">
        <is>
          <t>Gli amici di Flora Salamander</t>
        </is>
      </c>
      <c r="C398" s="14" t="inlineStr">
        <is>
          <t>Noora Kunnas, Teemu Juhani</t>
        </is>
      </c>
      <c r="D398" s="14" t="inlineStr">
        <is>
          <t>L'Acchiappastorie – Giovani lettori</t>
        </is>
      </c>
      <c r="E398" s="14" t="inlineStr">
        <is>
          <t>giovani lettori</t>
        </is>
      </c>
      <c r="F398" s="14" t="inlineStr">
        <is>
          <t>Scuola media (11-13)</t>
        </is>
      </c>
      <c r="G398" s="14" t="inlineStr">
        <is>
          <t>Romanzo</t>
        </is>
      </c>
      <c r="H398" s="14" t="inlineStr"/>
      <c r="I398" s="14" t="inlineStr">
        <is>
          <t>No</t>
        </is>
      </c>
      <c r="J398" s="14" t="inlineStr">
        <is>
          <t>Collana</t>
        </is>
      </c>
      <c r="K398" s="14" t="inlineStr">
        <is>
          <t>prima/seconda/terza media, romanzo, narrativa</t>
        </is>
      </c>
      <c r="L398" s="14" t="inlineStr">
        <is>
          <t>Catalogo Terre di Mezzo 1° semestre 2026, p. 68 (ISBN 9791259960764)</t>
        </is>
      </c>
      <c r="M398" s="16" t="n">
        <v>12.9</v>
      </c>
      <c r="N398" s="14" t="inlineStr">
        <is>
          <t>Catalogo Terre di Mezzo 1° semestre 2026</t>
        </is>
      </c>
      <c r="O398" s="16">
        <f>IF(ISNUMBER(M398),ROUND(M398*(1-Condizioni!$B$2),2),"")</f>
        <v/>
      </c>
      <c r="P398" s="17" t="inlineStr">
        <is>
          <t>No</t>
        </is>
      </c>
    </row>
    <row r="399">
      <c r="A399" s="14" t="inlineStr">
        <is>
          <t>Terre di Mezzo</t>
        </is>
      </c>
      <c r="B399" s="14" t="inlineStr">
        <is>
          <t>Gli s.t.r.a.m.b.i. (società segreta)</t>
        </is>
      </c>
      <c r="C399" s="14" t="inlineStr">
        <is>
          <t>Pedro Mañas, Julia Cejas</t>
        </is>
      </c>
      <c r="D399" s="14" t="inlineStr">
        <is>
          <t>L'Acchiappastorie – Giovani lettori</t>
        </is>
      </c>
      <c r="E399" s="14" t="inlineStr">
        <is>
          <t>giovani lettori</t>
        </is>
      </c>
      <c r="F399" s="14" t="inlineStr">
        <is>
          <t>Scuola media (11-13)</t>
        </is>
      </c>
      <c r="G399" s="14" t="inlineStr">
        <is>
          <t>Romanzo</t>
        </is>
      </c>
      <c r="H399" s="14" t="inlineStr"/>
      <c r="I399" s="14" t="inlineStr">
        <is>
          <t>No</t>
        </is>
      </c>
      <c r="J399" s="14" t="inlineStr">
        <is>
          <t>Collana</t>
        </is>
      </c>
      <c r="K399" s="14" t="inlineStr">
        <is>
          <t>prima/seconda/terza media, romanzo, narrativa</t>
        </is>
      </c>
      <c r="L399" s="14" t="inlineStr">
        <is>
          <t>Catalogo Terre di Mezzo 1° semestre 2026, p. 69 (ISBN 9791259960849)</t>
        </is>
      </c>
      <c r="M399" s="16" t="n">
        <v>14</v>
      </c>
      <c r="N399" s="14" t="inlineStr">
        <is>
          <t>Catalogo Terre di Mezzo 1° semestre 2026</t>
        </is>
      </c>
      <c r="O399" s="16">
        <f>IF(ISNUMBER(M399),ROUND(M399*(1-Condizioni!$B$2),2),"")</f>
        <v/>
      </c>
      <c r="P399" s="17" t="inlineStr">
        <is>
          <t>No</t>
        </is>
      </c>
    </row>
    <row r="400">
      <c r="A400" s="14" t="inlineStr">
        <is>
          <t>Terre di Mezzo</t>
        </is>
      </c>
      <c r="B400" s="14" t="inlineStr">
        <is>
          <t>I combinadisastri</t>
        </is>
      </c>
      <c r="C400" s="14" t="inlineStr">
        <is>
          <t>Rico Hop, Bas Schel</t>
        </is>
      </c>
      <c r="D400" s="14" t="inlineStr">
        <is>
          <t>L'Acchiappastorie – Giovani lettori</t>
        </is>
      </c>
      <c r="E400" s="14" t="inlineStr">
        <is>
          <t>giovani lettori</t>
        </is>
      </c>
      <c r="F400" s="14" t="inlineStr">
        <is>
          <t>Scuola media (11-13)</t>
        </is>
      </c>
      <c r="G400" s="14" t="inlineStr">
        <is>
          <t>Romanzo</t>
        </is>
      </c>
      <c r="H400" s="14" t="inlineStr"/>
      <c r="I400" s="14" t="inlineStr">
        <is>
          <t>No</t>
        </is>
      </c>
      <c r="J400" s="14" t="inlineStr">
        <is>
          <t>Collana</t>
        </is>
      </c>
      <c r="K400" s="14" t="inlineStr">
        <is>
          <t>prima/seconda/terza media, romanzo, narrativa</t>
        </is>
      </c>
      <c r="L400" s="14" t="inlineStr">
        <is>
          <t>Catalogo Terre di Mezzo 1° semestre 2026, p. 68 (ISBN 9791259960979)</t>
        </is>
      </c>
      <c r="M400" s="16" t="n">
        <v>16</v>
      </c>
      <c r="N400" s="14" t="inlineStr">
        <is>
          <t>Catalogo Terre di Mezzo 1° semestre 2026</t>
        </is>
      </c>
      <c r="O400" s="16">
        <f>IF(ISNUMBER(M400),ROUND(M400*(1-Condizioni!$B$2),2),"")</f>
        <v/>
      </c>
      <c r="P400" s="17" t="inlineStr">
        <is>
          <t>No</t>
        </is>
      </c>
    </row>
    <row r="401">
      <c r="A401" s="14" t="inlineStr">
        <is>
          <t>Terre di Mezzo</t>
        </is>
      </c>
      <c r="B401" s="14" t="inlineStr">
        <is>
          <t>I dieci giorni dello scolapasta</t>
        </is>
      </c>
      <c r="C401" s="14" t="inlineStr">
        <is>
          <t>Daniele Movarelli, Angelo Mozzillo, Alice Coppini</t>
        </is>
      </c>
      <c r="D401" s="14" t="inlineStr">
        <is>
          <t>L'Acchiappastorie – I Tascabili</t>
        </is>
      </c>
      <c r="E401" s="14" t="inlineStr">
        <is>
          <t>tascabili</t>
        </is>
      </c>
      <c r="F401" s="14" t="inlineStr">
        <is>
          <t>Scuola media (11-13)</t>
        </is>
      </c>
      <c r="G401" s="14" t="inlineStr">
        <is>
          <t>Narrativa</t>
        </is>
      </c>
      <c r="H401" s="14" t="inlineStr"/>
      <c r="I401" s="14" t="inlineStr">
        <is>
          <t>No</t>
        </is>
      </c>
      <c r="J401" s="14" t="inlineStr">
        <is>
          <t>Collana</t>
        </is>
      </c>
      <c r="K401" s="14" t="inlineStr">
        <is>
          <t>prima/seconda/terza media, narrativa</t>
        </is>
      </c>
      <c r="L401" s="14" t="inlineStr">
        <is>
          <t>Catalogo Terre di Mezzo 1° semestre 2026, p. 71 (ISBN 9791259964052)</t>
        </is>
      </c>
      <c r="M401" s="16" t="n">
        <v>11</v>
      </c>
      <c r="N401" s="14" t="inlineStr">
        <is>
          <t>Catalogo Terre di Mezzo 1° semestre 2026</t>
        </is>
      </c>
      <c r="O401" s="16">
        <f>IF(ISNUMBER(M401),ROUND(M401*(1-Condizioni!$B$2),2),"")</f>
        <v/>
      </c>
      <c r="P401" s="17" t="inlineStr">
        <is>
          <t>No</t>
        </is>
      </c>
    </row>
    <row r="402">
      <c r="A402" s="14" t="inlineStr">
        <is>
          <t>Terre di Mezzo</t>
        </is>
      </c>
      <c r="B402" s="14" t="inlineStr">
        <is>
          <t>Il Faro alla fine del mondo</t>
        </is>
      </c>
      <c r="C402" s="14" t="inlineStr">
        <is>
          <t>Amy Sparks</t>
        </is>
      </c>
      <c r="D402" s="14" t="inlineStr">
        <is>
          <t>L'Acchiappastorie – Giovani lettori</t>
        </is>
      </c>
      <c r="E402" s="14" t="inlineStr">
        <is>
          <t>giovani lettori</t>
        </is>
      </c>
      <c r="F402" s="14" t="inlineStr">
        <is>
          <t>Scuola media (11-13)</t>
        </is>
      </c>
      <c r="G402" s="14" t="inlineStr">
        <is>
          <t>Romanzo</t>
        </is>
      </c>
      <c r="H402" s="14" t="inlineStr"/>
      <c r="I402" s="14" t="inlineStr">
        <is>
          <t>No</t>
        </is>
      </c>
      <c r="J402" s="14" t="inlineStr">
        <is>
          <t>Collana</t>
        </is>
      </c>
      <c r="K402" s="14" t="inlineStr">
        <is>
          <t>prima/seconda/terza media, romanzo, narrativa</t>
        </is>
      </c>
      <c r="L402" s="14" t="inlineStr">
        <is>
          <t>Catalogo Terre di Mezzo 1° semestre 2026, p. 66 (ISBN 9791259962706)</t>
        </is>
      </c>
      <c r="M402" s="16" t="n">
        <v>14</v>
      </c>
      <c r="N402" s="14" t="inlineStr">
        <is>
          <t>Catalogo Terre di Mezzo 1° semestre 2026</t>
        </is>
      </c>
      <c r="O402" s="16">
        <f>IF(ISNUMBER(M402),ROUND(M402*(1-Condizioni!$B$2),2),"")</f>
        <v/>
      </c>
      <c r="P402" s="17" t="inlineStr">
        <is>
          <t>No</t>
        </is>
      </c>
    </row>
    <row r="403">
      <c r="A403" s="14" t="inlineStr">
        <is>
          <t>Terre di Mezzo</t>
        </is>
      </c>
      <c r="B403" s="14" t="inlineStr">
        <is>
          <t>Il Primo gatto nello spazio e la zuppa avvelenata</t>
        </is>
      </c>
      <c r="C403" s="14" t="inlineStr">
        <is>
          <t>Mac Barnett, Shawn Harris</t>
        </is>
      </c>
      <c r="D403" s="14" t="inlineStr">
        <is>
          <t>L'Acchiappastorie – I Tascabili</t>
        </is>
      </c>
      <c r="E403" s="14" t="inlineStr">
        <is>
          <t>tascabili</t>
        </is>
      </c>
      <c r="F403" s="14" t="inlineStr">
        <is>
          <t>Scuola media (11-13)</t>
        </is>
      </c>
      <c r="G403" s="14" t="inlineStr">
        <is>
          <t>Narrativa</t>
        </is>
      </c>
      <c r="H403" s="14" t="inlineStr"/>
      <c r="I403" s="14" t="inlineStr">
        <is>
          <t>No</t>
        </is>
      </c>
      <c r="J403" s="14" t="inlineStr">
        <is>
          <t>Collana</t>
        </is>
      </c>
      <c r="K403" s="14" t="inlineStr">
        <is>
          <t>prima/seconda/terza media, narrativa</t>
        </is>
      </c>
      <c r="L403" s="14" t="inlineStr">
        <is>
          <t>Catalogo Terre di Mezzo 1° semestre 2026, p. 74 (ISBN 9791259963727)</t>
        </is>
      </c>
      <c r="M403" s="16" t="n">
        <v>18</v>
      </c>
      <c r="N403" s="14" t="inlineStr">
        <is>
          <t>Catalogo Terre di Mezzo 1° semestre 2026</t>
        </is>
      </c>
      <c r="O403" s="16">
        <f>IF(ISNUMBER(M403),ROUND(M403*(1-Condizioni!$B$2),2),"")</f>
        <v/>
      </c>
      <c r="P403" s="17" t="inlineStr">
        <is>
          <t>No</t>
        </is>
      </c>
    </row>
    <row r="404">
      <c r="A404" s="14" t="inlineStr">
        <is>
          <t>Terre di Mezzo</t>
        </is>
      </c>
      <c r="B404" s="14" t="inlineStr">
        <is>
          <t>Il Primo gatto nello spazio mangia la pizza!</t>
        </is>
      </c>
      <c r="C404" s="14" t="inlineStr">
        <is>
          <t>Mac Barnett, Shawn Harris</t>
        </is>
      </c>
      <c r="D404" s="14" t="inlineStr">
        <is>
          <t>L'Acchiappastorie – I Tascabili</t>
        </is>
      </c>
      <c r="E404" s="14" t="inlineStr">
        <is>
          <t>tascabili</t>
        </is>
      </c>
      <c r="F404" s="14" t="inlineStr">
        <is>
          <t>Scuola media (11-13)</t>
        </is>
      </c>
      <c r="G404" s="14" t="inlineStr">
        <is>
          <t>Narrativa</t>
        </is>
      </c>
      <c r="H404" s="14" t="inlineStr"/>
      <c r="I404" s="14" t="inlineStr">
        <is>
          <t>No</t>
        </is>
      </c>
      <c r="J404" s="14" t="inlineStr">
        <is>
          <t>Collana</t>
        </is>
      </c>
      <c r="K404" s="14" t="inlineStr">
        <is>
          <t>prima/seconda/terza media, narrativa</t>
        </is>
      </c>
      <c r="L404" s="14" t="inlineStr">
        <is>
          <t>Catalogo Terre di Mezzo 1° semestre 2026, p. 74 (ISBN 9791259962591)</t>
        </is>
      </c>
      <c r="M404" s="16" t="n">
        <v>18</v>
      </c>
      <c r="N404" s="14" t="inlineStr">
        <is>
          <t>Catalogo Terre di Mezzo 1° semestre 2026</t>
        </is>
      </c>
      <c r="O404" s="16">
        <f>IF(ISNUMBER(M404),ROUND(M404*(1-Condizioni!$B$2),2),"")</f>
        <v/>
      </c>
      <c r="P404" s="17" t="inlineStr">
        <is>
          <t>No</t>
        </is>
      </c>
    </row>
    <row r="405">
      <c r="A405" s="14" t="inlineStr">
        <is>
          <t>Terre di Mezzo</t>
        </is>
      </c>
      <c r="B405" s="14" t="inlineStr">
        <is>
          <t>Il bosco dei ragazzi senza colore</t>
        </is>
      </c>
      <c r="C405" s="14" t="inlineStr">
        <is>
          <t>Samuel J. Halpin, Hannah Peck</t>
        </is>
      </c>
      <c r="D405" s="14" t="inlineStr">
        <is>
          <t>L'Acchiappastorie – I Tascabili</t>
        </is>
      </c>
      <c r="E405" s="14" t="inlineStr">
        <is>
          <t>tascabili</t>
        </is>
      </c>
      <c r="F405" s="14" t="inlineStr">
        <is>
          <t>Scuola media (11-13)</t>
        </is>
      </c>
      <c r="G405" s="14" t="inlineStr">
        <is>
          <t>Narrativa</t>
        </is>
      </c>
      <c r="H405" s="14" t="inlineStr"/>
      <c r="I405" s="14" t="inlineStr">
        <is>
          <t>No</t>
        </is>
      </c>
      <c r="J405" s="14" t="inlineStr">
        <is>
          <t>Collana</t>
        </is>
      </c>
      <c r="K405" s="14" t="inlineStr">
        <is>
          <t>prima/seconda/terza media, narrativa</t>
        </is>
      </c>
      <c r="L405" s="14" t="inlineStr">
        <is>
          <t>Catalogo Terre di Mezzo 1° semestre 2026, p. 71 (ISBN 9791259961600)</t>
        </is>
      </c>
      <c r="M405" s="16" t="n">
        <v>11</v>
      </c>
      <c r="N405" s="14" t="inlineStr">
        <is>
          <t>Catalogo Terre di Mezzo 1° semestre 2026</t>
        </is>
      </c>
      <c r="O405" s="16">
        <f>IF(ISNUMBER(M405),ROUND(M405*(1-Condizioni!$B$2),2),"")</f>
        <v/>
      </c>
      <c r="P405" s="17" t="inlineStr">
        <is>
          <t>No</t>
        </is>
      </c>
    </row>
    <row r="406">
      <c r="A406" s="14" t="inlineStr">
        <is>
          <t>Terre di Mezzo</t>
        </is>
      </c>
      <c r="B406" s="14" t="inlineStr">
        <is>
          <t>Il bosco dei ragazzi senza colore</t>
        </is>
      </c>
      <c r="C406" s="14" t="inlineStr">
        <is>
          <t>Samuel J. Halpin, Hannah Peck</t>
        </is>
      </c>
      <c r="D406" s="14" t="inlineStr">
        <is>
          <t>L'Acchiappastorie – I Tascabili</t>
        </is>
      </c>
      <c r="E406" s="14" t="inlineStr">
        <is>
          <t>tascabili</t>
        </is>
      </c>
      <c r="F406" s="14" t="inlineStr">
        <is>
          <t>Scuola media (11-13)</t>
        </is>
      </c>
      <c r="G406" s="14" t="inlineStr">
        <is>
          <t>Narrativa</t>
        </is>
      </c>
      <c r="H406" s="14" t="inlineStr"/>
      <c r="I406" s="14" t="inlineStr">
        <is>
          <t>No</t>
        </is>
      </c>
      <c r="J406" s="14" t="inlineStr">
        <is>
          <t>Collana</t>
        </is>
      </c>
      <c r="K406" s="14" t="inlineStr">
        <is>
          <t>prima/seconda/terza media, narrativa</t>
        </is>
      </c>
      <c r="L406" s="14" t="inlineStr">
        <is>
          <t>Catalogo Terre di Mezzo 1° semestre 2026, p. 71 (ISBN 9788861897601)</t>
        </is>
      </c>
      <c r="M406" s="16" t="n">
        <v>11</v>
      </c>
      <c r="N406" s="14" t="inlineStr">
        <is>
          <t>Catalogo Terre di Mezzo 1° semestre 2026</t>
        </is>
      </c>
      <c r="O406" s="16">
        <f>IF(ISNUMBER(M406),ROUND(M406*(1-Condizioni!$B$2),2),"")</f>
        <v/>
      </c>
      <c r="P406" s="17" t="inlineStr">
        <is>
          <t>No</t>
        </is>
      </c>
    </row>
    <row r="407">
      <c r="A407" s="14" t="inlineStr">
        <is>
          <t>Terre di Mezzo</t>
        </is>
      </c>
      <c r="B407" s="14" t="inlineStr">
        <is>
          <t>Il crimine impossibile</t>
        </is>
      </c>
      <c r="C407" s="14" t="inlineStr">
        <is>
          <t>NOME IN CODICE MAC B.</t>
        </is>
      </c>
      <c r="D407" s="14" t="inlineStr">
        <is>
          <t>L'Acchiappastorie – I Tascabili</t>
        </is>
      </c>
      <c r="E407" s="14" t="inlineStr">
        <is>
          <t>tascabili</t>
        </is>
      </c>
      <c r="F407" s="14" t="inlineStr">
        <is>
          <t>Scuola media (11-13)</t>
        </is>
      </c>
      <c r="G407" s="14" t="inlineStr">
        <is>
          <t>Narrativa</t>
        </is>
      </c>
      <c r="H407" s="14" t="inlineStr"/>
      <c r="I407" s="14" t="inlineStr">
        <is>
          <t>No</t>
        </is>
      </c>
      <c r="J407" s="14" t="inlineStr">
        <is>
          <t>Collana</t>
        </is>
      </c>
      <c r="K407" s="14" t="inlineStr">
        <is>
          <t>prima/seconda/terza media, narrativa</t>
        </is>
      </c>
      <c r="L407" s="14" t="inlineStr">
        <is>
          <t>Catalogo Terre di Mezzo 1° semestre 2026, p. 72 (ISBN 9791259963390)</t>
        </is>
      </c>
      <c r="M407" s="16" t="n">
        <v>11</v>
      </c>
      <c r="N407" s="14" t="inlineStr">
        <is>
          <t>Catalogo Terre di Mezzo 1° semestre 2026</t>
        </is>
      </c>
      <c r="O407" s="16">
        <f>IF(ISNUMBER(M407),ROUND(M407*(1-Condizioni!$B$2),2),"")</f>
        <v/>
      </c>
      <c r="P407" s="17" t="inlineStr">
        <is>
          <t>No</t>
        </is>
      </c>
    </row>
    <row r="408">
      <c r="A408" s="14" t="inlineStr">
        <is>
          <t>Terre di Mezzo</t>
        </is>
      </c>
      <c r="B408" s="14" t="inlineStr">
        <is>
          <t>Il ministero delle Soluzioni</t>
        </is>
      </c>
      <c r="C408" s="14" t="inlineStr">
        <is>
          <t>Sanne Rooseboom, Mark Janssen</t>
        </is>
      </c>
      <c r="D408" s="14" t="inlineStr">
        <is>
          <t>L'Acchiappastorie – Giovani lettori</t>
        </is>
      </c>
      <c r="E408" s="14" t="inlineStr">
        <is>
          <t>giovani lettori</t>
        </is>
      </c>
      <c r="F408" s="14" t="inlineStr">
        <is>
          <t>Scuola media (11-13)</t>
        </is>
      </c>
      <c r="G408" s="14" t="inlineStr">
        <is>
          <t>Romanzo</t>
        </is>
      </c>
      <c r="H408" s="14" t="inlineStr"/>
      <c r="I408" s="14" t="inlineStr">
        <is>
          <t>No</t>
        </is>
      </c>
      <c r="J408" s="14" t="inlineStr">
        <is>
          <t>Collana</t>
        </is>
      </c>
      <c r="K408" s="14" t="inlineStr">
        <is>
          <t>prima/seconda/terza media, romanzo, narrativa</t>
        </is>
      </c>
      <c r="L408" s="14" t="inlineStr">
        <is>
          <t>Catalogo Terre di Mezzo 1° semestre 2026, p. 68 (ISBN 9791259960733)</t>
        </is>
      </c>
      <c r="M408" s="16" t="n">
        <v>14</v>
      </c>
      <c r="N408" s="14" t="inlineStr">
        <is>
          <t>Catalogo Terre di Mezzo 1° semestre 2026</t>
        </is>
      </c>
      <c r="O408" s="16">
        <f>IF(ISNUMBER(M408),ROUND(M408*(1-Condizioni!$B$2),2),"")</f>
        <v/>
      </c>
      <c r="P408" s="17" t="inlineStr">
        <is>
          <t>Sì</t>
        </is>
      </c>
    </row>
    <row r="409">
      <c r="A409" s="14" t="inlineStr">
        <is>
          <t>Terre di Mezzo</t>
        </is>
      </c>
      <c r="B409" s="14" t="inlineStr">
        <is>
          <t>Il mistero dei corvi scomparsi</t>
        </is>
      </c>
      <c r="C409" s="14" t="inlineStr">
        <is>
          <t>NOME IN CODICE MAC B.</t>
        </is>
      </c>
      <c r="D409" s="14" t="inlineStr">
        <is>
          <t>L'Acchiappastorie – I Tascabili</t>
        </is>
      </c>
      <c r="E409" s="14" t="inlineStr">
        <is>
          <t>tascabili</t>
        </is>
      </c>
      <c r="F409" s="14" t="inlineStr">
        <is>
          <t>Scuola media (11-13)</t>
        </is>
      </c>
      <c r="G409" s="14" t="inlineStr">
        <is>
          <t>Narrativa</t>
        </is>
      </c>
      <c r="H409" s="14" t="inlineStr"/>
      <c r="I409" s="14" t="inlineStr">
        <is>
          <t>No</t>
        </is>
      </c>
      <c r="J409" s="14" t="inlineStr">
        <is>
          <t>Collana</t>
        </is>
      </c>
      <c r="K409" s="14" t="inlineStr">
        <is>
          <t>prima/seconda/terza media, narrativa</t>
        </is>
      </c>
      <c r="L409" s="14" t="inlineStr">
        <is>
          <t>Catalogo Terre di Mezzo 1° semestre 2026, p. 72 (ISBN 9791259963406)</t>
        </is>
      </c>
      <c r="M409" s="16" t="n">
        <v>11</v>
      </c>
      <c r="N409" s="14" t="inlineStr">
        <is>
          <t>Catalogo Terre di Mezzo 1° semestre 2026</t>
        </is>
      </c>
      <c r="O409" s="16">
        <f>IF(ISNUMBER(M409),ROUND(M409*(1-Condizioni!$B$2),2),"")</f>
        <v/>
      </c>
      <c r="P409" s="17" t="inlineStr">
        <is>
          <t>No</t>
        </is>
      </c>
    </row>
    <row r="410">
      <c r="A410" s="14" t="inlineStr">
        <is>
          <t>Terre di Mezzo</t>
        </is>
      </c>
      <c r="B410" s="14" t="inlineStr">
        <is>
          <t>Il sapore dei desideri</t>
        </is>
      </c>
      <c r="C410" s="14" t="inlineStr">
        <is>
          <t>Sally Gardner, Nick Maland</t>
        </is>
      </c>
      <c r="D410" s="14" t="inlineStr">
        <is>
          <t>L'Acchiappastorie – Giovani lettori</t>
        </is>
      </c>
      <c r="E410" s="14" t="inlineStr">
        <is>
          <t>giovani lettori</t>
        </is>
      </c>
      <c r="F410" s="14" t="inlineStr">
        <is>
          <t>Scuola media (11-13)</t>
        </is>
      </c>
      <c r="G410" s="14" t="inlineStr">
        <is>
          <t>Romanzo</t>
        </is>
      </c>
      <c r="H410" s="14" t="inlineStr"/>
      <c r="I410" s="14" t="inlineStr">
        <is>
          <t>No</t>
        </is>
      </c>
      <c r="J410" s="14" t="inlineStr">
        <is>
          <t>Collana</t>
        </is>
      </c>
      <c r="K410" s="14" t="inlineStr">
        <is>
          <t>prima/seconda/terza media, romanzo, narrativa</t>
        </is>
      </c>
      <c r="L410" s="14" t="inlineStr">
        <is>
          <t>Catalogo Terre di Mezzo 1° semestre 2026, p. 69 (ISBN 9788861897014)</t>
        </is>
      </c>
      <c r="M410" s="16" t="n">
        <v>11</v>
      </c>
      <c r="N410" s="14" t="inlineStr">
        <is>
          <t>Catalogo Terre di Mezzo 1° semestre 2026</t>
        </is>
      </c>
      <c r="O410" s="16">
        <f>IF(ISNUMBER(M410),ROUND(M410*(1-Condizioni!$B$2),2),"")</f>
        <v/>
      </c>
      <c r="P410" s="17" t="inlineStr">
        <is>
          <t>No</t>
        </is>
      </c>
    </row>
    <row r="411">
      <c r="A411" s="14" t="inlineStr">
        <is>
          <t>Terre di Mezzo</t>
        </is>
      </c>
      <c r="B411" s="14" t="inlineStr">
        <is>
          <t>Il sapore dei desideri</t>
        </is>
      </c>
      <c r="C411" s="14" t="inlineStr">
        <is>
          <t>Sally Gardner, Nick Maland</t>
        </is>
      </c>
      <c r="D411" s="14" t="inlineStr">
        <is>
          <t>L'Acchiappastorie – I Tascabili</t>
        </is>
      </c>
      <c r="E411" s="14" t="inlineStr">
        <is>
          <t>tascabili</t>
        </is>
      </c>
      <c r="F411" s="14" t="inlineStr">
        <is>
          <t>Scuola media (11-13)</t>
        </is>
      </c>
      <c r="G411" s="14" t="inlineStr">
        <is>
          <t>Narrativa</t>
        </is>
      </c>
      <c r="H411" s="14" t="inlineStr"/>
      <c r="I411" s="14" t="inlineStr">
        <is>
          <t>No</t>
        </is>
      </c>
      <c r="J411" s="14" t="inlineStr">
        <is>
          <t>Collana</t>
        </is>
      </c>
      <c r="K411" s="14" t="inlineStr">
        <is>
          <t>prima/seconda/terza media, narrativa</t>
        </is>
      </c>
      <c r="L411" s="14" t="inlineStr">
        <is>
          <t>Catalogo Terre di Mezzo 1° semestre 2026, p. 71 (ISBN 9791259962225)</t>
        </is>
      </c>
      <c r="M411" s="16" t="n">
        <v>11</v>
      </c>
      <c r="N411" s="14" t="inlineStr">
        <is>
          <t>Catalogo Terre di Mezzo 1° semestre 2026</t>
        </is>
      </c>
      <c r="O411" s="16">
        <f>IF(ISNUMBER(M411),ROUND(M411*(1-Condizioni!$B$2),2),"")</f>
        <v/>
      </c>
      <c r="P411" s="17" t="inlineStr">
        <is>
          <t>No</t>
        </is>
      </c>
    </row>
    <row r="412">
      <c r="A412" s="14" t="inlineStr">
        <is>
          <t>Terre di Mezzo</t>
        </is>
      </c>
      <c r="B412" s="14" t="inlineStr">
        <is>
          <t>Il segreto della Creatura</t>
        </is>
      </c>
      <c r="C412" s="14" t="inlineStr">
        <is>
          <t>Giorgia Guarienti, Mariachiara Di Giorgio</t>
        </is>
      </c>
      <c r="D412" s="14" t="inlineStr">
        <is>
          <t>L'Acchiappastorie – Giovani lettori</t>
        </is>
      </c>
      <c r="E412" s="14" t="inlineStr">
        <is>
          <t>giovani lettori</t>
        </is>
      </c>
      <c r="F412" s="14" t="inlineStr">
        <is>
          <t>Scuola media (11-13)</t>
        </is>
      </c>
      <c r="G412" s="14" t="inlineStr">
        <is>
          <t>Romanzo</t>
        </is>
      </c>
      <c r="H412" s="14" t="inlineStr"/>
      <c r="I412" s="14" t="inlineStr">
        <is>
          <t>No</t>
        </is>
      </c>
      <c r="J412" s="14" t="inlineStr">
        <is>
          <t>Collana</t>
        </is>
      </c>
      <c r="K412" s="14" t="inlineStr">
        <is>
          <t>prima/seconda/terza media, romanzo, narrativa</t>
        </is>
      </c>
      <c r="L412" s="14" t="inlineStr">
        <is>
          <t>Catalogo Terre di Mezzo 1° semestre 2026, p. 66 (ISBN 9791259961105)</t>
        </is>
      </c>
      <c r="M412" s="16" t="n">
        <v>14</v>
      </c>
      <c r="N412" s="14" t="inlineStr">
        <is>
          <t>Catalogo Terre di Mezzo 1° semestre 2026</t>
        </is>
      </c>
      <c r="O412" s="16">
        <f>IF(ISNUMBER(M412),ROUND(M412*(1-Condizioni!$B$2),2),"")</f>
        <v/>
      </c>
      <c r="P412" s="17" t="inlineStr">
        <is>
          <t>No</t>
        </is>
      </c>
    </row>
    <row r="413">
      <c r="A413" s="14" t="inlineStr">
        <is>
          <t>Terre di Mezzo</t>
        </is>
      </c>
      <c r="B413" s="14" t="inlineStr">
        <is>
          <t>Il segreto di Ella</t>
        </is>
      </c>
      <c r="C413" s="14" t="inlineStr">
        <is>
          <t>Cath Howe</t>
        </is>
      </c>
      <c r="D413" s="14" t="inlineStr">
        <is>
          <t>L'Acchiappastorie – I Tascabili</t>
        </is>
      </c>
      <c r="E413" s="14" t="inlineStr">
        <is>
          <t>tascabili</t>
        </is>
      </c>
      <c r="F413" s="14" t="inlineStr">
        <is>
          <t>Scuola media (11-13)</t>
        </is>
      </c>
      <c r="G413" s="14" t="inlineStr">
        <is>
          <t>Narrativa</t>
        </is>
      </c>
      <c r="H413" s="14" t="inlineStr"/>
      <c r="I413" s="14" t="inlineStr">
        <is>
          <t>No</t>
        </is>
      </c>
      <c r="J413" s="14" t="inlineStr">
        <is>
          <t>Collana</t>
        </is>
      </c>
      <c r="K413" s="14" t="inlineStr">
        <is>
          <t>prima/seconda/terza media, narrativa</t>
        </is>
      </c>
      <c r="L413" s="14" t="inlineStr">
        <is>
          <t>Catalogo Terre di Mezzo 1° semestre 2026, p. 71 (ISBN 9791259962218)</t>
        </is>
      </c>
      <c r="M413" s="16" t="n">
        <v>11</v>
      </c>
      <c r="N413" s="14" t="inlineStr">
        <is>
          <t>Catalogo Terre di Mezzo 1° semestre 2026</t>
        </is>
      </c>
      <c r="O413" s="16">
        <f>IF(ISNUMBER(M413),ROUND(M413*(1-Condizioni!$B$2),2),"")</f>
        <v/>
      </c>
      <c r="P413" s="17" t="inlineStr">
        <is>
          <t>Sì</t>
        </is>
      </c>
    </row>
    <row r="414">
      <c r="A414" s="14" t="inlineStr">
        <is>
          <t>Terre di Mezzo</t>
        </is>
      </c>
      <c r="B414" s="14" t="inlineStr">
        <is>
          <t>In missione per la regina</t>
        </is>
      </c>
      <c r="C414" s="14" t="inlineStr">
        <is>
          <t>NOME IN CODICE MAC B.</t>
        </is>
      </c>
      <c r="D414" s="14" t="inlineStr">
        <is>
          <t>L'Acchiappastorie – I Tascabili</t>
        </is>
      </c>
      <c r="E414" s="14" t="inlineStr">
        <is>
          <t>tascabili</t>
        </is>
      </c>
      <c r="F414" s="14" t="inlineStr">
        <is>
          <t>Scuola media (11-13)</t>
        </is>
      </c>
      <c r="G414" s="14" t="inlineStr">
        <is>
          <t>Narrativa</t>
        </is>
      </c>
      <c r="H414" s="14" t="inlineStr"/>
      <c r="I414" s="14" t="inlineStr">
        <is>
          <t>No</t>
        </is>
      </c>
      <c r="J414" s="14" t="inlineStr">
        <is>
          <t>Collana</t>
        </is>
      </c>
      <c r="K414" s="14" t="inlineStr">
        <is>
          <t>prima/seconda/terza media, narrativa</t>
        </is>
      </c>
      <c r="L414" s="14" t="inlineStr">
        <is>
          <t>Catalogo Terre di Mezzo 1° semestre 2026, p. 72 (ISBN 9791259963383)</t>
        </is>
      </c>
      <c r="M414" s="16" t="n">
        <v>11</v>
      </c>
      <c r="N414" s="14" t="inlineStr">
        <is>
          <t>Catalogo Terre di Mezzo 1° semestre 2026</t>
        </is>
      </c>
      <c r="O414" s="16">
        <f>IF(ISNUMBER(M414),ROUND(M414*(1-Condizioni!$B$2),2),"")</f>
        <v/>
      </c>
      <c r="P414" s="17" t="inlineStr">
        <is>
          <t>No</t>
        </is>
      </c>
    </row>
    <row r="415">
      <c r="A415" s="14" t="inlineStr">
        <is>
          <t>Terre di Mezzo</t>
        </is>
      </c>
      <c r="B415" s="14" t="inlineStr">
        <is>
          <t>In nome di Chris</t>
        </is>
      </c>
      <c r="C415" s="14" t="inlineStr">
        <is>
          <t>Claudine Desmarteau</t>
        </is>
      </c>
      <c r="D415" s="14" t="inlineStr">
        <is>
          <t>L'Acchiappastorie – Giovani lettori</t>
        </is>
      </c>
      <c r="E415" s="14" t="inlineStr">
        <is>
          <t>giovani lettori</t>
        </is>
      </c>
      <c r="F415" s="14" t="inlineStr">
        <is>
          <t>Scuola media (11-13)</t>
        </is>
      </c>
      <c r="G415" s="14" t="inlineStr">
        <is>
          <t>Romanzo</t>
        </is>
      </c>
      <c r="H415" s="14" t="inlineStr"/>
      <c r="I415" s="14" t="inlineStr">
        <is>
          <t>No</t>
        </is>
      </c>
      <c r="J415" s="14" t="inlineStr">
        <is>
          <t>Collana</t>
        </is>
      </c>
      <c r="K415" s="14" t="inlineStr">
        <is>
          <t>prima/seconda/terza media, romanzo, narrativa</t>
        </is>
      </c>
      <c r="L415" s="14" t="inlineStr">
        <is>
          <t>Catalogo Terre di Mezzo 1° semestre 2026, p. 65 (ISBN 9791259962737)</t>
        </is>
      </c>
      <c r="M415" s="16" t="n">
        <v>16</v>
      </c>
      <c r="N415" s="14" t="inlineStr">
        <is>
          <t>Catalogo Terre di Mezzo 1° semestre 2026</t>
        </is>
      </c>
      <c r="O415" s="16">
        <f>IF(ISNUMBER(M415),ROUND(M415*(1-Condizioni!$B$2),2),"")</f>
        <v/>
      </c>
      <c r="P415" s="17" t="inlineStr">
        <is>
          <t>No</t>
        </is>
      </c>
    </row>
    <row r="416">
      <c r="A416" s="14" t="inlineStr">
        <is>
          <t>Terre di Mezzo</t>
        </is>
      </c>
      <c r="B416" s="14" t="inlineStr">
        <is>
          <t>Jane negli abissi</t>
        </is>
      </c>
      <c r="C416" s="14" t="inlineStr">
        <is>
          <t>Vera Brosgol</t>
        </is>
      </c>
      <c r="D416" s="14" t="inlineStr">
        <is>
          <t>L'Acchiappastorie – I Tascabili</t>
        </is>
      </c>
      <c r="E416" s="14" t="inlineStr">
        <is>
          <t>tascabili</t>
        </is>
      </c>
      <c r="F416" s="14" t="inlineStr">
        <is>
          <t>Scuola media (11-13)</t>
        </is>
      </c>
      <c r="G416" s="14" t="inlineStr">
        <is>
          <t>Narrativa</t>
        </is>
      </c>
      <c r="H416" s="14" t="inlineStr"/>
      <c r="I416" s="14" t="inlineStr">
        <is>
          <t>No</t>
        </is>
      </c>
      <c r="J416" s="14" t="inlineStr">
        <is>
          <t>Collana</t>
        </is>
      </c>
      <c r="K416" s="14" t="inlineStr">
        <is>
          <t>prima/seconda/terza media, narrativa</t>
        </is>
      </c>
      <c r="L416" s="14" t="inlineStr">
        <is>
          <t>Catalogo Terre di Mezzo 1° semestre 2026, p. 73 (ISBN 9791259964236)</t>
        </is>
      </c>
      <c r="M416" s="16" t="n">
        <v>19</v>
      </c>
      <c r="N416" s="14" t="inlineStr">
        <is>
          <t>Catalogo Terre di Mezzo 1° semestre 2026</t>
        </is>
      </c>
      <c r="O416" s="16">
        <f>IF(ISNUMBER(M416),ROUND(M416*(1-Condizioni!$B$2),2),"")</f>
        <v/>
      </c>
      <c r="P416" s="17" t="inlineStr">
        <is>
          <t>Sì</t>
        </is>
      </c>
    </row>
    <row r="417">
      <c r="A417" s="14" t="inlineStr">
        <is>
          <t>Terre di Mezzo</t>
        </is>
      </c>
      <c r="B417" s="14" t="inlineStr">
        <is>
          <t>La Torre alla fine del tempo</t>
        </is>
      </c>
      <c r="C417" s="14" t="inlineStr">
        <is>
          <t>Amy Sparkes</t>
        </is>
      </c>
      <c r="D417" s="14" t="inlineStr">
        <is>
          <t>L'Acchiappastorie – Giovani lettori</t>
        </is>
      </c>
      <c r="E417" s="14" t="inlineStr">
        <is>
          <t>giovani lettori</t>
        </is>
      </c>
      <c r="F417" s="14" t="inlineStr">
        <is>
          <t>Scuola media (11-13)</t>
        </is>
      </c>
      <c r="G417" s="14" t="inlineStr">
        <is>
          <t>Romanzo</t>
        </is>
      </c>
      <c r="H417" s="14" t="inlineStr"/>
      <c r="I417" s="14" t="inlineStr">
        <is>
          <t>No</t>
        </is>
      </c>
      <c r="J417" s="14" t="inlineStr">
        <is>
          <t>Collana</t>
        </is>
      </c>
      <c r="K417" s="14" t="inlineStr">
        <is>
          <t>prima/seconda/terza media, romanzo, narrativa</t>
        </is>
      </c>
      <c r="L417" s="14" t="inlineStr">
        <is>
          <t>Catalogo Terre di Mezzo 1° semestre 2026, p. 66 (ISBN 9791259960245)</t>
        </is>
      </c>
      <c r="M417" s="16" t="n">
        <v>14</v>
      </c>
      <c r="N417" s="14" t="inlineStr">
        <is>
          <t>Catalogo Terre di Mezzo 1° semestre 2026</t>
        </is>
      </c>
      <c r="O417" s="16">
        <f>IF(ISNUMBER(M417),ROUND(M417*(1-Condizioni!$B$2),2),"")</f>
        <v/>
      </c>
      <c r="P417" s="17" t="inlineStr">
        <is>
          <t>No</t>
        </is>
      </c>
    </row>
    <row r="418">
      <c r="A418" s="14" t="inlineStr">
        <is>
          <t>Terre di Mezzo</t>
        </is>
      </c>
      <c r="B418" s="14" t="inlineStr">
        <is>
          <t>La bicicletta dei sogni</t>
        </is>
      </c>
      <c r="C418" s="14" t="inlineStr">
        <is>
          <t>Nina Dashevskaya</t>
        </is>
      </c>
      <c r="D418" s="14" t="inlineStr">
        <is>
          <t>L'Acchiappastorie – Giovani lettori</t>
        </is>
      </c>
      <c r="E418" s="14" t="inlineStr">
        <is>
          <t>giovani lettori</t>
        </is>
      </c>
      <c r="F418" s="14" t="inlineStr">
        <is>
          <t>Scuola media (11-13)</t>
        </is>
      </c>
      <c r="G418" s="14" t="inlineStr">
        <is>
          <t>Romanzo</t>
        </is>
      </c>
      <c r="H418" s="14" t="inlineStr"/>
      <c r="I418" s="14" t="inlineStr">
        <is>
          <t>No</t>
        </is>
      </c>
      <c r="J418" s="14" t="inlineStr">
        <is>
          <t>Collana</t>
        </is>
      </c>
      <c r="K418" s="14" t="inlineStr">
        <is>
          <t>prima/seconda/terza media, romanzo, narrativa</t>
        </is>
      </c>
      <c r="L418" s="14" t="inlineStr">
        <is>
          <t>Catalogo Terre di Mezzo 1° semestre 2026, p. 67 (ISBN 9791259962065)</t>
        </is>
      </c>
      <c r="M418" s="16" t="n">
        <v>14</v>
      </c>
      <c r="N418" s="14" t="inlineStr">
        <is>
          <t>Catalogo Terre di Mezzo 1° semestre 2026</t>
        </is>
      </c>
      <c r="O418" s="16">
        <f>IF(ISNUMBER(M418),ROUND(M418*(1-Condizioni!$B$2),2),"")</f>
        <v/>
      </c>
      <c r="P418" s="17" t="inlineStr">
        <is>
          <t>No</t>
        </is>
      </c>
    </row>
    <row r="419">
      <c r="A419" s="14" t="inlineStr">
        <is>
          <t>Terre di Mezzo</t>
        </is>
      </c>
      <c r="B419" s="14" t="inlineStr">
        <is>
          <t>La casa ai confini della magia</t>
        </is>
      </c>
      <c r="C419" s="14" t="inlineStr">
        <is>
          <t>Amy Sparkes</t>
        </is>
      </c>
      <c r="D419" s="14" t="inlineStr">
        <is>
          <t>L'Acchiappastorie – Giovani lettori</t>
        </is>
      </c>
      <c r="E419" s="14" t="inlineStr">
        <is>
          <t>giovani lettori</t>
        </is>
      </c>
      <c r="F419" s="14" t="inlineStr">
        <is>
          <t>Scuola media (11-13)</t>
        </is>
      </c>
      <c r="G419" s="14" t="inlineStr">
        <is>
          <t>Romanzo</t>
        </is>
      </c>
      <c r="H419" s="14" t="inlineStr"/>
      <c r="I419" s="14" t="inlineStr">
        <is>
          <t>No</t>
        </is>
      </c>
      <c r="J419" s="14" t="inlineStr">
        <is>
          <t>Collana</t>
        </is>
      </c>
      <c r="K419" s="14" t="inlineStr">
        <is>
          <t>prima/seconda/terza media, romanzo, narrativa</t>
        </is>
      </c>
      <c r="L419" s="14" t="inlineStr">
        <is>
          <t>Catalogo Terre di Mezzo 1° semestre 2026, p. 66 (ISBN 9788861896406)</t>
        </is>
      </c>
      <c r="M419" s="16" t="n">
        <v>14</v>
      </c>
      <c r="N419" s="14" t="inlineStr">
        <is>
          <t>Catalogo Terre di Mezzo 1° semestre 2026</t>
        </is>
      </c>
      <c r="O419" s="16">
        <f>IF(ISNUMBER(M419),ROUND(M419*(1-Condizioni!$B$2),2),"")</f>
        <v/>
      </c>
      <c r="P419" s="17" t="inlineStr">
        <is>
          <t>No</t>
        </is>
      </c>
    </row>
    <row r="420">
      <c r="A420" s="14" t="inlineStr">
        <is>
          <t>Terre di Mezzo</t>
        </is>
      </c>
      <c r="B420" s="14" t="inlineStr">
        <is>
          <t>La gara dei cavallucci</t>
        </is>
      </c>
      <c r="C420" s="14" t="inlineStr">
        <is>
          <t>Sally Gardner, Nick Maland</t>
        </is>
      </c>
      <c r="D420" s="14" t="inlineStr">
        <is>
          <t>L'Acchiappastorie – Giovani lettori</t>
        </is>
      </c>
      <c r="E420" s="14" t="inlineStr">
        <is>
          <t>giovani lettori</t>
        </is>
      </c>
      <c r="F420" s="14" t="inlineStr">
        <is>
          <t>Scuola media (11-13)</t>
        </is>
      </c>
      <c r="G420" s="14" t="inlineStr">
        <is>
          <t>Romanzo</t>
        </is>
      </c>
      <c r="H420" s="14" t="inlineStr"/>
      <c r="I420" s="14" t="inlineStr">
        <is>
          <t>No</t>
        </is>
      </c>
      <c r="J420" s="14" t="inlineStr">
        <is>
          <t>Collana</t>
        </is>
      </c>
      <c r="K420" s="14" t="inlineStr">
        <is>
          <t>prima/seconda/terza media, romanzo, narrativa</t>
        </is>
      </c>
      <c r="L420" s="14" t="inlineStr">
        <is>
          <t>Catalogo Terre di Mezzo 1° semestre 2026, p. 69 (ISBN 9788861897076)</t>
        </is>
      </c>
      <c r="M420" s="16" t="n">
        <v>14</v>
      </c>
      <c r="N420" s="14" t="inlineStr">
        <is>
          <t>Catalogo Terre di Mezzo 1° semestre 2026</t>
        </is>
      </c>
      <c r="O420" s="16">
        <f>IF(ISNUMBER(M420),ROUND(M420*(1-Condizioni!$B$2),2),"")</f>
        <v/>
      </c>
      <c r="P420" s="17" t="inlineStr">
        <is>
          <t>No</t>
        </is>
      </c>
    </row>
    <row r="421">
      <c r="A421" s="14" t="inlineStr">
        <is>
          <t>Terre di Mezzo</t>
        </is>
      </c>
      <c r="B421" s="14" t="inlineStr">
        <is>
          <t>La libreria in fondo all’oltre</t>
        </is>
      </c>
      <c r="C421" s="14" t="inlineStr">
        <is>
          <t>Amy Sparkes</t>
        </is>
      </c>
      <c r="D421" s="14" t="inlineStr">
        <is>
          <t>L'Acchiappastorie – Giovani lettori</t>
        </is>
      </c>
      <c r="E421" s="14" t="inlineStr">
        <is>
          <t>giovani lettori</t>
        </is>
      </c>
      <c r="F421" s="14" t="inlineStr">
        <is>
          <t>Scuola media (11-13)</t>
        </is>
      </c>
      <c r="G421" s="14" t="inlineStr">
        <is>
          <t>Romanzo</t>
        </is>
      </c>
      <c r="H421" s="14" t="inlineStr"/>
      <c r="I421" s="14" t="inlineStr">
        <is>
          <t>No</t>
        </is>
      </c>
      <c r="J421" s="14" t="inlineStr">
        <is>
          <t>Collana</t>
        </is>
      </c>
      <c r="K421" s="14" t="inlineStr">
        <is>
          <t>prima/seconda/terza media, romanzo, narrativa</t>
        </is>
      </c>
      <c r="L421" s="14" t="inlineStr">
        <is>
          <t>Catalogo Terre di Mezzo 1° semestre 2026, p. 66 (ISBN 9791259960580)</t>
        </is>
      </c>
      <c r="M421" s="16" t="n">
        <v>14</v>
      </c>
      <c r="N421" s="14" t="inlineStr">
        <is>
          <t>Catalogo Terre di Mezzo 1° semestre 2026</t>
        </is>
      </c>
      <c r="O421" s="16">
        <f>IF(ISNUMBER(M421),ROUND(M421*(1-Condizioni!$B$2),2),"")</f>
        <v/>
      </c>
      <c r="P421" s="17" t="inlineStr">
        <is>
          <t>No</t>
        </is>
      </c>
    </row>
    <row r="422">
      <c r="A422" s="14" t="inlineStr">
        <is>
          <t>Terre di Mezzo</t>
        </is>
      </c>
      <c r="B422" s="14" t="inlineStr">
        <is>
          <t>La porta segreta</t>
        </is>
      </c>
      <c r="C422" s="14" t="inlineStr">
        <is>
          <t>Mac Barnett</t>
        </is>
      </c>
      <c r="D422" s="14" t="inlineStr">
        <is>
          <t>L'Acchiappastorie – I Tascabili</t>
        </is>
      </c>
      <c r="E422" s="14" t="inlineStr">
        <is>
          <t>tascabili</t>
        </is>
      </c>
      <c r="F422" s="14" t="inlineStr">
        <is>
          <t>Scuola media (11-13)</t>
        </is>
      </c>
      <c r="G422" s="14" t="inlineStr">
        <is>
          <t>Narrativa</t>
        </is>
      </c>
      <c r="H422" s="14" t="inlineStr"/>
      <c r="I422" s="14" t="inlineStr">
        <is>
          <t>No</t>
        </is>
      </c>
      <c r="J422" s="14" t="inlineStr">
        <is>
          <t>Collana</t>
        </is>
      </c>
      <c r="K422" s="14" t="inlineStr">
        <is>
          <t>prima/seconda/terza media, narrativa</t>
        </is>
      </c>
      <c r="L422" s="14" t="inlineStr">
        <is>
          <t>Catalogo Terre di Mezzo 1° semestre 2026, p. 75 (ISBN 9791259962119)</t>
        </is>
      </c>
      <c r="M422" s="16" t="n">
        <v>16</v>
      </c>
      <c r="N422" s="14" t="inlineStr">
        <is>
          <t>Catalogo Terre di Mezzo 1° semestre 2026</t>
        </is>
      </c>
      <c r="O422" s="16">
        <f>IF(ISNUMBER(M422),ROUND(M422*(1-Condizioni!$B$2),2),"")</f>
        <v/>
      </c>
      <c r="P422" s="17" t="inlineStr">
        <is>
          <t>No</t>
        </is>
      </c>
    </row>
    <row r="423">
      <c r="A423" s="14" t="inlineStr">
        <is>
          <t>Terre di Mezzo</t>
        </is>
      </c>
      <c r="B423" s="14" t="inlineStr">
        <is>
          <t>La vita segreta di Rebecca Paradise</t>
        </is>
      </c>
      <c r="C423" s="14" t="inlineStr">
        <is>
          <t>Pedro Mañas, Bea Tormo</t>
        </is>
      </c>
      <c r="D423" s="14" t="inlineStr">
        <is>
          <t>L'Acchiappastorie – Giovani lettori</t>
        </is>
      </c>
      <c r="E423" s="14" t="inlineStr">
        <is>
          <t>giovani lettori</t>
        </is>
      </c>
      <c r="F423" s="14" t="inlineStr">
        <is>
          <t>Scuola media (11-13)</t>
        </is>
      </c>
      <c r="G423" s="14" t="inlineStr">
        <is>
          <t>Romanzo</t>
        </is>
      </c>
      <c r="H423" s="14" t="inlineStr"/>
      <c r="I423" s="14" t="inlineStr">
        <is>
          <t>No</t>
        </is>
      </c>
      <c r="J423" s="14" t="inlineStr">
        <is>
          <t>Collana</t>
        </is>
      </c>
      <c r="K423" s="14" t="inlineStr">
        <is>
          <t>prima/seconda/terza media, romanzo, narrativa</t>
        </is>
      </c>
      <c r="L423" s="14" t="inlineStr">
        <is>
          <t>Catalogo Terre di Mezzo 1° semestre 2026, p. 68 (ISBN 9788861897632)</t>
        </is>
      </c>
      <c r="M423" s="16" t="n">
        <v>14</v>
      </c>
      <c r="N423" s="14" t="inlineStr">
        <is>
          <t>Catalogo Terre di Mezzo 1° semestre 2026</t>
        </is>
      </c>
      <c r="O423" s="16">
        <f>IF(ISNUMBER(M423),ROUND(M423*(1-Condizioni!$B$2),2),"")</f>
        <v/>
      </c>
      <c r="P423" s="17" t="inlineStr">
        <is>
          <t>No</t>
        </is>
      </c>
    </row>
    <row r="424">
      <c r="A424" s="14" t="inlineStr">
        <is>
          <t>Terre di Mezzo</t>
        </is>
      </c>
      <c r="B424" s="14" t="inlineStr">
        <is>
          <t>Le stelle secondo Clara</t>
        </is>
      </c>
      <c r="C424" s="14" t="inlineStr">
        <is>
          <t>Rachelle Delaney</t>
        </is>
      </c>
      <c r="D424" s="14" t="inlineStr">
        <is>
          <t>L'Acchiappastorie – Giovani lettori</t>
        </is>
      </c>
      <c r="E424" s="14" t="inlineStr">
        <is>
          <t>giovani lettori</t>
        </is>
      </c>
      <c r="F424" s="14" t="inlineStr">
        <is>
          <t>Scuola media (11-13)</t>
        </is>
      </c>
      <c r="G424" s="14" t="inlineStr">
        <is>
          <t>Romanzo</t>
        </is>
      </c>
      <c r="H424" s="14" t="inlineStr"/>
      <c r="I424" s="14" t="inlineStr">
        <is>
          <t>No</t>
        </is>
      </c>
      <c r="J424" s="14" t="inlineStr">
        <is>
          <t>Collana</t>
        </is>
      </c>
      <c r="K424" s="14" t="inlineStr">
        <is>
          <t>prima/seconda/terza media, romanzo, narrativa</t>
        </is>
      </c>
      <c r="L424" s="14" t="inlineStr">
        <is>
          <t>Catalogo Terre di Mezzo 1° semestre 2026, p. 66 (ISBN 9791259960672)</t>
        </is>
      </c>
      <c r="M424" s="16" t="n">
        <v>14</v>
      </c>
      <c r="N424" s="14" t="inlineStr">
        <is>
          <t>Catalogo Terre di Mezzo 1° semestre 2026</t>
        </is>
      </c>
      <c r="O424" s="16">
        <f>IF(ISNUMBER(M424),ROUND(M424*(1-Condizioni!$B$2),2),"")</f>
        <v/>
      </c>
      <c r="P424" s="17" t="inlineStr">
        <is>
          <t>No</t>
        </is>
      </c>
    </row>
    <row r="425">
      <c r="A425" s="14" t="inlineStr">
        <is>
          <t>Terre di Mezzo</t>
        </is>
      </c>
      <c r="B425" s="14" t="inlineStr">
        <is>
          <t>Lena e il segreto del sottomarino dimenticato</t>
        </is>
      </c>
      <c r="C425" s="14" t="inlineStr">
        <is>
          <t>Sanne Rooseboom</t>
        </is>
      </c>
      <c r="D425" s="14" t="inlineStr">
        <is>
          <t>L'Acchiappastorie – Giovani lettori</t>
        </is>
      </c>
      <c r="E425" s="14" t="inlineStr">
        <is>
          <t>giovani lettori</t>
        </is>
      </c>
      <c r="F425" s="14" t="inlineStr">
        <is>
          <t>Scuola media (11-13)</t>
        </is>
      </c>
      <c r="G425" s="14" t="inlineStr">
        <is>
          <t>Romanzo</t>
        </is>
      </c>
      <c r="H425" s="14" t="inlineStr"/>
      <c r="I425" s="14" t="inlineStr">
        <is>
          <t>No</t>
        </is>
      </c>
      <c r="J425" s="14" t="inlineStr">
        <is>
          <t>Collana</t>
        </is>
      </c>
      <c r="K425" s="14" t="inlineStr">
        <is>
          <t>prima/seconda/terza media, romanzo, narrativa</t>
        </is>
      </c>
      <c r="L425" s="14" t="inlineStr">
        <is>
          <t>Catalogo Terre di Mezzo 1° semestre 2026, p. 65 (ISBN 9791259962690)</t>
        </is>
      </c>
      <c r="M425" s="16" t="n">
        <v>16</v>
      </c>
      <c r="N425" s="14" t="inlineStr">
        <is>
          <t>Catalogo Terre di Mezzo 1° semestre 2026</t>
        </is>
      </c>
      <c r="O425" s="16">
        <f>IF(ISNUMBER(M425),ROUND(M425*(1-Condizioni!$B$2),2),"")</f>
        <v/>
      </c>
      <c r="P425" s="17" t="inlineStr">
        <is>
          <t>No</t>
        </is>
      </c>
    </row>
    <row r="426">
      <c r="A426" s="14" t="inlineStr">
        <is>
          <t>Terre di Mezzo</t>
        </is>
      </c>
      <c r="B426" s="14" t="inlineStr">
        <is>
          <t>L’amore sconosciuto</t>
        </is>
      </c>
      <c r="C426" s="14" t="inlineStr">
        <is>
          <t>Rebecca Stead</t>
        </is>
      </c>
      <c r="D426" s="14" t="inlineStr">
        <is>
          <t>L'Acchiappastorie – I Tascabili</t>
        </is>
      </c>
      <c r="E426" s="14" t="inlineStr">
        <is>
          <t>tascabili</t>
        </is>
      </c>
      <c r="F426" s="14" t="inlineStr">
        <is>
          <t>Scuola media (11-13)</t>
        </is>
      </c>
      <c r="G426" s="14" t="inlineStr">
        <is>
          <t>Narrativa</t>
        </is>
      </c>
      <c r="H426" s="14" t="inlineStr"/>
      <c r="I426" s="14" t="inlineStr">
        <is>
          <t>No</t>
        </is>
      </c>
      <c r="J426" s="14" t="inlineStr">
        <is>
          <t>Collana</t>
        </is>
      </c>
      <c r="K426" s="14" t="inlineStr">
        <is>
          <t>prima/seconda/terza media, narrativa</t>
        </is>
      </c>
      <c r="L426" s="14" t="inlineStr">
        <is>
          <t>Catalogo Terre di Mezzo 1° semestre 2026, p. 71 (ISBN 9791259961570)</t>
        </is>
      </c>
      <c r="M426" s="16" t="n">
        <v>11</v>
      </c>
      <c r="N426" s="14" t="inlineStr">
        <is>
          <t>Catalogo Terre di Mezzo 1° semestre 2026</t>
        </is>
      </c>
      <c r="O426" s="16">
        <f>IF(ISNUMBER(M426),ROUND(M426*(1-Condizioni!$B$2),2),"")</f>
        <v/>
      </c>
      <c r="P426" s="17" t="inlineStr">
        <is>
          <t>No</t>
        </is>
      </c>
    </row>
    <row r="427">
      <c r="A427" s="14" t="inlineStr">
        <is>
          <t>Terre di Mezzo</t>
        </is>
      </c>
      <c r="B427" s="14" t="inlineStr">
        <is>
          <t>L’amore sconosciuto</t>
        </is>
      </c>
      <c r="C427" s="14" t="inlineStr">
        <is>
          <t>Rebecca Stead</t>
        </is>
      </c>
      <c r="D427" s="14" t="inlineStr">
        <is>
          <t>L'Acchiappastorie – I Tascabili</t>
        </is>
      </c>
      <c r="E427" s="14" t="inlineStr">
        <is>
          <t>tascabili</t>
        </is>
      </c>
      <c r="F427" s="14" t="inlineStr">
        <is>
          <t>Scuola media (11-13)</t>
        </is>
      </c>
      <c r="G427" s="14" t="inlineStr">
        <is>
          <t>Narrativa</t>
        </is>
      </c>
      <c r="H427" s="14" t="inlineStr"/>
      <c r="I427" s="14" t="inlineStr">
        <is>
          <t>No</t>
        </is>
      </c>
      <c r="J427" s="14" t="inlineStr">
        <is>
          <t>Collana</t>
        </is>
      </c>
      <c r="K427" s="14" t="inlineStr">
        <is>
          <t>prima/seconda/terza media, narrativa</t>
        </is>
      </c>
      <c r="L427" s="14" t="inlineStr">
        <is>
          <t>Catalogo Terre di Mezzo 1° semestre 2026, p. 71 (ISBN 9788861895171)</t>
        </is>
      </c>
      <c r="M427" s="16" t="n">
        <v>11</v>
      </c>
      <c r="N427" s="14" t="inlineStr">
        <is>
          <t>Catalogo Terre di Mezzo 1° semestre 2026</t>
        </is>
      </c>
      <c r="O427" s="16">
        <f>IF(ISNUMBER(M427),ROUND(M427*(1-Condizioni!$B$2),2),"")</f>
        <v/>
      </c>
      <c r="P427" s="17" t="inlineStr">
        <is>
          <t>No</t>
        </is>
      </c>
    </row>
    <row r="428">
      <c r="A428" s="14" t="inlineStr">
        <is>
          <t>Terre di Mezzo</t>
        </is>
      </c>
      <c r="B428" s="14" t="inlineStr">
        <is>
          <t>L’unica via d’uscita</t>
        </is>
      </c>
      <c r="C428" s="14" t="inlineStr">
        <is>
          <t>Oskar Kroon</t>
        </is>
      </c>
      <c r="D428" s="14" t="inlineStr">
        <is>
          <t>L'Acchiappastorie – Giovani lettori</t>
        </is>
      </c>
      <c r="E428" s="14" t="inlineStr">
        <is>
          <t>giovani lettori</t>
        </is>
      </c>
      <c r="F428" s="14" t="inlineStr">
        <is>
          <t>Scuola media (11-13)</t>
        </is>
      </c>
      <c r="G428" s="14" t="inlineStr">
        <is>
          <t>Romanzo</t>
        </is>
      </c>
      <c r="H428" s="14" t="inlineStr"/>
      <c r="I428" s="14" t="inlineStr">
        <is>
          <t>No</t>
        </is>
      </c>
      <c r="J428" s="14" t="inlineStr">
        <is>
          <t>Collana</t>
        </is>
      </c>
      <c r="K428" s="14" t="inlineStr">
        <is>
          <t>prima/seconda/terza media, romanzo, narrativa</t>
        </is>
      </c>
      <c r="L428" s="14" t="inlineStr">
        <is>
          <t>Catalogo Terre di Mezzo 1° semestre 2026, p. 65 (ISBN 9791259962409)</t>
        </is>
      </c>
      <c r="M428" s="16" t="n">
        <v>14</v>
      </c>
      <c r="N428" s="14" t="inlineStr">
        <is>
          <t>Catalogo Terre di Mezzo 1° semestre 2026</t>
        </is>
      </c>
      <c r="O428" s="16">
        <f>IF(ISNUMBER(M428),ROUND(M428*(1-Condizioni!$B$2),2),"")</f>
        <v/>
      </c>
      <c r="P428" s="17" t="inlineStr">
        <is>
          <t>No</t>
        </is>
      </c>
    </row>
    <row r="429">
      <c r="A429" s="14" t="inlineStr">
        <is>
          <t>Terre di Mezzo</t>
        </is>
      </c>
      <c r="B429" s="14" t="inlineStr">
        <is>
          <t>Mitica Astrid</t>
        </is>
      </c>
      <c r="C429" s="14" t="inlineStr">
        <is>
          <t>Fabrice Parme</t>
        </is>
      </c>
      <c r="D429" s="14" t="inlineStr">
        <is>
          <t>L'Acchiappastorie – I Tascabili</t>
        </is>
      </c>
      <c r="E429" s="14" t="inlineStr">
        <is>
          <t>tascabili</t>
        </is>
      </c>
      <c r="F429" s="14" t="inlineStr">
        <is>
          <t>Scuola media (11-13)</t>
        </is>
      </c>
      <c r="G429" s="14" t="inlineStr">
        <is>
          <t>Narrativa</t>
        </is>
      </c>
      <c r="H429" s="14" t="inlineStr"/>
      <c r="I429" s="14" t="inlineStr">
        <is>
          <t>No</t>
        </is>
      </c>
      <c r="J429" s="14" t="inlineStr">
        <is>
          <t>Collana</t>
        </is>
      </c>
      <c r="K429" s="14" t="inlineStr">
        <is>
          <t>prima/seconda/terza media, narrativa</t>
        </is>
      </c>
      <c r="L429" s="14" t="inlineStr">
        <is>
          <t>Catalogo Terre di Mezzo 1° semestre 2026, p. 74 (ISBN 9791259962034)</t>
        </is>
      </c>
      <c r="M429" s="16" t="n">
        <v>14</v>
      </c>
      <c r="N429" s="14" t="inlineStr">
        <is>
          <t>Catalogo Terre di Mezzo 1° semestre 2026</t>
        </is>
      </c>
      <c r="O429" s="16">
        <f>IF(ISNUMBER(M429),ROUND(M429*(1-Condizioni!$B$2),2),"")</f>
        <v/>
      </c>
      <c r="P429" s="17" t="inlineStr">
        <is>
          <t>No</t>
        </is>
      </c>
    </row>
    <row r="430">
      <c r="A430" s="14" t="inlineStr">
        <is>
          <t>Terre di Mezzo</t>
        </is>
      </c>
      <c r="B430" s="14" t="inlineStr">
        <is>
          <t>Mitica Astrid</t>
        </is>
      </c>
      <c r="C430" s="14" t="inlineStr">
        <is>
          <t>Fabrice Parme</t>
        </is>
      </c>
      <c r="D430" s="14" t="inlineStr">
        <is>
          <t>L'Acchiappastorie – I Tascabili</t>
        </is>
      </c>
      <c r="E430" s="14" t="inlineStr">
        <is>
          <t>tascabili</t>
        </is>
      </c>
      <c r="F430" s="14" t="inlineStr">
        <is>
          <t>Scuola media (11-13)</t>
        </is>
      </c>
      <c r="G430" s="14" t="inlineStr">
        <is>
          <t>Narrativa</t>
        </is>
      </c>
      <c r="H430" s="14" t="inlineStr"/>
      <c r="I430" s="14" t="inlineStr">
        <is>
          <t>No</t>
        </is>
      </c>
      <c r="J430" s="14" t="inlineStr">
        <is>
          <t>Collana</t>
        </is>
      </c>
      <c r="K430" s="14" t="inlineStr">
        <is>
          <t>prima/seconda/terza media, narrativa</t>
        </is>
      </c>
      <c r="L430" s="14" t="inlineStr">
        <is>
          <t>Catalogo Terre di Mezzo 1° semestre 2026, p. 74 (ISBN 9791259962041)</t>
        </is>
      </c>
      <c r="M430" s="16" t="n">
        <v>14</v>
      </c>
      <c r="N430" s="14" t="inlineStr">
        <is>
          <t>Catalogo Terre di Mezzo 1° semestre 2026</t>
        </is>
      </c>
      <c r="O430" s="16">
        <f>IF(ISNUMBER(M430),ROUND(M430*(1-Condizioni!$B$2),2),"")</f>
        <v/>
      </c>
      <c r="P430" s="17" t="inlineStr">
        <is>
          <t>No</t>
        </is>
      </c>
    </row>
    <row r="431">
      <c r="A431" s="14" t="inlineStr">
        <is>
          <t>Terre di Mezzo</t>
        </is>
      </c>
      <c r="B431" s="14" t="inlineStr">
        <is>
          <t>Niente paura little wood!</t>
        </is>
      </c>
      <c r="C431" s="14" t="inlineStr">
        <is>
          <t>Jason Reynolds</t>
        </is>
      </c>
      <c r="D431" s="14" t="inlineStr">
        <is>
          <t>L'Acchiappastorie – I Tascabili</t>
        </is>
      </c>
      <c r="E431" s="14" t="inlineStr">
        <is>
          <t>tascabili</t>
        </is>
      </c>
      <c r="F431" s="14" t="inlineStr">
        <is>
          <t>Scuola media (11-13)</t>
        </is>
      </c>
      <c r="G431" s="14" t="inlineStr">
        <is>
          <t>Narrativa</t>
        </is>
      </c>
      <c r="H431" s="14" t="inlineStr"/>
      <c r="I431" s="14" t="inlineStr">
        <is>
          <t>No</t>
        </is>
      </c>
      <c r="J431" s="14" t="inlineStr">
        <is>
          <t>Collana</t>
        </is>
      </c>
      <c r="K431" s="14" t="inlineStr">
        <is>
          <t>prima/seconda/terza media, narrativa</t>
        </is>
      </c>
      <c r="L431" s="14" t="inlineStr">
        <is>
          <t>Catalogo Terre di Mezzo 1° semestre 2026, p. 72 (ISBN 9791259961587)</t>
        </is>
      </c>
      <c r="M431" s="16" t="n">
        <v>11</v>
      </c>
      <c r="N431" s="14" t="inlineStr">
        <is>
          <t>Catalogo Terre di Mezzo 1° semestre 2026</t>
        </is>
      </c>
      <c r="O431" s="16">
        <f>IF(ISNUMBER(M431),ROUND(M431*(1-Condizioni!$B$2),2),"")</f>
        <v/>
      </c>
      <c r="P431" s="17" t="inlineStr">
        <is>
          <t>No</t>
        </is>
      </c>
    </row>
    <row r="432">
      <c r="A432" s="14" t="inlineStr">
        <is>
          <t>Terre di Mezzo</t>
        </is>
      </c>
      <c r="B432" s="14" t="inlineStr">
        <is>
          <t>Niente paura little wood!</t>
        </is>
      </c>
      <c r="C432" s="14" t="inlineStr">
        <is>
          <t>Jason Reynolds</t>
        </is>
      </c>
      <c r="D432" s="14" t="inlineStr">
        <is>
          <t>L'Acchiappastorie – I Tascabili</t>
        </is>
      </c>
      <c r="E432" s="14" t="inlineStr">
        <is>
          <t>tascabili</t>
        </is>
      </c>
      <c r="F432" s="14" t="inlineStr">
        <is>
          <t>Scuola media (11-13)</t>
        </is>
      </c>
      <c r="G432" s="14" t="inlineStr">
        <is>
          <t>Narrativa</t>
        </is>
      </c>
      <c r="H432" s="14" t="inlineStr"/>
      <c r="I432" s="14" t="inlineStr">
        <is>
          <t>No</t>
        </is>
      </c>
      <c r="J432" s="14" t="inlineStr">
        <is>
          <t>Collana</t>
        </is>
      </c>
      <c r="K432" s="14" t="inlineStr">
        <is>
          <t>prima/seconda/terza media, narrativa</t>
        </is>
      </c>
      <c r="L432" s="14" t="inlineStr">
        <is>
          <t>Catalogo Terre di Mezzo 1° semestre 2026, p. 72 (ISBN 9788861894655)</t>
        </is>
      </c>
      <c r="M432" s="16" t="n">
        <v>11</v>
      </c>
      <c r="N432" s="14" t="inlineStr">
        <is>
          <t>Catalogo Terre di Mezzo 1° semestre 2026</t>
        </is>
      </c>
      <c r="O432" s="16">
        <f>IF(ISNUMBER(M432),ROUND(M432*(1-Condizioni!$B$2),2),"")</f>
        <v/>
      </c>
      <c r="P432" s="17" t="inlineStr">
        <is>
          <t>No</t>
        </is>
      </c>
    </row>
    <row r="433">
      <c r="A433" s="14" t="inlineStr">
        <is>
          <t>Terre di Mezzo</t>
        </is>
      </c>
      <c r="B433" s="14" t="inlineStr">
        <is>
          <t>Olga e la creatura senza nome</t>
        </is>
      </c>
      <c r="C433" s="14" t="inlineStr">
        <is>
          <t>Elise Gravel</t>
        </is>
      </c>
      <c r="D433" s="14" t="inlineStr">
        <is>
          <t>L'Acchiappastorie – Giovani lettori</t>
        </is>
      </c>
      <c r="E433" s="14" t="inlineStr">
        <is>
          <t>giovani lettori</t>
        </is>
      </c>
      <c r="F433" s="14" t="inlineStr">
        <is>
          <t>Scuola media (11-13)</t>
        </is>
      </c>
      <c r="G433" s="14" t="inlineStr">
        <is>
          <t>Romanzo</t>
        </is>
      </c>
      <c r="H433" s="14" t="inlineStr"/>
      <c r="I433" s="14" t="inlineStr">
        <is>
          <t>No</t>
        </is>
      </c>
      <c r="J433" s="14" t="inlineStr">
        <is>
          <t>Collana</t>
        </is>
      </c>
      <c r="K433" s="14" t="inlineStr">
        <is>
          <t>prima/seconda/terza media, romanzo, narrativa</t>
        </is>
      </c>
      <c r="L433" s="14" t="inlineStr">
        <is>
          <t>Catalogo Terre di Mezzo 1° semestre 2026, p. 70 (ISBN 9788861895195)</t>
        </is>
      </c>
      <c r="M433" s="16" t="n">
        <v>14</v>
      </c>
      <c r="N433" s="14" t="inlineStr">
        <is>
          <t>Catalogo Terre di Mezzo 1° semestre 2026</t>
        </is>
      </c>
      <c r="O433" s="16">
        <f>IF(ISNUMBER(M433),ROUND(M433*(1-Condizioni!$B$2),2),"")</f>
        <v/>
      </c>
      <c r="P433" s="17" t="inlineStr">
        <is>
          <t>No</t>
        </is>
      </c>
    </row>
    <row r="434">
      <c r="A434" s="14" t="inlineStr">
        <is>
          <t>Terre di Mezzo</t>
        </is>
      </c>
      <c r="B434" s="14" t="inlineStr">
        <is>
          <t>Olga va in orbita! (forse)</t>
        </is>
      </c>
      <c r="C434" s="14" t="inlineStr">
        <is>
          <t>Elise Gravel</t>
        </is>
      </c>
      <c r="D434" s="14" t="inlineStr">
        <is>
          <t>L'Acchiappastorie – Giovani lettori</t>
        </is>
      </c>
      <c r="E434" s="14" t="inlineStr">
        <is>
          <t>giovani lettori</t>
        </is>
      </c>
      <c r="F434" s="14" t="inlineStr">
        <is>
          <t>Scuola media (11-13)</t>
        </is>
      </c>
      <c r="G434" s="14" t="inlineStr">
        <is>
          <t>Romanzo</t>
        </is>
      </c>
      <c r="H434" s="14" t="inlineStr"/>
      <c r="I434" s="14" t="inlineStr">
        <is>
          <t>No</t>
        </is>
      </c>
      <c r="J434" s="14" t="inlineStr">
        <is>
          <t>Collana</t>
        </is>
      </c>
      <c r="K434" s="14" t="inlineStr">
        <is>
          <t>prima/seconda/terza media, romanzo, narrativa</t>
        </is>
      </c>
      <c r="L434" s="14" t="inlineStr">
        <is>
          <t>Catalogo Terre di Mezzo 1° semestre 2026, p. 70 (ISBN 9788861896079)</t>
        </is>
      </c>
      <c r="M434" s="16" t="n">
        <v>14</v>
      </c>
      <c r="N434" s="14" t="inlineStr">
        <is>
          <t>Catalogo Terre di Mezzo 1° semestre 2026</t>
        </is>
      </c>
      <c r="O434" s="16">
        <f>IF(ISNUMBER(M434),ROUND(M434*(1-Condizioni!$B$2),2),"")</f>
        <v/>
      </c>
      <c r="P434" s="17" t="inlineStr">
        <is>
          <t>No</t>
        </is>
      </c>
    </row>
    <row r="435">
      <c r="A435" s="14" t="inlineStr">
        <is>
          <t>Terre di Mezzo</t>
        </is>
      </c>
      <c r="B435" s="14" t="inlineStr">
        <is>
          <t>Olga. cuccioli fuori controllo!</t>
        </is>
      </c>
      <c r="C435" s="14" t="inlineStr">
        <is>
          <t>Elise Gravel</t>
        </is>
      </c>
      <c r="D435" s="14" t="inlineStr">
        <is>
          <t>L'Acchiappastorie – Giovani lettori</t>
        </is>
      </c>
      <c r="E435" s="14" t="inlineStr">
        <is>
          <t>giovani lettori</t>
        </is>
      </c>
      <c r="F435" s="14" t="inlineStr">
        <is>
          <t>Scuola media (11-13)</t>
        </is>
      </c>
      <c r="G435" s="14" t="inlineStr">
        <is>
          <t>Romanzo</t>
        </is>
      </c>
      <c r="H435" s="14" t="inlineStr"/>
      <c r="I435" s="14" t="inlineStr">
        <is>
          <t>No</t>
        </is>
      </c>
      <c r="J435" s="14" t="inlineStr">
        <is>
          <t>Collana</t>
        </is>
      </c>
      <c r="K435" s="14" t="inlineStr">
        <is>
          <t>prima/seconda/terza media, romanzo, narrativa</t>
        </is>
      </c>
      <c r="L435" s="14" t="inlineStr">
        <is>
          <t>Catalogo Terre di Mezzo 1° semestre 2026, p. 70 (ISBN 9788861896727)</t>
        </is>
      </c>
      <c r="M435" s="16" t="n">
        <v>14</v>
      </c>
      <c r="N435" s="14" t="inlineStr">
        <is>
          <t>Catalogo Terre di Mezzo 1° semestre 2026</t>
        </is>
      </c>
      <c r="O435" s="16">
        <f>IF(ISNUMBER(M435),ROUND(M435*(1-Condizioni!$B$2),2),"")</f>
        <v/>
      </c>
      <c r="P435" s="17" t="inlineStr">
        <is>
          <t>No</t>
        </is>
      </c>
    </row>
    <row r="436">
      <c r="A436" s="14" t="inlineStr">
        <is>
          <t>Terre di Mezzo</t>
        </is>
      </c>
      <c r="B436" s="14" t="inlineStr">
        <is>
          <t>Olivia e il grido della foresta</t>
        </is>
      </c>
      <c r="C436" s="14" t="inlineStr">
        <is>
          <t>Laure Monloubou</t>
        </is>
      </c>
      <c r="D436" s="14" t="inlineStr">
        <is>
          <t>L'Acchiappastorie – Giovani lettori</t>
        </is>
      </c>
      <c r="E436" s="14" t="inlineStr">
        <is>
          <t>giovani lettori</t>
        </is>
      </c>
      <c r="F436" s="14" t="inlineStr">
        <is>
          <t>Scuola media (11-13)</t>
        </is>
      </c>
      <c r="G436" s="14" t="inlineStr">
        <is>
          <t>Romanzo</t>
        </is>
      </c>
      <c r="H436" s="14" t="inlineStr"/>
      <c r="I436" s="14" t="inlineStr">
        <is>
          <t>No</t>
        </is>
      </c>
      <c r="J436" s="14" t="inlineStr">
        <is>
          <t>Collana</t>
        </is>
      </c>
      <c r="K436" s="14" t="inlineStr">
        <is>
          <t>prima/seconda/terza media, romanzo, narrativa</t>
        </is>
      </c>
      <c r="L436" s="14" t="inlineStr">
        <is>
          <t>Catalogo Terre di Mezzo 1° semestre 2026, p. 70 (ISBN 9791259960450)</t>
        </is>
      </c>
      <c r="M436" s="16" t="n">
        <v>12.9</v>
      </c>
      <c r="N436" s="14" t="inlineStr">
        <is>
          <t>Catalogo Terre di Mezzo 1° semestre 2026</t>
        </is>
      </c>
      <c r="O436" s="16">
        <f>IF(ISNUMBER(M436),ROUND(M436*(1-Condizioni!$B$2),2),"")</f>
        <v/>
      </c>
      <c r="P436" s="17" t="inlineStr">
        <is>
          <t>No</t>
        </is>
      </c>
    </row>
    <row r="437">
      <c r="A437" s="14" t="inlineStr">
        <is>
          <t>Terre di Mezzo</t>
        </is>
      </c>
      <c r="B437" s="14" t="inlineStr">
        <is>
          <t>Prendimi se cado</t>
        </is>
      </c>
      <c r="C437" s="14" t="inlineStr">
        <is>
          <t>Barry Jonsberg</t>
        </is>
      </c>
      <c r="D437" s="14" t="inlineStr">
        <is>
          <t>L'Acchiappastorie – Giovani lettori</t>
        </is>
      </c>
      <c r="E437" s="14" t="inlineStr">
        <is>
          <t>giovani lettori</t>
        </is>
      </c>
      <c r="F437" s="14" t="inlineStr">
        <is>
          <t>Scuola media (11-13)</t>
        </is>
      </c>
      <c r="G437" s="14" t="inlineStr">
        <is>
          <t>Romanzo</t>
        </is>
      </c>
      <c r="H437" s="14" t="inlineStr"/>
      <c r="I437" s="14" t="inlineStr">
        <is>
          <t>No</t>
        </is>
      </c>
      <c r="J437" s="14" t="inlineStr">
        <is>
          <t>Collana</t>
        </is>
      </c>
      <c r="K437" s="14" t="inlineStr">
        <is>
          <t>prima/seconda/terza media, romanzo, narrativa</t>
        </is>
      </c>
      <c r="L437" s="14" t="inlineStr">
        <is>
          <t>Catalogo Terre di Mezzo 1° semestre 2026, p. 65 (ISBN 9791259962331)</t>
        </is>
      </c>
      <c r="M437" s="16" t="n">
        <v>16</v>
      </c>
      <c r="N437" s="14" t="inlineStr">
        <is>
          <t>Catalogo Terre di Mezzo 1° semestre 2026</t>
        </is>
      </c>
      <c r="O437" s="16">
        <f>IF(ISNUMBER(M437),ROUND(M437*(1-Condizioni!$B$2),2),"")</f>
        <v/>
      </c>
      <c r="P437" s="17" t="inlineStr">
        <is>
          <t>No</t>
        </is>
      </c>
    </row>
    <row r="438">
      <c r="A438" s="14" t="inlineStr">
        <is>
          <t>Terre di Mezzo</t>
        </is>
      </c>
      <c r="B438" s="14" t="inlineStr">
        <is>
          <t>Provaci ancora, Selma!</t>
        </is>
      </c>
      <c r="C438" s="14" t="inlineStr">
        <is>
          <t>Kjersti Synneva Moen</t>
        </is>
      </c>
      <c r="D438" s="14" t="inlineStr">
        <is>
          <t>L'Acchiappastorie – I Tascabili</t>
        </is>
      </c>
      <c r="E438" s="14" t="inlineStr">
        <is>
          <t>tascabili</t>
        </is>
      </c>
      <c r="F438" s="14" t="inlineStr">
        <is>
          <t>Scuola media (11-13)</t>
        </is>
      </c>
      <c r="G438" s="14" t="inlineStr">
        <is>
          <t>Narrativa</t>
        </is>
      </c>
      <c r="H438" s="14" t="inlineStr"/>
      <c r="I438" s="14" t="inlineStr">
        <is>
          <t>No</t>
        </is>
      </c>
      <c r="J438" s="14" t="inlineStr">
        <is>
          <t>Collana</t>
        </is>
      </c>
      <c r="K438" s="14" t="inlineStr">
        <is>
          <t>prima/seconda/terza media, narrativa</t>
        </is>
      </c>
      <c r="L438" s="14" t="inlineStr">
        <is>
          <t>Catalogo Terre di Mezzo 1° semestre 2026, p. 73 (ISBN 9791259964403)</t>
        </is>
      </c>
      <c r="M438" s="16" t="n">
        <v>18</v>
      </c>
      <c r="N438" s="14" t="inlineStr">
        <is>
          <t>Catalogo Terre di Mezzo 1° semestre 2026</t>
        </is>
      </c>
      <c r="O438" s="16">
        <f>IF(ISNUMBER(M438),ROUND(M438*(1-Condizioni!$B$2),2),"")</f>
        <v/>
      </c>
      <c r="P438" s="17" t="inlineStr">
        <is>
          <t>Sì</t>
        </is>
      </c>
    </row>
    <row r="439">
      <c r="A439" s="14" t="inlineStr">
        <is>
          <t>Terre di Mezzo</t>
        </is>
      </c>
      <c r="B439" s="14" t="inlineStr">
        <is>
          <t>Se incontri una strega a mezzanotte</t>
        </is>
      </c>
      <c r="C439" s="14" t="inlineStr">
        <is>
          <t>Pascal Ruter</t>
        </is>
      </c>
      <c r="D439" s="14" t="inlineStr">
        <is>
          <t>L'Acchiappastorie – Giovani lettori</t>
        </is>
      </c>
      <c r="E439" s="14" t="inlineStr">
        <is>
          <t>giovani lettori</t>
        </is>
      </c>
      <c r="F439" s="14" t="inlineStr">
        <is>
          <t>Scuola media (11-13)</t>
        </is>
      </c>
      <c r="G439" s="14" t="inlineStr">
        <is>
          <t>Romanzo</t>
        </is>
      </c>
      <c r="H439" s="14" t="inlineStr"/>
      <c r="I439" s="14" t="inlineStr">
        <is>
          <t>No</t>
        </is>
      </c>
      <c r="J439" s="14" t="inlineStr">
        <is>
          <t>Collana</t>
        </is>
      </c>
      <c r="K439" s="14" t="inlineStr">
        <is>
          <t>prima/seconda/terza media, romanzo, narrativa</t>
        </is>
      </c>
      <c r="L439" s="14" t="inlineStr">
        <is>
          <t>Catalogo Terre di Mezzo 1° semestre 2026, p. 67 (ISBN 9791259961488)</t>
        </is>
      </c>
      <c r="M439" s="16" t="n">
        <v>14</v>
      </c>
      <c r="N439" s="14" t="inlineStr">
        <is>
          <t>Catalogo Terre di Mezzo 1° semestre 2026</t>
        </is>
      </c>
      <c r="O439" s="16">
        <f>IF(ISNUMBER(M439),ROUND(M439*(1-Condizioni!$B$2),2),"")</f>
        <v/>
      </c>
      <c r="P439" s="17" t="inlineStr">
        <is>
          <t>No</t>
        </is>
      </c>
    </row>
    <row r="440">
      <c r="A440" s="14" t="inlineStr">
        <is>
          <t>Terre di Mezzo</t>
        </is>
      </c>
      <c r="B440" s="14" t="inlineStr">
        <is>
          <t>Si pregano i signori fantasmi di non urlare</t>
        </is>
      </c>
      <c r="C440" s="14" t="inlineStr">
        <is>
          <t>Angelo Mozzillo, Marianna Balducci</t>
        </is>
      </c>
      <c r="D440" s="14" t="inlineStr">
        <is>
          <t>L'Acchiappastorie – Giovani lettori</t>
        </is>
      </c>
      <c r="E440" s="14" t="inlineStr">
        <is>
          <t>giovani lettori</t>
        </is>
      </c>
      <c r="F440" s="14" t="inlineStr">
        <is>
          <t>Scuola media (11-13)</t>
        </is>
      </c>
      <c r="G440" s="14" t="inlineStr">
        <is>
          <t>Romanzo</t>
        </is>
      </c>
      <c r="H440" s="14" t="inlineStr"/>
      <c r="I440" s="14" t="inlineStr">
        <is>
          <t>No</t>
        </is>
      </c>
      <c r="J440" s="14" t="inlineStr">
        <is>
          <t>Collana</t>
        </is>
      </c>
      <c r="K440" s="14" t="inlineStr">
        <is>
          <t>prima/seconda/terza media, romanzo, narrativa</t>
        </is>
      </c>
      <c r="L440" s="14" t="inlineStr">
        <is>
          <t>Catalogo Terre di Mezzo 1° semestre 2026, p. 64 (ISBN 9791259963451)</t>
        </is>
      </c>
      <c r="M440" s="16" t="n">
        <v>15</v>
      </c>
      <c r="N440" s="14" t="inlineStr">
        <is>
          <t>Catalogo Terre di Mezzo 1° semestre 2026</t>
        </is>
      </c>
      <c r="O440" s="16">
        <f>IF(ISNUMBER(M440),ROUND(M440*(1-Condizioni!$B$2),2),"")</f>
        <v/>
      </c>
      <c r="P440" s="17" t="inlineStr">
        <is>
          <t>No</t>
        </is>
      </c>
    </row>
    <row r="441">
      <c r="A441" s="14" t="inlineStr">
        <is>
          <t>Terre di Mezzo</t>
        </is>
      </c>
      <c r="B441" s="14" t="inlineStr">
        <is>
          <t>Si pregano i signori fantasmi di non urlare</t>
        </is>
      </c>
      <c r="C441" s="14" t="inlineStr">
        <is>
          <t>Angelo Mozzillo, Marianna Balducci</t>
        </is>
      </c>
      <c r="D441" s="14" t="inlineStr">
        <is>
          <t>L'Acchiappastorie – Giovani lettori</t>
        </is>
      </c>
      <c r="E441" s="14" t="inlineStr">
        <is>
          <t>giovani lettori</t>
        </is>
      </c>
      <c r="F441" s="14" t="inlineStr">
        <is>
          <t>Scuola media (11-13)</t>
        </is>
      </c>
      <c r="G441" s="14" t="inlineStr">
        <is>
          <t>Romanzo</t>
        </is>
      </c>
      <c r="H441" s="14" t="inlineStr"/>
      <c r="I441" s="14" t="inlineStr">
        <is>
          <t>No</t>
        </is>
      </c>
      <c r="J441" s="14" t="inlineStr">
        <is>
          <t>Collana</t>
        </is>
      </c>
      <c r="K441" s="14" t="inlineStr">
        <is>
          <t>prima/seconda/terza media, romanzo, narrativa</t>
        </is>
      </c>
      <c r="L441" s="14" t="inlineStr">
        <is>
          <t>Catalogo Terre di Mezzo 1° semestre 2026, p. 64 (ISBN 9791259963529)</t>
        </is>
      </c>
      <c r="M441" s="16" t="n">
        <v>15</v>
      </c>
      <c r="N441" s="14" t="inlineStr">
        <is>
          <t>Catalogo Terre di Mezzo 1° semestre 2026</t>
        </is>
      </c>
      <c r="O441" s="16">
        <f>IF(ISNUMBER(M441),ROUND(M441*(1-Condizioni!$B$2),2),"")</f>
        <v/>
      </c>
      <c r="P441" s="17" t="inlineStr">
        <is>
          <t>No</t>
        </is>
      </c>
    </row>
    <row r="442">
      <c r="A442" s="14" t="inlineStr">
        <is>
          <t>Terre di Mezzo</t>
        </is>
      </c>
      <c r="B442" s="14" t="inlineStr">
        <is>
          <t>Si pregano i signori fantasmi di non urlare</t>
        </is>
      </c>
      <c r="C442" s="14" t="inlineStr">
        <is>
          <t>Angelo Mozzillo, Marianna Balducci</t>
        </is>
      </c>
      <c r="D442" s="14" t="inlineStr">
        <is>
          <t>L'Acchiappastorie – Giovani lettori</t>
        </is>
      </c>
      <c r="E442" s="14" t="inlineStr">
        <is>
          <t>giovani lettori</t>
        </is>
      </c>
      <c r="F442" s="14" t="inlineStr">
        <is>
          <t>Scuola media (11-13)</t>
        </is>
      </c>
      <c r="G442" s="14" t="inlineStr">
        <is>
          <t>Romanzo</t>
        </is>
      </c>
      <c r="H442" s="14" t="inlineStr"/>
      <c r="I442" s="14" t="inlineStr">
        <is>
          <t>No</t>
        </is>
      </c>
      <c r="J442" s="14" t="inlineStr">
        <is>
          <t>Collana</t>
        </is>
      </c>
      <c r="K442" s="14" t="inlineStr">
        <is>
          <t>prima/seconda/terza media, romanzo, narrativa</t>
        </is>
      </c>
      <c r="L442" s="14" t="inlineStr">
        <is>
          <t>Catalogo Terre di Mezzo 1° semestre 2026, p. 64 (ISBN 9791259961921)</t>
        </is>
      </c>
      <c r="M442" s="16" t="n">
        <v>15</v>
      </c>
      <c r="N442" s="14" t="inlineStr">
        <is>
          <t>Catalogo Terre di Mezzo 1° semestre 2026</t>
        </is>
      </c>
      <c r="O442" s="16">
        <f>IF(ISNUMBER(M442),ROUND(M442*(1-Condizioni!$B$2),2),"")</f>
        <v/>
      </c>
      <c r="P442" s="17" t="inlineStr">
        <is>
          <t>No</t>
        </is>
      </c>
    </row>
    <row r="443">
      <c r="A443" s="14" t="inlineStr">
        <is>
          <t>Terre di Mezzo</t>
        </is>
      </c>
      <c r="B443" s="14" t="inlineStr">
        <is>
          <t>Si pregano i signori fantasmi di non urlare</t>
        </is>
      </c>
      <c r="C443" s="14" t="inlineStr">
        <is>
          <t>Angelo Mozzillo, Marianna Balducci</t>
        </is>
      </c>
      <c r="D443" s="14" t="inlineStr">
        <is>
          <t>L'Acchiappastorie – Giovani lettori</t>
        </is>
      </c>
      <c r="E443" s="14" t="inlineStr">
        <is>
          <t>giovani lettori</t>
        </is>
      </c>
      <c r="F443" s="14" t="inlineStr">
        <is>
          <t>Scuola media (11-13)</t>
        </is>
      </c>
      <c r="G443" s="14" t="inlineStr">
        <is>
          <t>Romanzo</t>
        </is>
      </c>
      <c r="H443" s="14" t="inlineStr"/>
      <c r="I443" s="14" t="inlineStr">
        <is>
          <t>No</t>
        </is>
      </c>
      <c r="J443" s="14" t="inlineStr">
        <is>
          <t>Collana</t>
        </is>
      </c>
      <c r="K443" s="14" t="inlineStr">
        <is>
          <t>prima/seconda/terza media, romanzo, narrativa</t>
        </is>
      </c>
      <c r="L443" s="14" t="inlineStr">
        <is>
          <t>Catalogo Terre di Mezzo 1° semestre 2026, p. 64 (ISBN 9791259961914)</t>
        </is>
      </c>
      <c r="M443" s="16" t="n">
        <v>15</v>
      </c>
      <c r="N443" s="14" t="inlineStr">
        <is>
          <t>Catalogo Terre di Mezzo 1° semestre 2026</t>
        </is>
      </c>
      <c r="O443" s="16">
        <f>IF(ISNUMBER(M443),ROUND(M443*(1-Condizioni!$B$2),2),"")</f>
        <v/>
      </c>
      <c r="P443" s="17" t="inlineStr">
        <is>
          <t>No</t>
        </is>
      </c>
    </row>
    <row r="444">
      <c r="A444" s="14" t="inlineStr">
        <is>
          <t>Terre di Mezzo</t>
        </is>
      </c>
      <c r="B444" s="14" t="inlineStr">
        <is>
          <t>Sotto la stessa luna</t>
        </is>
      </c>
      <c r="C444" s="14" t="inlineStr">
        <is>
          <t>Lara Schützsack</t>
        </is>
      </c>
      <c r="D444" s="14" t="inlineStr">
        <is>
          <t>L'Acchiappastorie – Giovani lettori</t>
        </is>
      </c>
      <c r="E444" s="14" t="inlineStr">
        <is>
          <t>giovani lettori</t>
        </is>
      </c>
      <c r="F444" s="14" t="inlineStr">
        <is>
          <t>Scuola media (11-13)</t>
        </is>
      </c>
      <c r="G444" s="14" t="inlineStr">
        <is>
          <t>Romanzo</t>
        </is>
      </c>
      <c r="H444" s="14" t="inlineStr"/>
      <c r="I444" s="14" t="inlineStr">
        <is>
          <t>No</t>
        </is>
      </c>
      <c r="J444" s="14" t="inlineStr">
        <is>
          <t>Collana</t>
        </is>
      </c>
      <c r="K444" s="14" t="inlineStr">
        <is>
          <t>prima/seconda/terza media, romanzo, narrativa</t>
        </is>
      </c>
      <c r="L444" s="14" t="inlineStr">
        <is>
          <t>Catalogo Terre di Mezzo 1° semestre 2026, p. 67 (ISBN 9791259961891)</t>
        </is>
      </c>
      <c r="M444" s="16" t="n">
        <v>14</v>
      </c>
      <c r="N444" s="14" t="inlineStr">
        <is>
          <t>Catalogo Terre di Mezzo 1° semestre 2026</t>
        </is>
      </c>
      <c r="O444" s="16">
        <f>IF(ISNUMBER(M444),ROUND(M444*(1-Condizioni!$B$2),2),"")</f>
        <v/>
      </c>
      <c r="P444" s="17" t="inlineStr">
        <is>
          <t>Sì</t>
        </is>
      </c>
    </row>
    <row r="445">
      <c r="A445" s="14" t="inlineStr">
        <is>
          <t>Terre di Mezzo</t>
        </is>
      </c>
      <c r="B445" s="14" t="inlineStr">
        <is>
          <t>Sulla porta del mondo</t>
        </is>
      </c>
      <c r="C445" s="14" t="inlineStr">
        <is>
          <t>Luigi Dal Cin, Cristiano Lissoni</t>
        </is>
      </c>
      <c r="D445" s="14" t="inlineStr">
        <is>
          <t>L'Acchiappastorie – Giovani lettori</t>
        </is>
      </c>
      <c r="E445" s="14" t="inlineStr">
        <is>
          <t>giovani lettori</t>
        </is>
      </c>
      <c r="F445" s="14" t="inlineStr">
        <is>
          <t>Scuola media (11-13)</t>
        </is>
      </c>
      <c r="G445" s="14" t="inlineStr">
        <is>
          <t>Romanzo</t>
        </is>
      </c>
      <c r="H445" s="14" t="inlineStr"/>
      <c r="I445" s="14" t="inlineStr">
        <is>
          <t>No</t>
        </is>
      </c>
      <c r="J445" s="14" t="inlineStr">
        <is>
          <t>Collana</t>
        </is>
      </c>
      <c r="K445" s="14" t="inlineStr">
        <is>
          <t>prima/seconda/terza media, romanzo, narrativa</t>
        </is>
      </c>
      <c r="L445" s="14" t="inlineStr">
        <is>
          <t>Catalogo Terre di Mezzo 1° semestre 2026, p. 65 (ISBN 9791259962256)</t>
        </is>
      </c>
      <c r="M445" s="16" t="n">
        <v>15</v>
      </c>
      <c r="N445" s="14" t="inlineStr">
        <is>
          <t>Catalogo Terre di Mezzo 1° semestre 2026</t>
        </is>
      </c>
      <c r="O445" s="16">
        <f>IF(ISNUMBER(M445),ROUND(M445*(1-Condizioni!$B$2),2),"")</f>
        <v/>
      </c>
      <c r="P445" s="17" t="inlineStr">
        <is>
          <t>Sì</t>
        </is>
      </c>
    </row>
    <row r="446">
      <c r="A446" s="14" t="inlineStr">
        <is>
          <t>Terre di Mezzo</t>
        </is>
      </c>
      <c r="B446" s="14" t="inlineStr">
        <is>
          <t>Theo &amp; Teseo nel labirinto</t>
        </is>
      </c>
      <c r="C446" s="14" t="inlineStr">
        <is>
          <t>Joseph Coelho</t>
        </is>
      </c>
      <c r="D446" s="14" t="inlineStr">
        <is>
          <t>L'Acchiappastorie – Giovani lettori</t>
        </is>
      </c>
      <c r="E446" s="14" t="inlineStr">
        <is>
          <t>giovani lettori</t>
        </is>
      </c>
      <c r="F446" s="14" t="inlineStr">
        <is>
          <t>Scuola media (11-13)</t>
        </is>
      </c>
      <c r="G446" s="14" t="inlineStr">
        <is>
          <t>Romanzo</t>
        </is>
      </c>
      <c r="H446" s="14" t="inlineStr"/>
      <c r="I446" s="14" t="inlineStr">
        <is>
          <t>No</t>
        </is>
      </c>
      <c r="J446" s="14" t="inlineStr">
        <is>
          <t>Collana</t>
        </is>
      </c>
      <c r="K446" s="14" t="inlineStr">
        <is>
          <t>prima/seconda/terza media, romanzo, narrativa</t>
        </is>
      </c>
      <c r="L446" s="14" t="inlineStr">
        <is>
          <t>Catalogo Terre di Mezzo 1° semestre 2026, p. 65 (ISBN 9791259963055)</t>
        </is>
      </c>
      <c r="M446" s="16" t="n">
        <v>16</v>
      </c>
      <c r="N446" s="14" t="inlineStr">
        <is>
          <t>Catalogo Terre di Mezzo 1° semestre 2026</t>
        </is>
      </c>
      <c r="O446" s="16">
        <f>IF(ISNUMBER(M446),ROUND(M446*(1-Condizioni!$B$2),2),"")</f>
        <v/>
      </c>
      <c r="P446" s="17" t="inlineStr">
        <is>
          <t>No</t>
        </is>
      </c>
    </row>
    <row r="447">
      <c r="A447" s="14" t="inlineStr">
        <is>
          <t>Terre di Mezzo</t>
        </is>
      </c>
      <c r="B447" s="14" t="inlineStr">
        <is>
          <t>Un mare di draghi</t>
        </is>
      </c>
      <c r="C447" s="14" t="inlineStr">
        <is>
          <t>Sally Gardner, Nick Maland</t>
        </is>
      </c>
      <c r="D447" s="14" t="inlineStr">
        <is>
          <t>L'Acchiappastorie – Giovani lettori</t>
        </is>
      </c>
      <c r="E447" s="14" t="inlineStr">
        <is>
          <t>giovani lettori</t>
        </is>
      </c>
      <c r="F447" s="14" t="inlineStr">
        <is>
          <t>Scuola media (11-13)</t>
        </is>
      </c>
      <c r="G447" s="14" t="inlineStr">
        <is>
          <t>Romanzo</t>
        </is>
      </c>
      <c r="H447" s="14" t="inlineStr"/>
      <c r="I447" s="14" t="inlineStr">
        <is>
          <t>No</t>
        </is>
      </c>
      <c r="J447" s="14" t="inlineStr">
        <is>
          <t>Collana</t>
        </is>
      </c>
      <c r="K447" s="14" t="inlineStr">
        <is>
          <t>prima/seconda/terza media, romanzo, narrativa</t>
        </is>
      </c>
      <c r="L447" s="14" t="inlineStr">
        <is>
          <t>Catalogo Terre di Mezzo 1° semestre 2026, p. 69 (ISBN 9788861897069)</t>
        </is>
      </c>
      <c r="M447" s="16" t="n">
        <v>14</v>
      </c>
      <c r="N447" s="14" t="inlineStr">
        <is>
          <t>Catalogo Terre di Mezzo 1° semestre 2026</t>
        </is>
      </c>
      <c r="O447" s="16">
        <f>IF(ISNUMBER(M447),ROUND(M447*(1-Condizioni!$B$2),2),"")</f>
        <v/>
      </c>
      <c r="P447" s="17" t="inlineStr">
        <is>
          <t>No</t>
        </is>
      </c>
    </row>
    <row r="448">
      <c r="A448" s="14" t="inlineStr">
        <is>
          <t>Terre di Mezzo</t>
        </is>
      </c>
      <c r="B448" s="14" t="inlineStr">
        <is>
          <t>Una sirena sempre con me</t>
        </is>
      </c>
      <c r="C448" s="14" t="inlineStr">
        <is>
          <t>Florence Medina, Kim Consigny</t>
        </is>
      </c>
      <c r="D448" s="14" t="inlineStr">
        <is>
          <t>L'Acchiappastorie – Giovani lettori</t>
        </is>
      </c>
      <c r="E448" s="14" t="inlineStr">
        <is>
          <t>giovani lettori</t>
        </is>
      </c>
      <c r="F448" s="14" t="inlineStr">
        <is>
          <t>Scuola media (11-13)</t>
        </is>
      </c>
      <c r="G448" s="14" t="inlineStr">
        <is>
          <t>Romanzo</t>
        </is>
      </c>
      <c r="H448" s="14" t="inlineStr"/>
      <c r="I448" s="14" t="inlineStr">
        <is>
          <t>No</t>
        </is>
      </c>
      <c r="J448" s="14" t="inlineStr">
        <is>
          <t>Collana</t>
        </is>
      </c>
      <c r="K448" s="14" t="inlineStr">
        <is>
          <t>prima/seconda/terza media, romanzo, narrativa</t>
        </is>
      </c>
      <c r="L448" s="14" t="inlineStr">
        <is>
          <t>Catalogo Terre di Mezzo 1° semestre 2026, p. 68 (ISBN 9791259960917)</t>
        </is>
      </c>
      <c r="M448" s="16" t="n">
        <v>14</v>
      </c>
      <c r="N448" s="14" t="inlineStr">
        <is>
          <t>Catalogo Terre di Mezzo 1° semestre 2026</t>
        </is>
      </c>
      <c r="O448" s="16">
        <f>IF(ISNUMBER(M448),ROUND(M448*(1-Condizioni!$B$2),2),"")</f>
        <v/>
      </c>
      <c r="P448" s="17" t="inlineStr">
        <is>
          <t>No</t>
        </is>
      </c>
    </row>
    <row r="449">
      <c r="A449" s="14" t="inlineStr">
        <is>
          <t>Terre di Mezzo</t>
        </is>
      </c>
      <c r="B449" s="14" t="inlineStr">
        <is>
          <t>Violetta urlavento</t>
        </is>
      </c>
      <c r="C449" s="14" t="inlineStr">
        <is>
          <t>Paul Martin, Jean-Baptiste Bourgois</t>
        </is>
      </c>
      <c r="D449" s="14" t="inlineStr">
        <is>
          <t>L'Acchiappastorie – Giovani lettori</t>
        </is>
      </c>
      <c r="E449" s="14" t="inlineStr">
        <is>
          <t>giovani lettori</t>
        </is>
      </c>
      <c r="F449" s="14" t="inlineStr">
        <is>
          <t>Scuola media (11-13)</t>
        </is>
      </c>
      <c r="G449" s="14" t="inlineStr">
        <is>
          <t>Romanzo</t>
        </is>
      </c>
      <c r="H449" s="14" t="inlineStr"/>
      <c r="I449" s="14" t="inlineStr">
        <is>
          <t>No</t>
        </is>
      </c>
      <c r="J449" s="14" t="inlineStr">
        <is>
          <t>Collana</t>
        </is>
      </c>
      <c r="K449" s="14" t="inlineStr">
        <is>
          <t>prima/seconda/terza media, romanzo, narrativa</t>
        </is>
      </c>
      <c r="L449" s="14" t="inlineStr">
        <is>
          <t>Catalogo Terre di Mezzo 1° semestre 2026, p. 68 (ISBN 9788861896192)</t>
        </is>
      </c>
      <c r="M449" s="16" t="n">
        <v>16</v>
      </c>
      <c r="N449" s="14" t="inlineStr">
        <is>
          <t>Catalogo Terre di Mezzo 1° semestre 2026</t>
        </is>
      </c>
      <c r="O449" s="16">
        <f>IF(ISNUMBER(M449),ROUND(M449*(1-Condizioni!$B$2),2),"")</f>
        <v/>
      </c>
      <c r="P449" s="17" t="inlineStr">
        <is>
          <t>No</t>
        </is>
      </c>
    </row>
    <row r="450">
      <c r="A450" s="14" t="inlineStr">
        <is>
          <t>Terre di Mezzo</t>
        </is>
      </c>
      <c r="B450" s="14" t="inlineStr">
        <is>
          <t>Corpo a corpo</t>
        </is>
      </c>
      <c r="C450" s="14" t="inlineStr">
        <is>
          <t>Giovanni “Gioz” Scarduelli</t>
        </is>
      </c>
      <c r="D450" s="14" t="inlineStr">
        <is>
          <t>L'Acchiappastorie – Collana Slanci</t>
        </is>
      </c>
      <c r="E450" s="14" t="inlineStr">
        <is>
          <t>Young Adult</t>
        </is>
      </c>
      <c r="F450" s="14" t="inlineStr">
        <is>
          <t>Adolescenza (14+)</t>
        </is>
      </c>
      <c r="G450" s="14" t="inlineStr">
        <is>
          <t>Romanzo</t>
        </is>
      </c>
      <c r="H450" s="14" t="inlineStr"/>
      <c r="I450" s="14" t="inlineStr">
        <is>
          <t>No</t>
        </is>
      </c>
      <c r="J450" s="14" t="inlineStr">
        <is>
          <t>Collana</t>
        </is>
      </c>
      <c r="K450" s="14" t="inlineStr">
        <is>
          <t>adolescenza, romanzo, narrativa</t>
        </is>
      </c>
      <c r="L450" s="14" t="inlineStr">
        <is>
          <t>Catalogo Terre di Mezzo 1° semestre 2026, p. 76 (ISBN 9791259962935)</t>
        </is>
      </c>
      <c r="M450" s="16" t="n">
        <v>17</v>
      </c>
      <c r="N450" s="14" t="inlineStr">
        <is>
          <t>Catalogo Terre di Mezzo 1° semestre 2026</t>
        </is>
      </c>
      <c r="O450" s="16">
        <f>IF(ISNUMBER(M450),ROUND(M450*(1-Condizioni!$B$2),2),"")</f>
        <v/>
      </c>
      <c r="P450" s="17" t="inlineStr">
        <is>
          <t>Sì</t>
        </is>
      </c>
    </row>
    <row r="451">
      <c r="A451" s="14" t="inlineStr">
        <is>
          <t>Terre di Mezzo</t>
        </is>
      </c>
      <c r="B451" s="14" t="inlineStr">
        <is>
          <t>E così bruciamo</t>
        </is>
      </c>
      <c r="C451" s="14" t="inlineStr">
        <is>
          <t>Lisa Balavoine</t>
        </is>
      </c>
      <c r="D451" s="14" t="inlineStr">
        <is>
          <t>L'Acchiappastorie – Collana Slanci</t>
        </is>
      </c>
      <c r="E451" s="14" t="inlineStr">
        <is>
          <t>Young Adult</t>
        </is>
      </c>
      <c r="F451" s="14" t="inlineStr">
        <is>
          <t>Adolescenza (14+)</t>
        </is>
      </c>
      <c r="G451" s="14" t="inlineStr">
        <is>
          <t>Romanzo</t>
        </is>
      </c>
      <c r="H451" s="14" t="inlineStr"/>
      <c r="I451" s="14" t="inlineStr">
        <is>
          <t>No</t>
        </is>
      </c>
      <c r="J451" s="14" t="inlineStr">
        <is>
          <t>Collana</t>
        </is>
      </c>
      <c r="K451" s="14" t="inlineStr">
        <is>
          <t>adolescenza, romanzo, narrativa</t>
        </is>
      </c>
      <c r="L451" s="14" t="inlineStr">
        <is>
          <t>Catalogo Terre di Mezzo 1° semestre 2026, p. 77 (ISBN 9791259962874)</t>
        </is>
      </c>
      <c r="M451" s="16" t="n">
        <v>15</v>
      </c>
      <c r="N451" s="14" t="inlineStr">
        <is>
          <t>Catalogo Terre di Mezzo 1° semestre 2026</t>
        </is>
      </c>
      <c r="O451" s="16">
        <f>IF(ISNUMBER(M451),ROUND(M451*(1-Condizioni!$B$2),2),"")</f>
        <v/>
      </c>
      <c r="P451" s="17" t="inlineStr">
        <is>
          <t>No</t>
        </is>
      </c>
    </row>
    <row r="452">
      <c r="A452" s="14" t="inlineStr">
        <is>
          <t>Terre di Mezzo</t>
        </is>
      </c>
      <c r="B452" s="14" t="inlineStr">
        <is>
          <t>Little bang</t>
        </is>
      </c>
      <c r="C452" s="14" t="inlineStr">
        <is>
          <t>Kelly McCaughrain</t>
        </is>
      </c>
      <c r="D452" s="14" t="inlineStr">
        <is>
          <t>L'Acchiappastorie – Collana Slanci</t>
        </is>
      </c>
      <c r="E452" s="14" t="inlineStr">
        <is>
          <t>Young Adult</t>
        </is>
      </c>
      <c r="F452" s="14" t="inlineStr">
        <is>
          <t>Adolescenza (14+)</t>
        </is>
      </c>
      <c r="G452" s="14" t="inlineStr">
        <is>
          <t>Romanzo</t>
        </is>
      </c>
      <c r="H452" s="14" t="inlineStr"/>
      <c r="I452" s="14" t="inlineStr">
        <is>
          <t>No</t>
        </is>
      </c>
      <c r="J452" s="14" t="inlineStr">
        <is>
          <t>Collana</t>
        </is>
      </c>
      <c r="K452" s="14" t="inlineStr">
        <is>
          <t>adolescenza, romanzo, narrativa</t>
        </is>
      </c>
      <c r="L452" s="14" t="inlineStr">
        <is>
          <t>Catalogo Terre di Mezzo 1° semestre 2026, p. 76 (ISBN 9791259962928)</t>
        </is>
      </c>
      <c r="M452" s="16" t="n">
        <v>15</v>
      </c>
      <c r="N452" s="14" t="inlineStr">
        <is>
          <t>Catalogo Terre di Mezzo 1° semestre 2026</t>
        </is>
      </c>
      <c r="O452" s="16">
        <f>IF(ISNUMBER(M452),ROUND(M452*(1-Condizioni!$B$2),2),"")</f>
        <v/>
      </c>
      <c r="P452" s="17" t="inlineStr">
        <is>
          <t>No</t>
        </is>
      </c>
    </row>
    <row r="453">
      <c r="A453" s="14" t="inlineStr">
        <is>
          <t>Terre di Mezzo</t>
        </is>
      </c>
      <c r="B453" s="14" t="inlineStr">
        <is>
          <t>L’eterno ritorno di Clara hart</t>
        </is>
      </c>
      <c r="C453" s="14" t="inlineStr">
        <is>
          <t>Louise Finch</t>
        </is>
      </c>
      <c r="D453" s="14" t="inlineStr">
        <is>
          <t>L'Acchiappastorie – Collana Slanci</t>
        </is>
      </c>
      <c r="E453" s="14" t="inlineStr">
        <is>
          <t>Young Adult</t>
        </is>
      </c>
      <c r="F453" s="14" t="inlineStr">
        <is>
          <t>Adolescenza (14+)</t>
        </is>
      </c>
      <c r="G453" s="14" t="inlineStr">
        <is>
          <t>Romanzo</t>
        </is>
      </c>
      <c r="H453" s="14" t="inlineStr"/>
      <c r="I453" s="14" t="inlineStr">
        <is>
          <t>No</t>
        </is>
      </c>
      <c r="J453" s="14" t="inlineStr">
        <is>
          <t>Collana</t>
        </is>
      </c>
      <c r="K453" s="14" t="inlineStr">
        <is>
          <t>adolescenza, romanzo, narrativa</t>
        </is>
      </c>
      <c r="L453" s="14" t="inlineStr">
        <is>
          <t>Catalogo Terre di Mezzo 1° semestre 2026, p. 77 (ISBN 9791259961983)</t>
        </is>
      </c>
      <c r="M453" s="16" t="n">
        <v>15</v>
      </c>
      <c r="N453" s="14" t="inlineStr">
        <is>
          <t>Catalogo Terre di Mezzo 1° semestre 2026</t>
        </is>
      </c>
      <c r="O453" s="16">
        <f>IF(ISNUMBER(M453),ROUND(M453*(1-Condizioni!$B$2),2),"")</f>
        <v/>
      </c>
      <c r="P453" s="17" t="inlineStr">
        <is>
          <t>Sì</t>
        </is>
      </c>
    </row>
    <row r="454">
      <c r="A454" s="14" t="inlineStr">
        <is>
          <t>Terre di Mezzo</t>
        </is>
      </c>
      <c r="B454" s="14" t="inlineStr">
        <is>
          <t>Out of the blue. dal cielo all’improvviso</t>
        </is>
      </c>
      <c r="C454" s="14" t="inlineStr">
        <is>
          <t>Sophie Cameron</t>
        </is>
      </c>
      <c r="D454" s="14" t="inlineStr">
        <is>
          <t>L'Acchiappastorie – Collana Slanci</t>
        </is>
      </c>
      <c r="E454" s="14" t="inlineStr">
        <is>
          <t>Young Adult</t>
        </is>
      </c>
      <c r="F454" s="14" t="inlineStr">
        <is>
          <t>Adolescenza (14+)</t>
        </is>
      </c>
      <c r="G454" s="14" t="inlineStr">
        <is>
          <t>Romanzo</t>
        </is>
      </c>
      <c r="H454" s="14" t="inlineStr"/>
      <c r="I454" s="14" t="inlineStr">
        <is>
          <t>No</t>
        </is>
      </c>
      <c r="J454" s="14" t="inlineStr">
        <is>
          <t>Collana</t>
        </is>
      </c>
      <c r="K454" s="14" t="inlineStr">
        <is>
          <t>adolescenza, romanzo, narrativa</t>
        </is>
      </c>
      <c r="L454" s="14" t="inlineStr">
        <is>
          <t>Catalogo Terre di Mezzo 1° semestre 2026, p. 76 (ISBN 9791259962980)</t>
        </is>
      </c>
      <c r="M454" s="16" t="n">
        <v>16</v>
      </c>
      <c r="N454" s="14" t="inlineStr">
        <is>
          <t>Catalogo Terre di Mezzo 1° semestre 2026</t>
        </is>
      </c>
      <c r="O454" s="16">
        <f>IF(ISNUMBER(M454),ROUND(M454*(1-Condizioni!$B$2),2),"")</f>
        <v/>
      </c>
      <c r="P454" s="17" t="inlineStr">
        <is>
          <t>Sì</t>
        </is>
      </c>
    </row>
    <row r="455">
      <c r="A455" s="14" t="inlineStr">
        <is>
          <t>Terre di Mezzo</t>
        </is>
      </c>
      <c r="B455" s="14" t="inlineStr">
        <is>
          <t>Poi prenderemo New York</t>
        </is>
      </c>
      <c r="C455" s="14" t="inlineStr">
        <is>
          <t>Ellen Strömberg</t>
        </is>
      </c>
      <c r="D455" s="14" t="inlineStr">
        <is>
          <t>L'Acchiappastorie – Collana Slanci</t>
        </is>
      </c>
      <c r="E455" s="14" t="inlineStr">
        <is>
          <t>Young Adult</t>
        </is>
      </c>
      <c r="F455" s="14" t="inlineStr">
        <is>
          <t>Adolescenza (14+)</t>
        </is>
      </c>
      <c r="G455" s="14" t="inlineStr">
        <is>
          <t>Romanzo</t>
        </is>
      </c>
      <c r="H455" s="14" t="inlineStr"/>
      <c r="I455" s="14" t="inlineStr">
        <is>
          <t>No</t>
        </is>
      </c>
      <c r="J455" s="14" t="inlineStr">
        <is>
          <t>Collana</t>
        </is>
      </c>
      <c r="K455" s="14" t="inlineStr">
        <is>
          <t>adolescenza, romanzo, narrativa</t>
        </is>
      </c>
      <c r="L455" s="14" t="inlineStr">
        <is>
          <t>Catalogo Terre di Mezzo 1° semestre 2026, p. 77 (ISBN 9791259961457)</t>
        </is>
      </c>
      <c r="M455" s="16" t="n">
        <v>15</v>
      </c>
      <c r="N455" s="14" t="inlineStr">
        <is>
          <t>Catalogo Terre di Mezzo 1° semestre 2026</t>
        </is>
      </c>
      <c r="O455" s="16">
        <f>IF(ISNUMBER(M455),ROUND(M455*(1-Condizioni!$B$2),2),"")</f>
        <v/>
      </c>
      <c r="P455" s="17" t="inlineStr">
        <is>
          <t>Sì</t>
        </is>
      </c>
    </row>
    <row r="456">
      <c r="A456" s="14" t="inlineStr">
        <is>
          <t>Terre di Mezzo</t>
        </is>
      </c>
      <c r="B456" s="14" t="inlineStr">
        <is>
          <t>Proprio prima che</t>
        </is>
      </c>
      <c r="C456" s="14" t="inlineStr">
        <is>
          <t>Joanne Richoux</t>
        </is>
      </c>
      <c r="D456" s="14" t="inlineStr">
        <is>
          <t>L'Acchiappastorie – Collana Slanci</t>
        </is>
      </c>
      <c r="E456" s="14" t="inlineStr">
        <is>
          <t>Young Adult</t>
        </is>
      </c>
      <c r="F456" s="14" t="inlineStr">
        <is>
          <t>Adolescenza (14+)</t>
        </is>
      </c>
      <c r="G456" s="14" t="inlineStr">
        <is>
          <t>Romanzo</t>
        </is>
      </c>
      <c r="H456" s="14" t="inlineStr"/>
      <c r="I456" s="14" t="inlineStr">
        <is>
          <t>No</t>
        </is>
      </c>
      <c r="J456" s="14" t="inlineStr">
        <is>
          <t>Collana</t>
        </is>
      </c>
      <c r="K456" s="14" t="inlineStr">
        <is>
          <t>adolescenza, romanzo, narrativa</t>
        </is>
      </c>
      <c r="L456" s="14" t="inlineStr">
        <is>
          <t>Catalogo Terre di Mezzo 1° semestre 2026, p. 76 (ISBN 9791259962911)</t>
        </is>
      </c>
      <c r="M456" s="16" t="n">
        <v>15</v>
      </c>
      <c r="N456" s="14" t="inlineStr">
        <is>
          <t>Catalogo Terre di Mezzo 1° semestre 2026</t>
        </is>
      </c>
      <c r="O456" s="16">
        <f>IF(ISNUMBER(M456),ROUND(M456*(1-Condizioni!$B$2),2),"")</f>
        <v/>
      </c>
      <c r="P456" s="17" t="inlineStr">
        <is>
          <t>No</t>
        </is>
      </c>
    </row>
    <row r="457">
      <c r="A457" s="14" t="inlineStr">
        <is>
          <t>Terre di Mezzo</t>
        </is>
      </c>
      <c r="B457" s="14" t="inlineStr">
        <is>
          <t>Se punti alla luna</t>
        </is>
      </c>
      <c r="C457" s="14" t="inlineStr">
        <is>
          <t>Marie Vareille</t>
        </is>
      </c>
      <c r="D457" s="14" t="inlineStr">
        <is>
          <t>L'Acchiappastorie – Collana Slanci</t>
        </is>
      </c>
      <c r="E457" s="14" t="inlineStr">
        <is>
          <t>Young Adult</t>
        </is>
      </c>
      <c r="F457" s="14" t="inlineStr">
        <is>
          <t>Adolescenza (14+)</t>
        </is>
      </c>
      <c r="G457" s="14" t="inlineStr">
        <is>
          <t>Romanzo</t>
        </is>
      </c>
      <c r="H457" s="14" t="inlineStr"/>
      <c r="I457" s="14" t="inlineStr">
        <is>
          <t>No</t>
        </is>
      </c>
      <c r="J457" s="14" t="inlineStr">
        <is>
          <t>Collana</t>
        </is>
      </c>
      <c r="K457" s="14" t="inlineStr">
        <is>
          <t>adolescenza, romanzo, narrativa</t>
        </is>
      </c>
      <c r="L457" s="14" t="inlineStr">
        <is>
          <t>Catalogo Terre di Mezzo 1° semestre 2026, p. 77 (ISBN 9791259961396)</t>
        </is>
      </c>
      <c r="M457" s="16" t="n">
        <v>15</v>
      </c>
      <c r="N457" s="14" t="inlineStr">
        <is>
          <t>Catalogo Terre di Mezzo 1° semestre 2026</t>
        </is>
      </c>
      <c r="O457" s="16">
        <f>IF(ISNUMBER(M457),ROUND(M457*(1-Condizioni!$B$2),2),"")</f>
        <v/>
      </c>
      <c r="P457" s="17" t="inlineStr">
        <is>
          <t>No</t>
        </is>
      </c>
    </row>
    <row r="458">
      <c r="A458" s="14" t="inlineStr">
        <is>
          <t>Terre di Mezzo</t>
        </is>
      </c>
      <c r="B458" s="14" t="inlineStr">
        <is>
          <t>Un ragazzo è quasi niente</t>
        </is>
      </c>
      <c r="C458" s="14" t="inlineStr">
        <is>
          <t>Lisa Balavoine</t>
        </is>
      </c>
      <c r="D458" s="14" t="inlineStr">
        <is>
          <t>L'Acchiappastorie – Collana Slanci</t>
        </is>
      </c>
      <c r="E458" s="14" t="inlineStr">
        <is>
          <t>Young Adult</t>
        </is>
      </c>
      <c r="F458" s="14" t="inlineStr">
        <is>
          <t>Adolescenza (14+)</t>
        </is>
      </c>
      <c r="G458" s="14" t="inlineStr">
        <is>
          <t>Romanzo</t>
        </is>
      </c>
      <c r="H458" s="14" t="inlineStr"/>
      <c r="I458" s="14" t="inlineStr">
        <is>
          <t>No</t>
        </is>
      </c>
      <c r="J458" s="14" t="inlineStr">
        <is>
          <t>Collana</t>
        </is>
      </c>
      <c r="K458" s="14" t="inlineStr">
        <is>
          <t>adolescenza, romanzo, narrativa</t>
        </is>
      </c>
      <c r="L458" s="14" t="inlineStr">
        <is>
          <t>Catalogo Terre di Mezzo 1° semestre 2026, p. 77 (ISBN 9791259960696)</t>
        </is>
      </c>
      <c r="M458" s="16" t="n">
        <v>15</v>
      </c>
      <c r="N458" s="14" t="inlineStr">
        <is>
          <t>Catalogo Terre di Mezzo 1° semestre 2026</t>
        </is>
      </c>
      <c r="O458" s="16">
        <f>IF(ISNUMBER(M458),ROUND(M458*(1-Condizioni!$B$2),2),"")</f>
        <v/>
      </c>
      <c r="P458" s="17" t="inlineStr">
        <is>
          <t>Sì</t>
        </is>
      </c>
    </row>
    <row r="459">
      <c r="A459" s="14" t="inlineStr">
        <is>
          <t>Terre di Mezzo</t>
        </is>
      </c>
      <c r="B459" s="14" t="inlineStr">
        <is>
          <t>Concerto per alberi</t>
        </is>
      </c>
      <c r="C459" s="14" t="inlineStr">
        <is>
          <t>Laëtitia Devernay</t>
        </is>
      </c>
      <c r="D459" s="14" t="inlineStr">
        <is>
          <t>L'Acchiappastorie – Silent book</t>
        </is>
      </c>
      <c r="E459" s="14" t="inlineStr">
        <is>
          <t>per tutte le età</t>
        </is>
      </c>
      <c r="F459" s="14" t="inlineStr">
        <is>
          <t>n.d. / tutte le età</t>
        </is>
      </c>
      <c r="G459" s="14" t="inlineStr">
        <is>
          <t>Silent book</t>
        </is>
      </c>
      <c r="H459" s="14" t="inlineStr"/>
      <c r="I459" s="14" t="inlineStr">
        <is>
          <t>No</t>
        </is>
      </c>
      <c r="J459" s="14" t="inlineStr">
        <is>
          <t>Collana</t>
        </is>
      </c>
      <c r="K459" s="14" t="inlineStr"/>
      <c r="L459" s="14" t="inlineStr">
        <is>
          <t>Catalogo Terre di Mezzo 1° semestre 2026, p. 39 (ISBN 9791259963024)</t>
        </is>
      </c>
      <c r="M459" s="16" t="n">
        <v>20</v>
      </c>
      <c r="N459" s="14" t="inlineStr">
        <is>
          <t>Catalogo Terre di Mezzo 1° semestre 2026</t>
        </is>
      </c>
      <c r="O459" s="16">
        <f>IF(ISNUMBER(M459),ROUND(M459*(1-Condizioni!$B$2),2),"")</f>
        <v/>
      </c>
      <c r="P459" s="17" t="inlineStr">
        <is>
          <t>No</t>
        </is>
      </c>
    </row>
    <row r="460">
      <c r="A460" s="14" t="inlineStr">
        <is>
          <t>Terre di Mezzo</t>
        </is>
      </c>
      <c r="B460" s="14" t="inlineStr">
        <is>
          <t>Due passi tra le fiabe</t>
        </is>
      </c>
      <c r="C460" s="14" t="inlineStr">
        <is>
          <t>Helen Mortimer, Lars van de Goor, Gabriella Barouch</t>
        </is>
      </c>
      <c r="D460" s="14" t="inlineStr">
        <is>
          <t>L'Acchiappastorie – Albi per tutte le età</t>
        </is>
      </c>
      <c r="E460" s="14" t="inlineStr">
        <is>
          <t>per tutte le età</t>
        </is>
      </c>
      <c r="F460" s="14" t="inlineStr">
        <is>
          <t>n.d. / tutte le età</t>
        </is>
      </c>
      <c r="G460" s="14" t="inlineStr">
        <is>
          <t>Albo illustrato</t>
        </is>
      </c>
      <c r="H460" s="14" t="inlineStr"/>
      <c r="I460" s="14" t="inlineStr">
        <is>
          <t>No</t>
        </is>
      </c>
      <c r="J460" s="14" t="inlineStr">
        <is>
          <t>Collana</t>
        </is>
      </c>
      <c r="K460" s="14" t="inlineStr"/>
      <c r="L460" s="14" t="inlineStr">
        <is>
          <t>Catalogo Terre di Mezzo 1° semestre 2026, p. 44 (ISBN 9791259963789)</t>
        </is>
      </c>
      <c r="M460" s="16" t="n">
        <v>20</v>
      </c>
      <c r="N460" s="14" t="inlineStr">
        <is>
          <t>Catalogo Terre di Mezzo 1° semestre 2026</t>
        </is>
      </c>
      <c r="O460" s="16">
        <f>IF(ISNUMBER(M460),ROUND(M460*(1-Condizioni!$B$2),2),"")</f>
        <v/>
      </c>
      <c r="P460" s="17" t="inlineStr">
        <is>
          <t>No</t>
        </is>
      </c>
    </row>
    <row r="461">
      <c r="A461" s="14" t="inlineStr">
        <is>
          <t>Terre di Mezzo</t>
        </is>
      </c>
      <c r="B461" s="14" t="inlineStr">
        <is>
          <t>Esprimi un desiderio</t>
        </is>
      </c>
      <c r="C461" s="14" t="inlineStr">
        <is>
          <t>Christoph Niemann</t>
        </is>
      </c>
      <c r="D461" s="14" t="inlineStr">
        <is>
          <t>L'Acchiappastorie – Silent book</t>
        </is>
      </c>
      <c r="E461" s="14" t="inlineStr">
        <is>
          <t>per tutte le età</t>
        </is>
      </c>
      <c r="F461" s="14" t="inlineStr">
        <is>
          <t>n.d. / tutte le età</t>
        </is>
      </c>
      <c r="G461" s="14" t="inlineStr">
        <is>
          <t>Silent book</t>
        </is>
      </c>
      <c r="H461" s="14" t="inlineStr"/>
      <c r="I461" s="14" t="inlineStr">
        <is>
          <t>No</t>
        </is>
      </c>
      <c r="J461" s="14" t="inlineStr">
        <is>
          <t>Collana</t>
        </is>
      </c>
      <c r="K461" s="14" t="inlineStr"/>
      <c r="L461" s="14" t="inlineStr">
        <is>
          <t>Catalogo Terre di Mezzo 1° semestre 2026, p. 41 (ISBN 9791259960344)</t>
        </is>
      </c>
      <c r="M461" s="16" t="n">
        <v>15</v>
      </c>
      <c r="N461" s="14" t="inlineStr">
        <is>
          <t>Catalogo Terre di Mezzo 1° semestre 2026</t>
        </is>
      </c>
      <c r="O461" s="16">
        <f>IF(ISNUMBER(M461),ROUND(M461*(1-Condizioni!$B$2),2),"")</f>
        <v/>
      </c>
      <c r="P461" s="17" t="inlineStr">
        <is>
          <t>No</t>
        </is>
      </c>
    </row>
    <row r="462">
      <c r="A462" s="14" t="inlineStr">
        <is>
          <t>Terre di Mezzo</t>
        </is>
      </c>
      <c r="B462" s="14" t="inlineStr">
        <is>
          <t>Favole</t>
        </is>
      </c>
      <c r="C462" s="14" t="inlineStr">
        <is>
          <t>Jean de La Fontaine, Rébecca Dautremer</t>
        </is>
      </c>
      <c r="D462" s="14" t="inlineStr">
        <is>
          <t>L'Acchiappastorie – Albi per tutte le età</t>
        </is>
      </c>
      <c r="E462" s="14" t="inlineStr">
        <is>
          <t>per tutte le età</t>
        </is>
      </c>
      <c r="F462" s="14" t="inlineStr">
        <is>
          <t>n.d. / tutte le età</t>
        </is>
      </c>
      <c r="G462" s="14" t="inlineStr">
        <is>
          <t>Albo illustrato</t>
        </is>
      </c>
      <c r="H462" s="14" t="inlineStr"/>
      <c r="I462" s="14" t="inlineStr">
        <is>
          <t>No</t>
        </is>
      </c>
      <c r="J462" s="14" t="inlineStr">
        <is>
          <t>Collana</t>
        </is>
      </c>
      <c r="K462" s="14" t="inlineStr"/>
      <c r="L462" s="14" t="inlineStr">
        <is>
          <t>Catalogo Terre di Mezzo 1° semestre 2026, p. 47 (ISBN 9791259960863)</t>
        </is>
      </c>
      <c r="M462" s="16" t="n">
        <v>20</v>
      </c>
      <c r="N462" s="14" t="inlineStr">
        <is>
          <t>Catalogo Terre di Mezzo 1° semestre 2026</t>
        </is>
      </c>
      <c r="O462" s="16">
        <f>IF(ISNUMBER(M462),ROUND(M462*(1-Condizioni!$B$2),2),"")</f>
        <v/>
      </c>
      <c r="P462" s="17" t="inlineStr">
        <is>
          <t>No</t>
        </is>
      </c>
    </row>
    <row r="463">
      <c r="A463" s="14" t="inlineStr">
        <is>
          <t>Terre di Mezzo</t>
        </is>
      </c>
      <c r="B463" s="14" t="inlineStr">
        <is>
          <t>Fiabe</t>
        </is>
      </c>
      <c r="C463" s="14" t="inlineStr">
        <is>
          <t>Hans Christian Andersen, Quentin Gréban</t>
        </is>
      </c>
      <c r="D463" s="14" t="inlineStr">
        <is>
          <t>L'Acchiappastorie – Albi per tutte le età</t>
        </is>
      </c>
      <c r="E463" s="14" t="inlineStr">
        <is>
          <t>per tutte le età</t>
        </is>
      </c>
      <c r="F463" s="14" t="inlineStr">
        <is>
          <t>n.d. / tutte le età</t>
        </is>
      </c>
      <c r="G463" s="14" t="inlineStr">
        <is>
          <t>Albo illustrato</t>
        </is>
      </c>
      <c r="H463" s="14" t="inlineStr"/>
      <c r="I463" s="14" t="inlineStr">
        <is>
          <t>No</t>
        </is>
      </c>
      <c r="J463" s="14" t="inlineStr">
        <is>
          <t>Collana</t>
        </is>
      </c>
      <c r="K463" s="14" t="inlineStr"/>
      <c r="L463" s="14" t="inlineStr">
        <is>
          <t>Catalogo Terre di Mezzo 1° semestre 2026, p. 45 (ISBN 9788861897762)</t>
        </is>
      </c>
      <c r="M463" s="16" t="n">
        <v>18</v>
      </c>
      <c r="N463" s="14" t="inlineStr">
        <is>
          <t>Catalogo Terre di Mezzo 1° semestre 2026</t>
        </is>
      </c>
      <c r="O463" s="16">
        <f>IF(ISNUMBER(M463),ROUND(M463*(1-Condizioni!$B$2),2),"")</f>
        <v/>
      </c>
      <c r="P463" s="17" t="inlineStr">
        <is>
          <t>No</t>
        </is>
      </c>
    </row>
    <row r="464">
      <c r="A464" s="14" t="inlineStr">
        <is>
          <t>Terre di Mezzo</t>
        </is>
      </c>
      <c r="B464" s="14" t="inlineStr">
        <is>
          <t>Fratelli</t>
        </is>
      </c>
      <c r="C464" s="14" t="inlineStr">
        <is>
          <t>Marie Le Cuziat, Hua Ling Xu</t>
        </is>
      </c>
      <c r="D464" s="14" t="inlineStr">
        <is>
          <t>L'Acchiappastorie – Albi per tutte le età</t>
        </is>
      </c>
      <c r="E464" s="14" t="inlineStr">
        <is>
          <t>per tutte le età</t>
        </is>
      </c>
      <c r="F464" s="14" t="inlineStr">
        <is>
          <t>3-6 anni</t>
        </is>
      </c>
      <c r="G464" s="14" t="inlineStr">
        <is>
          <t>Albo illustrato</t>
        </is>
      </c>
      <c r="H464" s="14" t="inlineStr"/>
      <c r="I464" s="14" t="inlineStr">
        <is>
          <t>No</t>
        </is>
      </c>
      <c r="J464" s="14" t="inlineStr">
        <is>
          <t>Collana</t>
        </is>
      </c>
      <c r="K464" s="14" t="inlineStr">
        <is>
          <t>3-6 anni</t>
        </is>
      </c>
      <c r="L464" s="14" t="inlineStr">
        <is>
          <t>Catalogo Terre di Mezzo 1° semestre 2026, p. 43 (ISBN 9791259962942)</t>
        </is>
      </c>
      <c r="M464" s="16" t="n">
        <v>16</v>
      </c>
      <c r="N464" s="14" t="inlineStr">
        <is>
          <t>Catalogo Terre di Mezzo 1° semestre 2026</t>
        </is>
      </c>
      <c r="O464" s="16">
        <f>IF(ISNUMBER(M464),ROUND(M464*(1-Condizioni!$B$2),2),"")</f>
        <v/>
      </c>
      <c r="P464" s="17" t="inlineStr">
        <is>
          <t>Sì</t>
        </is>
      </c>
    </row>
    <row r="465">
      <c r="A465" s="14" t="inlineStr">
        <is>
          <t>Terre di Mezzo</t>
        </is>
      </c>
      <c r="B465" s="14" t="inlineStr">
        <is>
          <t>Giochi di luce</t>
        </is>
      </c>
      <c r="C465" s="14" t="inlineStr">
        <is>
          <t>Lizi Boyd</t>
        </is>
      </c>
      <c r="D465" s="14" t="inlineStr">
        <is>
          <t>L'Acchiappastorie – Albi per tutte le età</t>
        </is>
      </c>
      <c r="E465" s="14" t="inlineStr">
        <is>
          <t>per tutte le età</t>
        </is>
      </c>
      <c r="F465" s="14" t="inlineStr">
        <is>
          <t>n.d. / tutte le età</t>
        </is>
      </c>
      <c r="G465" s="14" t="inlineStr">
        <is>
          <t>Albo illustrato</t>
        </is>
      </c>
      <c r="H465" s="14" t="inlineStr"/>
      <c r="I465" s="14" t="inlineStr">
        <is>
          <t>No</t>
        </is>
      </c>
      <c r="J465" s="14" t="inlineStr">
        <is>
          <t>Collana</t>
        </is>
      </c>
      <c r="K465" s="14" t="inlineStr"/>
      <c r="L465" s="14" t="inlineStr">
        <is>
          <t>Catalogo Terre di Mezzo 1° semestre 2026, p. 47 (ISBN 9788861894280)</t>
        </is>
      </c>
      <c r="M465" s="16" t="n">
        <v>14.9</v>
      </c>
      <c r="N465" s="14" t="inlineStr">
        <is>
          <t>Catalogo Terre di Mezzo 1° semestre 2026</t>
        </is>
      </c>
      <c r="O465" s="16">
        <f>IF(ISNUMBER(M465),ROUND(M465*(1-Condizioni!$B$2),2),"")</f>
        <v/>
      </c>
      <c r="P465" s="17" t="inlineStr">
        <is>
          <t>No</t>
        </is>
      </c>
    </row>
    <row r="466">
      <c r="A466" s="14" t="inlineStr">
        <is>
          <t>Terre di Mezzo</t>
        </is>
      </c>
      <c r="B466" s="14" t="inlineStr">
        <is>
          <t>Guarda bene</t>
        </is>
      </c>
      <c r="C466" s="14" t="inlineStr">
        <is>
          <t>Letizia Iannaccone</t>
        </is>
      </c>
      <c r="D466" s="14" t="inlineStr">
        <is>
          <t>L'Acchiappastorie – Silent book</t>
        </is>
      </c>
      <c r="E466" s="14" t="inlineStr">
        <is>
          <t>per tutte le età</t>
        </is>
      </c>
      <c r="F466" s="14" t="inlineStr">
        <is>
          <t>n.d. / tutte le età</t>
        </is>
      </c>
      <c r="G466" s="14" t="inlineStr">
        <is>
          <t>Silent book</t>
        </is>
      </c>
      <c r="H466" s="14" t="inlineStr"/>
      <c r="I466" s="14" t="inlineStr">
        <is>
          <t>No</t>
        </is>
      </c>
      <c r="J466" s="14" t="inlineStr">
        <is>
          <t>Collana</t>
        </is>
      </c>
      <c r="K466" s="14" t="inlineStr"/>
      <c r="L466" s="14" t="inlineStr">
        <is>
          <t>Catalogo Terre di Mezzo 1° semestre 2026, p. 41 (ISBN 9788861897533)</t>
        </is>
      </c>
      <c r="M466" s="16" t="n">
        <v>15</v>
      </c>
      <c r="N466" s="14" t="inlineStr">
        <is>
          <t>Catalogo Terre di Mezzo 1° semestre 2026</t>
        </is>
      </c>
      <c r="O466" s="16">
        <f>IF(ISNUMBER(M466),ROUND(M466*(1-Condizioni!$B$2),2),"")</f>
        <v/>
      </c>
      <c r="P466" s="17" t="inlineStr">
        <is>
          <t>No</t>
        </is>
      </c>
    </row>
    <row r="467">
      <c r="A467" s="14" t="inlineStr">
        <is>
          <t>Terre di Mezzo</t>
        </is>
      </c>
      <c r="B467" s="14" t="inlineStr">
        <is>
          <t>I giorni del mare</t>
        </is>
      </c>
      <c r="C467" s="14" t="inlineStr">
        <is>
          <t>Irene Penazzi</t>
        </is>
      </c>
      <c r="D467" s="14" t="inlineStr">
        <is>
          <t>L'Acchiappastorie – Silent book</t>
        </is>
      </c>
      <c r="E467" s="14" t="inlineStr">
        <is>
          <t>per tutte le età</t>
        </is>
      </c>
      <c r="F467" s="14" t="inlineStr">
        <is>
          <t>n.d. / tutte le età</t>
        </is>
      </c>
      <c r="G467" s="14" t="inlineStr">
        <is>
          <t>Silent book</t>
        </is>
      </c>
      <c r="H467" s="14" t="inlineStr"/>
      <c r="I467" s="14" t="inlineStr">
        <is>
          <t>No</t>
        </is>
      </c>
      <c r="J467" s="14" t="inlineStr">
        <is>
          <t>Collana</t>
        </is>
      </c>
      <c r="K467" s="14" t="inlineStr"/>
      <c r="L467" s="14" t="inlineStr">
        <is>
          <t>Catalogo Terre di Mezzo 1° semestre 2026, p. 40 (ISBN 9791259962270)</t>
        </is>
      </c>
      <c r="M467" s="16" t="n">
        <v>16</v>
      </c>
      <c r="N467" s="14" t="inlineStr">
        <is>
          <t>Catalogo Terre di Mezzo 1° semestre 2026</t>
        </is>
      </c>
      <c r="O467" s="16">
        <f>IF(ISNUMBER(M467),ROUND(M467*(1-Condizioni!$B$2),2),"")</f>
        <v/>
      </c>
      <c r="P467" s="17" t="inlineStr">
        <is>
          <t>No</t>
        </is>
      </c>
    </row>
    <row r="468">
      <c r="A468" s="14" t="inlineStr">
        <is>
          <t>Terre di Mezzo</t>
        </is>
      </c>
      <c r="B468" s="14" t="inlineStr">
        <is>
          <t>Il ladro di polli</t>
        </is>
      </c>
      <c r="C468" s="14" t="inlineStr">
        <is>
          <t>Béatrice Rodriguez</t>
        </is>
      </c>
      <c r="D468" s="14" t="inlineStr">
        <is>
          <t>L'Acchiappastorie – Silent book</t>
        </is>
      </c>
      <c r="E468" s="14" t="inlineStr">
        <is>
          <t>per tutte le età</t>
        </is>
      </c>
      <c r="F468" s="14" t="inlineStr">
        <is>
          <t>n.d. / tutte le età</t>
        </is>
      </c>
      <c r="G468" s="14" t="inlineStr">
        <is>
          <t>Silent book</t>
        </is>
      </c>
      <c r="H468" s="14" t="inlineStr"/>
      <c r="I468" s="14" t="inlineStr">
        <is>
          <t>No</t>
        </is>
      </c>
      <c r="J468" s="14" t="inlineStr">
        <is>
          <t>Collana</t>
        </is>
      </c>
      <c r="K468" s="14" t="inlineStr"/>
      <c r="L468" s="14" t="inlineStr">
        <is>
          <t>Catalogo Terre di Mezzo 1° semestre 2026, p. 39 (ISBN 9791259962461)</t>
        </is>
      </c>
      <c r="M468" s="16" t="n">
        <v>14</v>
      </c>
      <c r="N468" s="14" t="inlineStr">
        <is>
          <t>Catalogo Terre di Mezzo 1° semestre 2026</t>
        </is>
      </c>
      <c r="O468" s="16">
        <f>IF(ISNUMBER(M468),ROUND(M468*(1-Condizioni!$B$2),2),"")</f>
        <v/>
      </c>
      <c r="P468" s="17" t="inlineStr">
        <is>
          <t>No</t>
        </is>
      </c>
    </row>
    <row r="469">
      <c r="A469" s="14" t="inlineStr">
        <is>
          <t>Terre di Mezzo</t>
        </is>
      </c>
      <c r="B469" s="14" t="inlineStr">
        <is>
          <t>Il mondo ti aspetta</t>
        </is>
      </c>
      <c r="C469" s="14" t="inlineStr">
        <is>
          <t>Kobi Yamada, Gabriella Barouch</t>
        </is>
      </c>
      <c r="D469" s="14" t="inlineStr">
        <is>
          <t>L'Acchiappastorie – Albi per tutte le età</t>
        </is>
      </c>
      <c r="E469" s="14" t="inlineStr">
        <is>
          <t>per tutte le età</t>
        </is>
      </c>
      <c r="F469" s="14" t="inlineStr">
        <is>
          <t>n.d. / tutte le età</t>
        </is>
      </c>
      <c r="G469" s="14" t="inlineStr">
        <is>
          <t>Albo illustrato</t>
        </is>
      </c>
      <c r="H469" s="14" t="inlineStr"/>
      <c r="I469" s="14" t="inlineStr">
        <is>
          <t>No</t>
        </is>
      </c>
      <c r="J469" s="14" t="inlineStr">
        <is>
          <t>Collana</t>
        </is>
      </c>
      <c r="K469" s="14" t="inlineStr"/>
      <c r="L469" s="14" t="inlineStr">
        <is>
          <t>Catalogo Terre di Mezzo 1° semestre 2026, p. 44 (ISBN 9788861896604)</t>
        </is>
      </c>
      <c r="M469" s="16" t="n">
        <v>16</v>
      </c>
      <c r="N469" s="14" t="inlineStr">
        <is>
          <t>Catalogo Terre di Mezzo 1° semestre 2026</t>
        </is>
      </c>
      <c r="O469" s="16">
        <f>IF(ISNUMBER(M469),ROUND(M469*(1-Condizioni!$B$2),2),"")</f>
        <v/>
      </c>
      <c r="P469" s="17" t="inlineStr">
        <is>
          <t>No</t>
        </is>
      </c>
    </row>
    <row r="470">
      <c r="A470" s="14" t="inlineStr">
        <is>
          <t>Terre di Mezzo</t>
        </is>
      </c>
      <c r="B470" s="14" t="inlineStr">
        <is>
          <t>Il mondo è tuo</t>
        </is>
      </c>
      <c r="C470" s="14" t="inlineStr">
        <is>
          <t>Riccardo Bozzi, Olimpia Zagnoli</t>
        </is>
      </c>
      <c r="D470" s="14" t="inlineStr">
        <is>
          <t>L'Acchiappastorie – Albi per tutte le età</t>
        </is>
      </c>
      <c r="E470" s="14" t="inlineStr">
        <is>
          <t>per tutte le età</t>
        </is>
      </c>
      <c r="F470" s="14" t="inlineStr">
        <is>
          <t>3-6 anni</t>
        </is>
      </c>
      <c r="G470" s="14" t="inlineStr">
        <is>
          <t>Albo illustrato</t>
        </is>
      </c>
      <c r="H470" s="14" t="inlineStr"/>
      <c r="I470" s="14" t="inlineStr">
        <is>
          <t>No</t>
        </is>
      </c>
      <c r="J470" s="14" t="inlineStr">
        <is>
          <t>Collana</t>
        </is>
      </c>
      <c r="K470" s="14" t="inlineStr">
        <is>
          <t>3-6 anni</t>
        </is>
      </c>
      <c r="L470" s="14" t="inlineStr">
        <is>
          <t>Catalogo Terre di Mezzo 1° semestre 2026, p. 42 (ISBN 9791259964090)</t>
        </is>
      </c>
      <c r="M470" s="16" t="n">
        <v>18</v>
      </c>
      <c r="N470" s="14" t="inlineStr">
        <is>
          <t>Catalogo Terre di Mezzo 1° semestre 2026</t>
        </is>
      </c>
      <c r="O470" s="16">
        <f>IF(ISNUMBER(M470),ROUND(M470*(1-Condizioni!$B$2),2),"")</f>
        <v/>
      </c>
      <c r="P470" s="17" t="inlineStr">
        <is>
          <t>Sì</t>
        </is>
      </c>
    </row>
    <row r="471">
      <c r="A471" s="14" t="inlineStr">
        <is>
          <t>Terre di Mezzo</t>
        </is>
      </c>
      <c r="B471" s="14" t="inlineStr">
        <is>
          <t>Il mondo è tuo</t>
        </is>
      </c>
      <c r="C471" s="14" t="inlineStr">
        <is>
          <t>Riccardo Bozzi, Olimpia Zagnoli</t>
        </is>
      </c>
      <c r="D471" s="14" t="inlineStr">
        <is>
          <t>L'Acchiappastorie – Albi per tutte le età</t>
        </is>
      </c>
      <c r="E471" s="14" t="inlineStr">
        <is>
          <t>per tutte le età</t>
        </is>
      </c>
      <c r="F471" s="14" t="inlineStr">
        <is>
          <t>3-6 anni</t>
        </is>
      </c>
      <c r="G471" s="14" t="inlineStr">
        <is>
          <t>Albo illustrato</t>
        </is>
      </c>
      <c r="H471" s="14" t="inlineStr"/>
      <c r="I471" s="14" t="inlineStr">
        <is>
          <t>No</t>
        </is>
      </c>
      <c r="J471" s="14" t="inlineStr">
        <is>
          <t>Collana</t>
        </is>
      </c>
      <c r="K471" s="14" t="inlineStr">
        <is>
          <t>3-6 anni</t>
        </is>
      </c>
      <c r="L471" s="14" t="inlineStr">
        <is>
          <t>Catalogo Terre di Mezzo 1° semestre 2026, p. 42 (ISBN 9788861893740)</t>
        </is>
      </c>
      <c r="M471" s="16" t="n">
        <v>18</v>
      </c>
      <c r="N471" s="14" t="inlineStr">
        <is>
          <t>Catalogo Terre di Mezzo 1° semestre 2026</t>
        </is>
      </c>
      <c r="O471" s="16">
        <f>IF(ISNUMBER(M471),ROUND(M471*(1-Condizioni!$B$2),2),"")</f>
        <v/>
      </c>
      <c r="P471" s="17" t="inlineStr">
        <is>
          <t>Sì</t>
        </is>
      </c>
    </row>
    <row r="472">
      <c r="A472" s="14" t="inlineStr">
        <is>
          <t>Terre di Mezzo</t>
        </is>
      </c>
      <c r="B472" s="14" t="inlineStr">
        <is>
          <t>Il passo di ciascuno</t>
        </is>
      </c>
      <c r="C472" s="14" t="inlineStr">
        <is>
          <t>Henri Meunier, Régis Lejonc</t>
        </is>
      </c>
      <c r="D472" s="14" t="inlineStr">
        <is>
          <t>L'Acchiappastorie – Albi per tutte le età</t>
        </is>
      </c>
      <c r="E472" s="14" t="inlineStr">
        <is>
          <t>per tutte le età</t>
        </is>
      </c>
      <c r="F472" s="14" t="inlineStr">
        <is>
          <t>n.d. / tutte le età</t>
        </is>
      </c>
      <c r="G472" s="14" t="inlineStr">
        <is>
          <t>Albo illustrato</t>
        </is>
      </c>
      <c r="H472" s="14" t="inlineStr"/>
      <c r="I472" s="14" t="inlineStr">
        <is>
          <t>No</t>
        </is>
      </c>
      <c r="J472" s="14" t="inlineStr">
        <is>
          <t>Collana</t>
        </is>
      </c>
      <c r="K472" s="14" t="inlineStr"/>
      <c r="L472" s="14" t="inlineStr">
        <is>
          <t>Catalogo Terre di Mezzo 1° semestre 2026, p. 43 (ISBN 9791259960948)</t>
        </is>
      </c>
      <c r="M472" s="16" t="n">
        <v>18</v>
      </c>
      <c r="N472" s="14" t="inlineStr">
        <is>
          <t>Catalogo Terre di Mezzo 1° semestre 2026</t>
        </is>
      </c>
      <c r="O472" s="16">
        <f>IF(ISNUMBER(M472),ROUND(M472*(1-Condizioni!$B$2),2),"")</f>
        <v/>
      </c>
      <c r="P472" s="17" t="inlineStr">
        <is>
          <t>No</t>
        </is>
      </c>
    </row>
    <row r="473">
      <c r="A473" s="14" t="inlineStr">
        <is>
          <t>Terre di Mezzo</t>
        </is>
      </c>
      <c r="B473" s="14" t="inlineStr">
        <is>
          <t>Il signor Orizzontale e la signora Verticale</t>
        </is>
      </c>
      <c r="C473" s="14" t="inlineStr">
        <is>
          <t>Noémie Révah, Olimpia Zagnoli</t>
        </is>
      </c>
      <c r="D473" s="14" t="inlineStr">
        <is>
          <t>L'Acchiappastorie – Albi per tutte le età</t>
        </is>
      </c>
      <c r="E473" s="14" t="inlineStr">
        <is>
          <t>per tutte le età</t>
        </is>
      </c>
      <c r="F473" s="14" t="inlineStr">
        <is>
          <t>n.d. / tutte le età</t>
        </is>
      </c>
      <c r="G473" s="14" t="inlineStr">
        <is>
          <t>Albo illustrato</t>
        </is>
      </c>
      <c r="H473" s="14" t="inlineStr"/>
      <c r="I473" s="14" t="inlineStr">
        <is>
          <t>No</t>
        </is>
      </c>
      <c r="J473" s="14" t="inlineStr">
        <is>
          <t>Collana</t>
        </is>
      </c>
      <c r="K473" s="14" t="inlineStr"/>
      <c r="L473" s="14" t="inlineStr">
        <is>
          <t>Catalogo Terre di Mezzo 1° semestre 2026, p. 42 (ISBN 9791259963017)</t>
        </is>
      </c>
      <c r="M473" s="16" t="n">
        <v>16</v>
      </c>
      <c r="N473" s="14" t="inlineStr">
        <is>
          <t>Catalogo Terre di Mezzo 1° semestre 2026</t>
        </is>
      </c>
      <c r="O473" s="16">
        <f>IF(ISNUMBER(M473),ROUND(M473*(1-Condizioni!$B$2),2),"")</f>
        <v/>
      </c>
      <c r="P473" s="17" t="inlineStr">
        <is>
          <t>No</t>
        </is>
      </c>
    </row>
    <row r="474">
      <c r="A474" s="14" t="inlineStr">
        <is>
          <t>Terre di Mezzo</t>
        </is>
      </c>
      <c r="B474" s="14" t="inlineStr">
        <is>
          <t>Il viaggio</t>
        </is>
      </c>
      <c r="C474" s="14" t="inlineStr">
        <is>
          <t>Peter Van den Ende</t>
        </is>
      </c>
      <c r="D474" s="14" t="inlineStr">
        <is>
          <t>L'Acchiappastorie – Silent book</t>
        </is>
      </c>
      <c r="E474" s="14" t="inlineStr">
        <is>
          <t>per tutte le età</t>
        </is>
      </c>
      <c r="F474" s="14" t="inlineStr">
        <is>
          <t>n.d. / tutte le età</t>
        </is>
      </c>
      <c r="G474" s="14" t="inlineStr">
        <is>
          <t>Silent book</t>
        </is>
      </c>
      <c r="H474" s="14" t="inlineStr"/>
      <c r="I474" s="14" t="inlineStr">
        <is>
          <t>No</t>
        </is>
      </c>
      <c r="J474" s="14" t="inlineStr">
        <is>
          <t>Collana</t>
        </is>
      </c>
      <c r="K474" s="14" t="inlineStr"/>
      <c r="L474" s="14" t="inlineStr">
        <is>
          <t>Catalogo Terre di Mezzo 1° semestre 2026, p. 41 (ISBN 9788861897465)</t>
        </is>
      </c>
      <c r="M474" s="16" t="n">
        <v>20</v>
      </c>
      <c r="N474" s="14" t="inlineStr">
        <is>
          <t>Catalogo Terre di Mezzo 1° semestre 2026</t>
        </is>
      </c>
      <c r="O474" s="16">
        <f>IF(ISNUMBER(M474),ROUND(M474*(1-Condizioni!$B$2),2),"")</f>
        <v/>
      </c>
      <c r="P474" s="17" t="inlineStr">
        <is>
          <t>No</t>
        </is>
      </c>
    </row>
    <row r="475">
      <c r="A475" s="14" t="inlineStr">
        <is>
          <t>Terre di Mezzo</t>
        </is>
      </c>
      <c r="B475" s="14" t="inlineStr">
        <is>
          <t>Immagina</t>
        </is>
      </c>
      <c r="C475" s="14" t="inlineStr">
        <is>
          <t>Emily Winfield Martin</t>
        </is>
      </c>
      <c r="D475" s="14" t="inlineStr">
        <is>
          <t>L'Acchiappastorie – Albi per tutte le età</t>
        </is>
      </c>
      <c r="E475" s="14" t="inlineStr">
        <is>
          <t>per tutte le età</t>
        </is>
      </c>
      <c r="F475" s="14" t="inlineStr">
        <is>
          <t>n.d. / tutte le età</t>
        </is>
      </c>
      <c r="G475" s="14" t="inlineStr">
        <is>
          <t>Albo illustrato</t>
        </is>
      </c>
      <c r="H475" s="14" t="inlineStr"/>
      <c r="I475" s="14" t="inlineStr">
        <is>
          <t>No</t>
        </is>
      </c>
      <c r="J475" s="14" t="inlineStr">
        <is>
          <t>Collana</t>
        </is>
      </c>
      <c r="K475" s="14" t="inlineStr"/>
      <c r="L475" s="14" t="inlineStr">
        <is>
          <t>Catalogo Terre di Mezzo 1° semestre 2026, p. 44 (ISBN 9788861896468)</t>
        </is>
      </c>
      <c r="M475" s="16" t="n">
        <v>18</v>
      </c>
      <c r="N475" s="14" t="inlineStr">
        <is>
          <t>Catalogo Terre di Mezzo 1° semestre 2026</t>
        </is>
      </c>
      <c r="O475" s="16">
        <f>IF(ISNUMBER(M475),ROUND(M475*(1-Condizioni!$B$2),2),"")</f>
        <v/>
      </c>
      <c r="P475" s="17" t="inlineStr">
        <is>
          <t>No</t>
        </is>
      </c>
    </row>
    <row r="476">
      <c r="A476" s="14" t="inlineStr">
        <is>
          <t>Terre di Mezzo</t>
        </is>
      </c>
      <c r="B476" s="14" t="inlineStr">
        <is>
          <t>In canto</t>
        </is>
      </c>
      <c r="C476" s="14" t="inlineStr">
        <is>
          <t>Giusi Quarenghi, Alessandro Sanna</t>
        </is>
      </c>
      <c r="D476" s="14" t="inlineStr">
        <is>
          <t>L'Acchiappastorie – Albi per tutte le età</t>
        </is>
      </c>
      <c r="E476" s="14" t="inlineStr">
        <is>
          <t>per tutte le età</t>
        </is>
      </c>
      <c r="F476" s="14" t="inlineStr">
        <is>
          <t>n.d. / tutte le età</t>
        </is>
      </c>
      <c r="G476" s="14" t="inlineStr">
        <is>
          <t>Albo illustrato</t>
        </is>
      </c>
      <c r="H476" s="14" t="inlineStr"/>
      <c r="I476" s="14" t="inlineStr">
        <is>
          <t>No</t>
        </is>
      </c>
      <c r="J476" s="14" t="inlineStr">
        <is>
          <t>Collana</t>
        </is>
      </c>
      <c r="K476" s="14" t="inlineStr"/>
      <c r="L476" s="14" t="inlineStr">
        <is>
          <t>Catalogo Terre di Mezzo 1° semestre 2026, p. 43 (ISBN 9791259961174)</t>
        </is>
      </c>
      <c r="M476" s="16" t="n">
        <v>24</v>
      </c>
      <c r="N476" s="14" t="inlineStr">
        <is>
          <t>Catalogo Terre di Mezzo 1° semestre 2026</t>
        </is>
      </c>
      <c r="O476" s="16">
        <f>IF(ISNUMBER(M476),ROUND(M476*(1-Condizioni!$B$2),2),"")</f>
        <v/>
      </c>
      <c r="P476" s="17" t="inlineStr">
        <is>
          <t>No</t>
        </is>
      </c>
    </row>
    <row r="477">
      <c r="A477" s="14" t="inlineStr">
        <is>
          <t>Terre di Mezzo</t>
        </is>
      </c>
      <c r="B477" s="14" t="inlineStr">
        <is>
          <t>Incontri disincontri</t>
        </is>
      </c>
      <c r="C477" s="14" t="inlineStr">
        <is>
          <t>Jimmy Liao</t>
        </is>
      </c>
      <c r="D477" s="14" t="inlineStr">
        <is>
          <t>L'Acchiappastorie – Albi per tutte le età</t>
        </is>
      </c>
      <c r="E477" s="14" t="inlineStr">
        <is>
          <t>per tutte le età</t>
        </is>
      </c>
      <c r="F477" s="14" t="inlineStr">
        <is>
          <t>n.d. / tutte le età</t>
        </is>
      </c>
      <c r="G477" s="14" t="inlineStr">
        <is>
          <t>Albo illustrato</t>
        </is>
      </c>
      <c r="H477" s="14" t="inlineStr"/>
      <c r="I477" s="14" t="inlineStr">
        <is>
          <t>No</t>
        </is>
      </c>
      <c r="J477" s="14" t="inlineStr">
        <is>
          <t>Collana</t>
        </is>
      </c>
      <c r="K477" s="14" t="inlineStr"/>
      <c r="L477" s="14" t="inlineStr">
        <is>
          <t>Catalogo Terre di Mezzo 1° semestre 2026, p. 47 (ISBN 9788861895393)</t>
        </is>
      </c>
      <c r="M477" s="16" t="n">
        <v>14</v>
      </c>
      <c r="N477" s="14" t="inlineStr">
        <is>
          <t>Catalogo Terre di Mezzo 1° semestre 2026</t>
        </is>
      </c>
      <c r="O477" s="16">
        <f>IF(ISNUMBER(M477),ROUND(M477*(1-Condizioni!$B$2),2),"")</f>
        <v/>
      </c>
      <c r="P477" s="17" t="inlineStr">
        <is>
          <t>No</t>
        </is>
      </c>
    </row>
    <row r="478">
      <c r="A478" s="14" t="inlineStr">
        <is>
          <t>Terre di Mezzo</t>
        </is>
      </c>
      <c r="B478" s="14" t="inlineStr">
        <is>
          <t>Innamorati</t>
        </is>
      </c>
      <c r="C478" s="14" t="inlineStr">
        <is>
          <t>Hélène Delforge, Quentin Gréban</t>
        </is>
      </c>
      <c r="D478" s="14" t="inlineStr">
        <is>
          <t>L'Acchiappastorie – Albi per tutte le età</t>
        </is>
      </c>
      <c r="E478" s="14" t="inlineStr">
        <is>
          <t>per tutte le età</t>
        </is>
      </c>
      <c r="F478" s="14" t="inlineStr">
        <is>
          <t>n.d. / tutte le età</t>
        </is>
      </c>
      <c r="G478" s="14" t="inlineStr">
        <is>
          <t>Albo illustrato</t>
        </is>
      </c>
      <c r="H478" s="14" t="inlineStr"/>
      <c r="I478" s="14" t="inlineStr">
        <is>
          <t>No</t>
        </is>
      </c>
      <c r="J478" s="14" t="inlineStr">
        <is>
          <t>Collana</t>
        </is>
      </c>
      <c r="K478" s="14" t="inlineStr"/>
      <c r="L478" s="14" t="inlineStr">
        <is>
          <t>Catalogo Terre di Mezzo 1° semestre 2026, p. 45 (ISBN 9788861896130)</t>
        </is>
      </c>
      <c r="M478" s="16" t="n">
        <v>19</v>
      </c>
      <c r="N478" s="14" t="inlineStr">
        <is>
          <t>Catalogo Terre di Mezzo 1° semestre 2026</t>
        </is>
      </c>
      <c r="O478" s="16">
        <f>IF(ISNUMBER(M478),ROUND(M478*(1-Condizioni!$B$2),2),"")</f>
        <v/>
      </c>
      <c r="P478" s="17" t="inlineStr">
        <is>
          <t>No</t>
        </is>
      </c>
    </row>
    <row r="479">
      <c r="A479" s="14" t="inlineStr">
        <is>
          <t>Terre di Mezzo</t>
        </is>
      </c>
      <c r="B479" s="14" t="inlineStr">
        <is>
          <t>Innamorati. il taccuino</t>
        </is>
      </c>
      <c r="C479" s="14" t="inlineStr">
        <is>
          <t>Hélène Delforge, Quentin Gréban</t>
        </is>
      </c>
      <c r="D479" s="14" t="inlineStr">
        <is>
          <t>L'Acchiappastorie – Albi per tutte le età</t>
        </is>
      </c>
      <c r="E479" s="14" t="inlineStr">
        <is>
          <t>per tutte le età</t>
        </is>
      </c>
      <c r="F479" s="14" t="inlineStr">
        <is>
          <t>n.d. / tutte le età</t>
        </is>
      </c>
      <c r="G479" s="14" t="inlineStr">
        <is>
          <t>Albo illustrato</t>
        </is>
      </c>
      <c r="H479" s="14" t="inlineStr"/>
      <c r="I479" s="14" t="inlineStr">
        <is>
          <t>No</t>
        </is>
      </c>
      <c r="J479" s="14" t="inlineStr">
        <is>
          <t>Collana</t>
        </is>
      </c>
      <c r="K479" s="14" t="inlineStr"/>
      <c r="L479" s="14" t="inlineStr">
        <is>
          <t>Catalogo Terre di Mezzo 1° semestre 2026, p. 45 (ISBN 9788861896949)</t>
        </is>
      </c>
      <c r="M479" s="16" t="n">
        <v>12</v>
      </c>
      <c r="N479" s="14" t="inlineStr">
        <is>
          <t>Catalogo Terre di Mezzo 1° semestre 2026</t>
        </is>
      </c>
      <c r="O479" s="16">
        <f>IF(ISNUMBER(M479),ROUND(M479*(1-Condizioni!$B$2),2),"")</f>
        <v/>
      </c>
      <c r="P479" s="17" t="inlineStr">
        <is>
          <t>No</t>
        </is>
      </c>
    </row>
    <row r="480">
      <c r="A480" s="14" t="inlineStr">
        <is>
          <t>Terre di Mezzo</t>
        </is>
      </c>
      <c r="B480" s="14" t="inlineStr">
        <is>
          <t>La forma del mare</t>
        </is>
      </c>
      <c r="C480" s="14" t="inlineStr">
        <is>
          <t>Juan Palomino</t>
        </is>
      </c>
      <c r="D480" s="14" t="inlineStr">
        <is>
          <t>L'Acchiappastorie – Albi per tutte le età</t>
        </is>
      </c>
      <c r="E480" s="14" t="inlineStr">
        <is>
          <t>per tutte le età</t>
        </is>
      </c>
      <c r="F480" s="14" t="inlineStr">
        <is>
          <t>n.d. / tutte le età</t>
        </is>
      </c>
      <c r="G480" s="14" t="inlineStr">
        <is>
          <t>Albo illustrato</t>
        </is>
      </c>
      <c r="H480" s="14" t="inlineStr"/>
      <c r="I480" s="14" t="inlineStr">
        <is>
          <t>No</t>
        </is>
      </c>
      <c r="J480" s="14" t="inlineStr">
        <is>
          <t>Collana</t>
        </is>
      </c>
      <c r="K480" s="14" t="inlineStr"/>
      <c r="L480" s="14" t="inlineStr">
        <is>
          <t>Catalogo Terre di Mezzo 1° semestre 2026, p. 44 (ISBN 9791259960566)</t>
        </is>
      </c>
      <c r="M480" s="16" t="n">
        <v>15</v>
      </c>
      <c r="N480" s="14" t="inlineStr">
        <is>
          <t>Catalogo Terre di Mezzo 1° semestre 2026</t>
        </is>
      </c>
      <c r="O480" s="16">
        <f>IF(ISNUMBER(M480),ROUND(M480*(1-Condizioni!$B$2),2),"")</f>
        <v/>
      </c>
      <c r="P480" s="17" t="inlineStr">
        <is>
          <t>No</t>
        </is>
      </c>
    </row>
    <row r="481">
      <c r="A481" s="14" t="inlineStr">
        <is>
          <t>Terre di Mezzo</t>
        </is>
      </c>
      <c r="B481" s="14" t="inlineStr">
        <is>
          <t>La gara delle coccinelle</t>
        </is>
      </c>
      <c r="C481" s="14" t="inlineStr">
        <is>
          <t>Amy Nielander</t>
        </is>
      </c>
      <c r="D481" s="14" t="inlineStr">
        <is>
          <t>L'Acchiappastorie – Silent book</t>
        </is>
      </c>
      <c r="E481" s="14" t="inlineStr">
        <is>
          <t>per tutte le età</t>
        </is>
      </c>
      <c r="F481" s="14" t="inlineStr">
        <is>
          <t>n.d. / tutte le età</t>
        </is>
      </c>
      <c r="G481" s="14" t="inlineStr">
        <is>
          <t>Silent book</t>
        </is>
      </c>
      <c r="H481" s="14" t="inlineStr"/>
      <c r="I481" s="14" t="inlineStr">
        <is>
          <t>No</t>
        </is>
      </c>
      <c r="J481" s="14" t="inlineStr">
        <is>
          <t>Collana</t>
        </is>
      </c>
      <c r="K481" s="14" t="inlineStr"/>
      <c r="L481" s="14" t="inlineStr">
        <is>
          <t>Catalogo Terre di Mezzo 1° semestre 2026, p. 41 (ISBN 9788861893672)</t>
        </is>
      </c>
      <c r="M481" s="16" t="n">
        <v>12.9</v>
      </c>
      <c r="N481" s="14" t="inlineStr">
        <is>
          <t>Catalogo Terre di Mezzo 1° semestre 2026</t>
        </is>
      </c>
      <c r="O481" s="16">
        <f>IF(ISNUMBER(M481),ROUND(M481*(1-Condizioni!$B$2),2),"")</f>
        <v/>
      </c>
      <c r="P481" s="17" t="inlineStr">
        <is>
          <t>No</t>
        </is>
      </c>
    </row>
    <row r="482">
      <c r="A482" s="14" t="inlineStr">
        <is>
          <t>Terre di Mezzo</t>
        </is>
      </c>
      <c r="B482" s="14" t="inlineStr">
        <is>
          <t>La matita</t>
        </is>
      </c>
      <c r="C482" s="14" t="inlineStr">
        <is>
          <t>Hyeeun Kim</t>
        </is>
      </c>
      <c r="D482" s="14" t="inlineStr">
        <is>
          <t>L'Acchiappastorie – Silent book</t>
        </is>
      </c>
      <c r="E482" s="14" t="inlineStr">
        <is>
          <t>per tutte le età</t>
        </is>
      </c>
      <c r="F482" s="14" t="inlineStr">
        <is>
          <t>n.d. / tutte le età</t>
        </is>
      </c>
      <c r="G482" s="14" t="inlineStr">
        <is>
          <t>Silent book</t>
        </is>
      </c>
      <c r="H482" s="14" t="inlineStr"/>
      <c r="I482" s="14" t="inlineStr">
        <is>
          <t>No</t>
        </is>
      </c>
      <c r="J482" s="14" t="inlineStr">
        <is>
          <t>Collana</t>
        </is>
      </c>
      <c r="K482" s="14" t="inlineStr"/>
      <c r="L482" s="14" t="inlineStr">
        <is>
          <t>Catalogo Terre di Mezzo 1° semestre 2026, p. 40 (ISBN 9791259961419)</t>
        </is>
      </c>
      <c r="M482" s="16" t="n">
        <v>18</v>
      </c>
      <c r="N482" s="14" t="inlineStr">
        <is>
          <t>Catalogo Terre di Mezzo 1° semestre 2026</t>
        </is>
      </c>
      <c r="O482" s="16">
        <f>IF(ISNUMBER(M482),ROUND(M482*(1-Condizioni!$B$2),2),"")</f>
        <v/>
      </c>
      <c r="P482" s="17" t="inlineStr">
        <is>
          <t>No</t>
        </is>
      </c>
    </row>
    <row r="483">
      <c r="A483" s="14" t="inlineStr">
        <is>
          <t>Terre di Mezzo</t>
        </is>
      </c>
      <c r="B483" s="14" t="inlineStr">
        <is>
          <t>La notte è piena di promesse</t>
        </is>
      </c>
      <c r="C483" s="14" t="inlineStr">
        <is>
          <t>Jérémie Decalf</t>
        </is>
      </c>
      <c r="D483" s="14" t="inlineStr">
        <is>
          <t>L'Acchiappastorie – Albi per tutte le età</t>
        </is>
      </c>
      <c r="E483" s="14" t="inlineStr">
        <is>
          <t>per tutte le età</t>
        </is>
      </c>
      <c r="F483" s="14" t="inlineStr">
        <is>
          <t>n.d. / tutte le età</t>
        </is>
      </c>
      <c r="G483" s="14" t="inlineStr">
        <is>
          <t>Albo illustrato</t>
        </is>
      </c>
      <c r="H483" s="14" t="inlineStr"/>
      <c r="I483" s="14" t="inlineStr">
        <is>
          <t>No</t>
        </is>
      </c>
      <c r="J483" s="14" t="inlineStr">
        <is>
          <t>Collana</t>
        </is>
      </c>
      <c r="K483" s="14" t="inlineStr"/>
      <c r="L483" s="14" t="inlineStr">
        <is>
          <t>Catalogo Terre di Mezzo 1° semestre 2026, p. 46 (ISBN 9788861897571)</t>
        </is>
      </c>
      <c r="M483" s="16" t="n">
        <v>18</v>
      </c>
      <c r="N483" s="14" t="inlineStr">
        <is>
          <t>Catalogo Terre di Mezzo 1° semestre 2026</t>
        </is>
      </c>
      <c r="O483" s="16">
        <f>IF(ISNUMBER(M483),ROUND(M483*(1-Condizioni!$B$2),2),"")</f>
        <v/>
      </c>
      <c r="P483" s="17" t="inlineStr">
        <is>
          <t>No</t>
        </is>
      </c>
    </row>
    <row r="484">
      <c r="A484" s="14" t="inlineStr">
        <is>
          <t>Terre di Mezzo</t>
        </is>
      </c>
      <c r="B484" s="14" t="inlineStr">
        <is>
          <t>La prima storia che abbiamo raccontato</t>
        </is>
      </c>
      <c r="C484" s="14" t="inlineStr">
        <is>
          <t>Jairo Buitrago, Rafael Yockteng</t>
        </is>
      </c>
      <c r="D484" s="14" t="inlineStr">
        <is>
          <t>L'Acchiappastorie – Silent book</t>
        </is>
      </c>
      <c r="E484" s="14" t="inlineStr">
        <is>
          <t>per tutte le età</t>
        </is>
      </c>
      <c r="F484" s="14" t="inlineStr">
        <is>
          <t>n.d. / tutte le età</t>
        </is>
      </c>
      <c r="G484" s="14" t="inlineStr">
        <is>
          <t>Silent book</t>
        </is>
      </c>
      <c r="H484" s="14" t="inlineStr"/>
      <c r="I484" s="14" t="inlineStr">
        <is>
          <t>No</t>
        </is>
      </c>
      <c r="J484" s="14" t="inlineStr">
        <is>
          <t>Collana</t>
        </is>
      </c>
      <c r="K484" s="14" t="inlineStr"/>
      <c r="L484" s="14" t="inlineStr">
        <is>
          <t>Catalogo Terre di Mezzo 1° semestre 2026, p. 40 (ISBN 9791259961815)</t>
        </is>
      </c>
      <c r="M484" s="16" t="n">
        <v>18</v>
      </c>
      <c r="N484" s="14" t="inlineStr">
        <is>
          <t>Catalogo Terre di Mezzo 1° semestre 2026</t>
        </is>
      </c>
      <c r="O484" s="16">
        <f>IF(ISNUMBER(M484),ROUND(M484*(1-Condizioni!$B$2),2),"")</f>
        <v/>
      </c>
      <c r="P484" s="17" t="inlineStr">
        <is>
          <t>No</t>
        </is>
      </c>
    </row>
    <row r="485">
      <c r="A485" s="14" t="inlineStr">
        <is>
          <t>Terre di Mezzo</t>
        </is>
      </c>
      <c r="B485" s="14" t="inlineStr">
        <is>
          <t>La rivincita delle pulci</t>
        </is>
      </c>
      <c r="C485" s="14" t="inlineStr">
        <is>
          <t>Laura Bellini</t>
        </is>
      </c>
      <c r="D485" s="14" t="inlineStr">
        <is>
          <t>L'Acchiappastorie – Albi per tutte le età</t>
        </is>
      </c>
      <c r="E485" s="14" t="inlineStr">
        <is>
          <t>per tutte le età</t>
        </is>
      </c>
      <c r="F485" s="14" t="inlineStr">
        <is>
          <t>n.d. / tutte le età</t>
        </is>
      </c>
      <c r="G485" s="14" t="inlineStr">
        <is>
          <t>Albo illustrato</t>
        </is>
      </c>
      <c r="H485" s="14" t="inlineStr"/>
      <c r="I485" s="14" t="inlineStr">
        <is>
          <t>No</t>
        </is>
      </c>
      <c r="J485" s="14" t="inlineStr">
        <is>
          <t>Collana</t>
        </is>
      </c>
      <c r="K485" s="14" t="inlineStr"/>
      <c r="L485" s="14" t="inlineStr">
        <is>
          <t>Catalogo Terre di Mezzo 1° semestre 2026, p. 42 (ISBN 9791259961136)</t>
        </is>
      </c>
      <c r="M485" s="16" t="n">
        <v>15</v>
      </c>
      <c r="N485" s="14" t="inlineStr">
        <is>
          <t>Catalogo Terre di Mezzo 1° semestre 2026</t>
        </is>
      </c>
      <c r="O485" s="16">
        <f>IF(ISNUMBER(M485),ROUND(M485*(1-Condizioni!$B$2),2),"")</f>
        <v/>
      </c>
      <c r="P485" s="17" t="inlineStr">
        <is>
          <t>No</t>
        </is>
      </c>
    </row>
    <row r="486">
      <c r="A486" s="14" t="inlineStr">
        <is>
          <t>Terre di Mezzo</t>
        </is>
      </c>
      <c r="B486" s="14" t="inlineStr">
        <is>
          <t>La stagione degli arcobaleni</t>
        </is>
      </c>
      <c r="C486" s="14" t="inlineStr">
        <is>
          <t>Sergio Olivotti, Irene Volpiano</t>
        </is>
      </c>
      <c r="D486" s="14" t="inlineStr">
        <is>
          <t>L'Acchiappastorie – Albi per tutte le età</t>
        </is>
      </c>
      <c r="E486" s="14" t="inlineStr">
        <is>
          <t>per tutte le età</t>
        </is>
      </c>
      <c r="F486" s="14" t="inlineStr">
        <is>
          <t>n.d. / tutte le età</t>
        </is>
      </c>
      <c r="G486" s="14" t="inlineStr">
        <is>
          <t>Albo illustrato</t>
        </is>
      </c>
      <c r="H486" s="14" t="inlineStr"/>
      <c r="I486" s="14" t="inlineStr">
        <is>
          <t>No</t>
        </is>
      </c>
      <c r="J486" s="14" t="inlineStr">
        <is>
          <t>Collana</t>
        </is>
      </c>
      <c r="K486" s="14" t="inlineStr"/>
      <c r="L486" s="14" t="inlineStr">
        <is>
          <t>Catalogo Terre di Mezzo 1° semestre 2026, p. 43 (ISBN 9791259962638)</t>
        </is>
      </c>
      <c r="M486" s="16" t="n">
        <v>16</v>
      </c>
      <c r="N486" s="14" t="inlineStr">
        <is>
          <t>Catalogo Terre di Mezzo 1° semestre 2026</t>
        </is>
      </c>
      <c r="O486" s="16">
        <f>IF(ISNUMBER(M486),ROUND(M486*(1-Condizioni!$B$2),2),"")</f>
        <v/>
      </c>
      <c r="P486" s="17" t="inlineStr">
        <is>
          <t>No</t>
        </is>
      </c>
    </row>
    <row r="487">
      <c r="A487" s="14" t="inlineStr">
        <is>
          <t>Terre di Mezzo</t>
        </is>
      </c>
      <c r="B487" s="14" t="inlineStr">
        <is>
          <t>La villa delle meraviglie</t>
        </is>
      </c>
      <c r="C487" s="14" t="inlineStr">
        <is>
          <t>Cléa Dieudonné</t>
        </is>
      </c>
      <c r="D487" s="14" t="inlineStr">
        <is>
          <t>L'Acchiappastorie – Silent book</t>
        </is>
      </c>
      <c r="E487" s="14" t="inlineStr">
        <is>
          <t>per tutte le età</t>
        </is>
      </c>
      <c r="F487" s="14" t="inlineStr">
        <is>
          <t>n.d. / tutte le età</t>
        </is>
      </c>
      <c r="G487" s="14" t="inlineStr">
        <is>
          <t>Silent book</t>
        </is>
      </c>
      <c r="H487" s="14" t="inlineStr"/>
      <c r="I487" s="14" t="inlineStr">
        <is>
          <t>No</t>
        </is>
      </c>
      <c r="J487" s="14" t="inlineStr">
        <is>
          <t>Collana</t>
        </is>
      </c>
      <c r="K487" s="14" t="inlineStr"/>
      <c r="L487" s="14" t="inlineStr">
        <is>
          <t>Catalogo Terre di Mezzo 1° semestre 2026, p. 39 (ISBN 9788861895423)</t>
        </is>
      </c>
      <c r="M487" s="16" t="n">
        <v>20</v>
      </c>
      <c r="N487" s="14" t="inlineStr">
        <is>
          <t>Catalogo Terre di Mezzo 1° semestre 2026</t>
        </is>
      </c>
      <c r="O487" s="16">
        <f>IF(ISNUMBER(M487),ROUND(M487*(1-Condizioni!$B$2),2),"")</f>
        <v/>
      </c>
      <c r="P487" s="17" t="inlineStr">
        <is>
          <t>No</t>
        </is>
      </c>
    </row>
    <row r="488">
      <c r="A488" s="14" t="inlineStr">
        <is>
          <t>Terre di Mezzo</t>
        </is>
      </c>
      <c r="B488" s="14" t="inlineStr">
        <is>
          <t>Libero come un pesce</t>
        </is>
      </c>
      <c r="C488" s="14" t="inlineStr">
        <is>
          <t>Jimmy Liao</t>
        </is>
      </c>
      <c r="D488" s="14" t="inlineStr">
        <is>
          <t>L'Acchiappastorie – Albi per tutte le età</t>
        </is>
      </c>
      <c r="E488" s="14" t="inlineStr">
        <is>
          <t>per tutte le età</t>
        </is>
      </c>
      <c r="F488" s="14" t="inlineStr">
        <is>
          <t>n.d. / tutte le età</t>
        </is>
      </c>
      <c r="G488" s="14" t="inlineStr">
        <is>
          <t>Albo illustrato</t>
        </is>
      </c>
      <c r="H488" s="14" t="inlineStr"/>
      <c r="I488" s="14" t="inlineStr">
        <is>
          <t>No</t>
        </is>
      </c>
      <c r="J488" s="14" t="inlineStr">
        <is>
          <t>Collana</t>
        </is>
      </c>
      <c r="K488" s="14" t="inlineStr"/>
      <c r="L488" s="14" t="inlineStr">
        <is>
          <t>Catalogo Terre di Mezzo 1° semestre 2026, p. 47 (ISBN 9788861896499)</t>
        </is>
      </c>
      <c r="M488" s="16" t="n">
        <v>16</v>
      </c>
      <c r="N488" s="14" t="inlineStr">
        <is>
          <t>Catalogo Terre di Mezzo 1° semestre 2026</t>
        </is>
      </c>
      <c r="O488" s="16">
        <f>IF(ISNUMBER(M488),ROUND(M488*(1-Condizioni!$B$2),2),"")</f>
        <v/>
      </c>
      <c r="P488" s="17" t="inlineStr">
        <is>
          <t>No</t>
        </is>
      </c>
    </row>
    <row r="489">
      <c r="A489" s="14" t="inlineStr">
        <is>
          <t>Terre di Mezzo</t>
        </is>
      </c>
      <c r="B489" s="14" t="inlineStr">
        <is>
          <t>L’angolo</t>
        </is>
      </c>
      <c r="C489" s="14" t="inlineStr">
        <is>
          <t>Zo-O</t>
        </is>
      </c>
      <c r="D489" s="14" t="inlineStr">
        <is>
          <t>L'Acchiappastorie – Albi per tutte le età</t>
        </is>
      </c>
      <c r="E489" s="14" t="inlineStr">
        <is>
          <t>per tutte le età</t>
        </is>
      </c>
      <c r="F489" s="14" t="inlineStr">
        <is>
          <t>n.d. / tutte le età</t>
        </is>
      </c>
      <c r="G489" s="14" t="inlineStr">
        <is>
          <t>Albo illustrato</t>
        </is>
      </c>
      <c r="H489" s="14" t="inlineStr"/>
      <c r="I489" s="14" t="inlineStr">
        <is>
          <t>No</t>
        </is>
      </c>
      <c r="J489" s="14" t="inlineStr">
        <is>
          <t>Collana</t>
        </is>
      </c>
      <c r="K489" s="14" t="inlineStr"/>
      <c r="L489" s="14" t="inlineStr">
        <is>
          <t>Catalogo Terre di Mezzo 1° semestre 2026, p. 43 (ISBN 9791259962652)</t>
        </is>
      </c>
      <c r="M489" s="16" t="n">
        <v>16</v>
      </c>
      <c r="N489" s="14" t="inlineStr">
        <is>
          <t>Catalogo Terre di Mezzo 1° semestre 2026</t>
        </is>
      </c>
      <c r="O489" s="16">
        <f>IF(ISNUMBER(M489),ROUND(M489*(1-Condizioni!$B$2),2),"")</f>
        <v/>
      </c>
      <c r="P489" s="17" t="inlineStr">
        <is>
          <t>No</t>
        </is>
      </c>
    </row>
    <row r="490">
      <c r="A490" s="14" t="inlineStr">
        <is>
          <t>Terre di Mezzo</t>
        </is>
      </c>
      <c r="B490" s="14" t="inlineStr">
        <is>
          <t>L’arcobaleno del tempo</t>
        </is>
      </c>
      <c r="C490" s="14" t="inlineStr">
        <is>
          <t>Jimmy Liao</t>
        </is>
      </c>
      <c r="D490" s="14" t="inlineStr">
        <is>
          <t>L'Acchiappastorie – Albi per tutte le età</t>
        </is>
      </c>
      <c r="E490" s="14" t="inlineStr">
        <is>
          <t>per tutte le età</t>
        </is>
      </c>
      <c r="F490" s="14" t="inlineStr">
        <is>
          <t>n.d. / tutte le età</t>
        </is>
      </c>
      <c r="G490" s="14" t="inlineStr">
        <is>
          <t>Albo illustrato</t>
        </is>
      </c>
      <c r="H490" s="14" t="inlineStr"/>
      <c r="I490" s="14" t="inlineStr">
        <is>
          <t>No</t>
        </is>
      </c>
      <c r="J490" s="14" t="inlineStr">
        <is>
          <t>Collana</t>
        </is>
      </c>
      <c r="K490" s="14" t="inlineStr"/>
      <c r="L490" s="14" t="inlineStr">
        <is>
          <t>Catalogo Terre di Mezzo 1° semestre 2026, p. 47 (ISBN 9791259960115)</t>
        </is>
      </c>
      <c r="M490" s="16" t="n">
        <v>18</v>
      </c>
      <c r="N490" s="14" t="inlineStr">
        <is>
          <t>Catalogo Terre di Mezzo 1° semestre 2026</t>
        </is>
      </c>
      <c r="O490" s="16">
        <f>IF(ISNUMBER(M490),ROUND(M490*(1-Condizioni!$B$2),2),"")</f>
        <v/>
      </c>
      <c r="P490" s="17" t="inlineStr">
        <is>
          <t>No</t>
        </is>
      </c>
    </row>
    <row r="491">
      <c r="A491" s="14" t="inlineStr">
        <is>
          <t>Terre di Mezzo</t>
        </is>
      </c>
      <c r="B491" s="14" t="inlineStr">
        <is>
          <t>L’estate più bella</t>
        </is>
      </c>
      <c r="C491" s="14" t="inlineStr">
        <is>
          <t>Delphine Perret</t>
        </is>
      </c>
      <c r="D491" s="14" t="inlineStr">
        <is>
          <t>L'Acchiappastorie – Albi per tutte le età</t>
        </is>
      </c>
      <c r="E491" s="14" t="inlineStr">
        <is>
          <t>per tutte le età</t>
        </is>
      </c>
      <c r="F491" s="14" t="inlineStr">
        <is>
          <t>n.d. / tutte le età</t>
        </is>
      </c>
      <c r="G491" s="14" t="inlineStr">
        <is>
          <t>Albo illustrato</t>
        </is>
      </c>
      <c r="H491" s="14" t="inlineStr"/>
      <c r="I491" s="14" t="inlineStr">
        <is>
          <t>No</t>
        </is>
      </c>
      <c r="J491" s="14" t="inlineStr">
        <is>
          <t>Collana</t>
        </is>
      </c>
      <c r="K491" s="14" t="inlineStr"/>
      <c r="L491" s="14" t="inlineStr">
        <is>
          <t>Catalogo Terre di Mezzo 1° semestre 2026, p. 44 (ISBN 9791259960559)</t>
        </is>
      </c>
      <c r="M491" s="16" t="n">
        <v>20</v>
      </c>
      <c r="N491" s="14" t="inlineStr">
        <is>
          <t>Catalogo Terre di Mezzo 1° semestre 2026</t>
        </is>
      </c>
      <c r="O491" s="16">
        <f>IF(ISNUMBER(M491),ROUND(M491*(1-Condizioni!$B$2),2),"")</f>
        <v/>
      </c>
      <c r="P491" s="17" t="inlineStr">
        <is>
          <t>No</t>
        </is>
      </c>
    </row>
    <row r="492">
      <c r="A492" s="14" t="inlineStr">
        <is>
          <t>Terre di Mezzo</t>
        </is>
      </c>
      <c r="B492" s="14" t="inlineStr">
        <is>
          <t>L’ultimo giorno d’estate</t>
        </is>
      </c>
      <c r="C492" s="14" t="inlineStr">
        <is>
          <t>Timothée de Fombelle, Irène Bonacina</t>
        </is>
      </c>
      <c r="D492" s="14" t="inlineStr">
        <is>
          <t>L'Acchiappastorie – Albi per tutte le età</t>
        </is>
      </c>
      <c r="E492" s="14" t="inlineStr">
        <is>
          <t>per tutte le età</t>
        </is>
      </c>
      <c r="F492" s="14" t="inlineStr">
        <is>
          <t>n.d. / tutte le età</t>
        </is>
      </c>
      <c r="G492" s="14" t="inlineStr">
        <is>
          <t>Albo illustrato</t>
        </is>
      </c>
      <c r="H492" s="14" t="inlineStr"/>
      <c r="I492" s="14" t="inlineStr">
        <is>
          <t>No</t>
        </is>
      </c>
      <c r="J492" s="14" t="inlineStr">
        <is>
          <t>Collana</t>
        </is>
      </c>
      <c r="K492" s="14" t="inlineStr"/>
      <c r="L492" s="14" t="inlineStr">
        <is>
          <t>Catalogo Terre di Mezzo 1° semestre 2026, p. 46 (ISBN 9791259960542)</t>
        </is>
      </c>
      <c r="M492" s="16" t="n">
        <v>18</v>
      </c>
      <c r="N492" s="14" t="inlineStr">
        <is>
          <t>Catalogo Terre di Mezzo 1° semestre 2026</t>
        </is>
      </c>
      <c r="O492" s="16">
        <f>IF(ISNUMBER(M492),ROUND(M492*(1-Condizioni!$B$2),2),"")</f>
        <v/>
      </c>
      <c r="P492" s="17" t="inlineStr">
        <is>
          <t>No</t>
        </is>
      </c>
    </row>
    <row r="493">
      <c r="A493" s="14" t="inlineStr">
        <is>
          <t>Terre di Mezzo</t>
        </is>
      </c>
      <c r="B493" s="14" t="inlineStr">
        <is>
          <t>Mamma</t>
        </is>
      </c>
      <c r="C493" s="14" t="inlineStr">
        <is>
          <t>Hélène Delforge, Quentin Gréban</t>
        </is>
      </c>
      <c r="D493" s="14" t="inlineStr">
        <is>
          <t>L'Acchiappastorie – Albi per tutte le età</t>
        </is>
      </c>
      <c r="E493" s="14" t="inlineStr">
        <is>
          <t>per tutte le età</t>
        </is>
      </c>
      <c r="F493" s="14" t="inlineStr">
        <is>
          <t>n.d. / tutte le età</t>
        </is>
      </c>
      <c r="G493" s="14" t="inlineStr">
        <is>
          <t>Albo illustrato</t>
        </is>
      </c>
      <c r="H493" s="14" t="inlineStr"/>
      <c r="I493" s="14" t="inlineStr">
        <is>
          <t>No</t>
        </is>
      </c>
      <c r="J493" s="14" t="inlineStr">
        <is>
          <t>Collana</t>
        </is>
      </c>
      <c r="K493" s="14" t="inlineStr"/>
      <c r="L493" s="14" t="inlineStr">
        <is>
          <t>Catalogo Terre di Mezzo 1° semestre 2026, p. 45 (ISBN 9788861895102)</t>
        </is>
      </c>
      <c r="M493" s="16" t="n">
        <v>19</v>
      </c>
      <c r="N493" s="14" t="inlineStr">
        <is>
          <t>Catalogo Terre di Mezzo 1° semestre 2026</t>
        </is>
      </c>
      <c r="O493" s="16">
        <f>IF(ISNUMBER(M493),ROUND(M493*(1-Condizioni!$B$2),2),"")</f>
        <v/>
      </c>
      <c r="P493" s="17" t="inlineStr">
        <is>
          <t>No</t>
        </is>
      </c>
    </row>
    <row r="494">
      <c r="A494" s="14" t="inlineStr">
        <is>
          <t>Terre di Mezzo</t>
        </is>
      </c>
      <c r="B494" s="14" t="inlineStr">
        <is>
          <t>Mamma, papà, Cosa fate di notte?</t>
        </is>
      </c>
      <c r="C494" s="14" t="inlineStr">
        <is>
          <t>Thierry Lenain, Barroux</t>
        </is>
      </c>
      <c r="D494" s="14" t="inlineStr">
        <is>
          <t>L'Acchiappastorie – Silent book</t>
        </is>
      </c>
      <c r="E494" s="14" t="inlineStr">
        <is>
          <t>per tutte le età</t>
        </is>
      </c>
      <c r="F494" s="14" t="inlineStr">
        <is>
          <t>n.d. / tutte le età</t>
        </is>
      </c>
      <c r="G494" s="14" t="inlineStr">
        <is>
          <t>Silent book</t>
        </is>
      </c>
      <c r="H494" s="14" t="inlineStr"/>
      <c r="I494" s="14" t="inlineStr">
        <is>
          <t>No</t>
        </is>
      </c>
      <c r="J494" s="14" t="inlineStr">
        <is>
          <t>Collana</t>
        </is>
      </c>
      <c r="K494" s="14" t="inlineStr"/>
      <c r="L494" s="14" t="inlineStr">
        <is>
          <t>Catalogo Terre di Mezzo 1° semestre 2026, p. 39 (ISBN 9788861895065)</t>
        </is>
      </c>
      <c r="M494" s="16" t="n">
        <v>15</v>
      </c>
      <c r="N494" s="14" t="inlineStr">
        <is>
          <t>Catalogo Terre di Mezzo 1° semestre 2026</t>
        </is>
      </c>
      <c r="O494" s="16">
        <f>IF(ISNUMBER(M494),ROUND(M494*(1-Condizioni!$B$2),2),"")</f>
        <v/>
      </c>
      <c r="P494" s="17" t="inlineStr">
        <is>
          <t>No</t>
        </is>
      </c>
    </row>
    <row r="495">
      <c r="A495" s="14" t="inlineStr">
        <is>
          <t>Terre di Mezzo</t>
        </is>
      </c>
      <c r="B495" s="14" t="inlineStr">
        <is>
          <t>Mamma. il taccuino</t>
        </is>
      </c>
      <c r="C495" s="14" t="inlineStr">
        <is>
          <t>Hélène Delforge, Quentin Gréban</t>
        </is>
      </c>
      <c r="D495" s="14" t="inlineStr">
        <is>
          <t>L'Acchiappastorie – Albi per tutte le età</t>
        </is>
      </c>
      <c r="E495" s="14" t="inlineStr">
        <is>
          <t>per tutte le età</t>
        </is>
      </c>
      <c r="F495" s="14" t="inlineStr">
        <is>
          <t>n.d. / tutte le età</t>
        </is>
      </c>
      <c r="G495" s="14" t="inlineStr">
        <is>
          <t>Albo illustrato</t>
        </is>
      </c>
      <c r="H495" s="14" t="inlineStr"/>
      <c r="I495" s="14" t="inlineStr">
        <is>
          <t>No</t>
        </is>
      </c>
      <c r="J495" s="14" t="inlineStr">
        <is>
          <t>Collana</t>
        </is>
      </c>
      <c r="K495" s="14" t="inlineStr"/>
      <c r="L495" s="14" t="inlineStr">
        <is>
          <t>Catalogo Terre di Mezzo 1° semestre 2026, p. 45 (ISBN 9788861895850)</t>
        </is>
      </c>
      <c r="M495" s="16" t="n">
        <v>12</v>
      </c>
      <c r="N495" s="14" t="inlineStr">
        <is>
          <t>Catalogo Terre di Mezzo 1° semestre 2026</t>
        </is>
      </c>
      <c r="O495" s="16">
        <f>IF(ISNUMBER(M495),ROUND(M495*(1-Condizioni!$B$2),2),"")</f>
        <v/>
      </c>
      <c r="P495" s="17" t="inlineStr">
        <is>
          <t>No</t>
        </is>
      </c>
    </row>
    <row r="496">
      <c r="A496" s="14" t="inlineStr">
        <is>
          <t>Terre di Mezzo</t>
        </is>
      </c>
      <c r="B496" s="14" t="inlineStr">
        <is>
          <t>Meravigliose sirene</t>
        </is>
      </c>
      <c r="C496" s="14" t="inlineStr">
        <is>
          <t>Olivia Godat, Rémi Giordano, Laura Pérez</t>
        </is>
      </c>
      <c r="D496" s="14" t="inlineStr">
        <is>
          <t>L'Acchiappastorie – Albi per tutte le età</t>
        </is>
      </c>
      <c r="E496" s="14" t="inlineStr">
        <is>
          <t>per tutte le età</t>
        </is>
      </c>
      <c r="F496" s="14" t="inlineStr">
        <is>
          <t>n.d. / tutte le età</t>
        </is>
      </c>
      <c r="G496" s="14" t="inlineStr">
        <is>
          <t>Albo illustrato</t>
        </is>
      </c>
      <c r="H496" s="14" t="inlineStr"/>
      <c r="I496" s="14" t="inlineStr">
        <is>
          <t>No</t>
        </is>
      </c>
      <c r="J496" s="14" t="inlineStr">
        <is>
          <t>Collana</t>
        </is>
      </c>
      <c r="K496" s="14" t="inlineStr"/>
      <c r="L496" s="14" t="inlineStr">
        <is>
          <t>Catalogo Terre di Mezzo 1° semestre 2026, p. 42 (ISBN 9791259962973)</t>
        </is>
      </c>
      <c r="M496" s="16" t="n">
        <v>20</v>
      </c>
      <c r="N496" s="14" t="inlineStr">
        <is>
          <t>Catalogo Terre di Mezzo 1° semestre 2026</t>
        </is>
      </c>
      <c r="O496" s="16">
        <f>IF(ISNUMBER(M496),ROUND(M496*(1-Condizioni!$B$2),2),"")</f>
        <v/>
      </c>
      <c r="P496" s="17" t="inlineStr">
        <is>
          <t>No</t>
        </is>
      </c>
    </row>
    <row r="497">
      <c r="A497" s="14" t="inlineStr">
        <is>
          <t>Terre di Mezzo</t>
        </is>
      </c>
      <c r="B497" s="14" t="inlineStr">
        <is>
          <t>Monte latte</t>
        </is>
      </c>
      <c r="C497" s="14" t="inlineStr">
        <is>
          <t>Melania Longo, Alessandro Sanna</t>
        </is>
      </c>
      <c r="D497" s="14" t="inlineStr">
        <is>
          <t>L'Acchiappastorie – Albi per tutte le età</t>
        </is>
      </c>
      <c r="E497" s="14" t="inlineStr">
        <is>
          <t>per tutte le età</t>
        </is>
      </c>
      <c r="F497" s="14" t="inlineStr">
        <is>
          <t>n.d. / tutte le età</t>
        </is>
      </c>
      <c r="G497" s="14" t="inlineStr">
        <is>
          <t>Albo illustrato</t>
        </is>
      </c>
      <c r="H497" s="14" t="inlineStr"/>
      <c r="I497" s="14" t="inlineStr">
        <is>
          <t>No</t>
        </is>
      </c>
      <c r="J497" s="14" t="inlineStr">
        <is>
          <t>Collana</t>
        </is>
      </c>
      <c r="K497" s="14" t="inlineStr"/>
      <c r="L497" s="14" t="inlineStr">
        <is>
          <t>Catalogo Terre di Mezzo 1° semestre 2026, p. 43 (ISBN 9788861897472)</t>
        </is>
      </c>
      <c r="M497" s="16" t="n">
        <v>15</v>
      </c>
      <c r="N497" s="14" t="inlineStr">
        <is>
          <t>Catalogo Terre di Mezzo 1° semestre 2026</t>
        </is>
      </c>
      <c r="O497" s="16">
        <f>IF(ISNUMBER(M497),ROUND(M497*(1-Condizioni!$B$2),2),"")</f>
        <v/>
      </c>
      <c r="P497" s="17" t="inlineStr">
        <is>
          <t>No</t>
        </is>
      </c>
    </row>
    <row r="498">
      <c r="A498" s="14" t="inlineStr">
        <is>
          <t>Terre di Mezzo</t>
        </is>
      </c>
      <c r="B498" s="14" t="inlineStr">
        <is>
          <t>Nel mio giardino il mondo</t>
        </is>
      </c>
      <c r="C498" s="14" t="inlineStr">
        <is>
          <t>Irene Penazzi</t>
        </is>
      </c>
      <c r="D498" s="14" t="inlineStr">
        <is>
          <t>L'Acchiappastorie – Silent book</t>
        </is>
      </c>
      <c r="E498" s="14" t="inlineStr">
        <is>
          <t>per tutte le età</t>
        </is>
      </c>
      <c r="F498" s="14" t="inlineStr">
        <is>
          <t>n.d. / tutte le età</t>
        </is>
      </c>
      <c r="G498" s="14" t="inlineStr">
        <is>
          <t>Silent book</t>
        </is>
      </c>
      <c r="H498" s="14" t="inlineStr"/>
      <c r="I498" s="14" t="inlineStr">
        <is>
          <t>No</t>
        </is>
      </c>
      <c r="J498" s="14" t="inlineStr">
        <is>
          <t>Collana</t>
        </is>
      </c>
      <c r="K498" s="14" t="inlineStr"/>
      <c r="L498" s="14" t="inlineStr">
        <is>
          <t>Catalogo Terre di Mezzo 1° semestre 2026, p. 40 (ISBN 9788861895157)</t>
        </is>
      </c>
      <c r="M498" s="16" t="n">
        <v>16</v>
      </c>
      <c r="N498" s="14" t="inlineStr">
        <is>
          <t>Catalogo Terre di Mezzo 1° semestre 2026</t>
        </is>
      </c>
      <c r="O498" s="16">
        <f>IF(ISNUMBER(M498),ROUND(M498*(1-Condizioni!$B$2),2),"")</f>
        <v/>
      </c>
      <c r="P498" s="17" t="inlineStr">
        <is>
          <t>No</t>
        </is>
      </c>
    </row>
    <row r="499">
      <c r="A499" s="14" t="inlineStr">
        <is>
          <t>Terre di Mezzo</t>
        </is>
      </c>
      <c r="B499" s="14" t="inlineStr">
        <is>
          <t>Nello spazio di uno sguardo</t>
        </is>
      </c>
      <c r="C499" s="14" t="inlineStr">
        <is>
          <t>Tom Haugomat</t>
        </is>
      </c>
      <c r="D499" s="14" t="inlineStr">
        <is>
          <t>L'Acchiappastorie – Albi per tutte le età</t>
        </is>
      </c>
      <c r="E499" s="14" t="inlineStr">
        <is>
          <t>per tutte le età</t>
        </is>
      </c>
      <c r="F499" s="14" t="inlineStr">
        <is>
          <t>n.d. / tutte le età</t>
        </is>
      </c>
      <c r="G499" s="14" t="inlineStr">
        <is>
          <t>Albo illustrato</t>
        </is>
      </c>
      <c r="H499" s="14" t="inlineStr"/>
      <c r="I499" s="14" t="inlineStr">
        <is>
          <t>No</t>
        </is>
      </c>
      <c r="J499" s="14" t="inlineStr">
        <is>
          <t>Collana</t>
        </is>
      </c>
      <c r="K499" s="14" t="inlineStr"/>
      <c r="L499" s="14" t="inlineStr">
        <is>
          <t>Catalogo Terre di Mezzo 1° semestre 2026, p. 46 (ISBN 9788861895522)</t>
        </is>
      </c>
      <c r="M499" s="16" t="n">
        <v>20</v>
      </c>
      <c r="N499" s="14" t="inlineStr">
        <is>
          <t>Catalogo Terre di Mezzo 1° semestre 2026</t>
        </is>
      </c>
      <c r="O499" s="16">
        <f>IF(ISNUMBER(M499),ROUND(M499*(1-Condizioni!$B$2),2),"")</f>
        <v/>
      </c>
      <c r="P499" s="17" t="inlineStr">
        <is>
          <t>No</t>
        </is>
      </c>
    </row>
    <row r="500">
      <c r="A500" s="14" t="inlineStr">
        <is>
          <t>Terre di Mezzo</t>
        </is>
      </c>
      <c r="B500" s="14" t="inlineStr">
        <is>
          <t>Papà</t>
        </is>
      </c>
      <c r="C500" s="14" t="inlineStr">
        <is>
          <t>Hélène Delforge, Quentin Gréban</t>
        </is>
      </c>
      <c r="D500" s="14" t="inlineStr">
        <is>
          <t>L'Acchiappastorie – Albi per tutte le età</t>
        </is>
      </c>
      <c r="E500" s="14" t="inlineStr">
        <is>
          <t>per tutte le età</t>
        </is>
      </c>
      <c r="F500" s="14" t="inlineStr">
        <is>
          <t>n.d. / tutte le età</t>
        </is>
      </c>
      <c r="G500" s="14" t="inlineStr">
        <is>
          <t>Albo illustrato</t>
        </is>
      </c>
      <c r="H500" s="14" t="inlineStr"/>
      <c r="I500" s="14" t="inlineStr">
        <is>
          <t>No</t>
        </is>
      </c>
      <c r="J500" s="14" t="inlineStr">
        <is>
          <t>Collana</t>
        </is>
      </c>
      <c r="K500" s="14" t="inlineStr"/>
      <c r="L500" s="14" t="inlineStr">
        <is>
          <t>Catalogo Terre di Mezzo 1° semestre 2026, p. 45 (ISBN 9791259961655)</t>
        </is>
      </c>
      <c r="M500" s="16" t="n">
        <v>19</v>
      </c>
      <c r="N500" s="14" t="inlineStr">
        <is>
          <t>Catalogo Terre di Mezzo 1° semestre 2026</t>
        </is>
      </c>
      <c r="O500" s="16">
        <f>IF(ISNUMBER(M500),ROUND(M500*(1-Condizioni!$B$2),2),"")</f>
        <v/>
      </c>
      <c r="P500" s="17" t="inlineStr">
        <is>
          <t>No</t>
        </is>
      </c>
    </row>
    <row r="501">
      <c r="A501" s="14" t="inlineStr">
        <is>
          <t>Terre di Mezzo</t>
        </is>
      </c>
      <c r="B501" s="14" t="inlineStr">
        <is>
          <t>Qualcuno mi aspetta dietro la neve</t>
        </is>
      </c>
      <c r="C501" s="14" t="inlineStr">
        <is>
          <t>Timothée de Fombelle, Thomas Campi</t>
        </is>
      </c>
      <c r="D501" s="14" t="inlineStr">
        <is>
          <t>L'Acchiappastorie – Albi per tutte le età</t>
        </is>
      </c>
      <c r="E501" s="14" t="inlineStr">
        <is>
          <t>per tutte le età</t>
        </is>
      </c>
      <c r="F501" s="14" t="inlineStr">
        <is>
          <t>n.d. / tutte le età</t>
        </is>
      </c>
      <c r="G501" s="14" t="inlineStr">
        <is>
          <t>Albo illustrato</t>
        </is>
      </c>
      <c r="H501" s="14" t="inlineStr"/>
      <c r="I501" s="14" t="inlineStr">
        <is>
          <t>No</t>
        </is>
      </c>
      <c r="J501" s="14" t="inlineStr">
        <is>
          <t>Collana</t>
        </is>
      </c>
      <c r="K501" s="14" t="inlineStr"/>
      <c r="L501" s="14" t="inlineStr">
        <is>
          <t>Catalogo Terre di Mezzo 1° semestre 2026, p. 46 (ISBN 9791259962997)</t>
        </is>
      </c>
      <c r="M501" s="16" t="n">
        <v>14</v>
      </c>
      <c r="N501" s="14" t="inlineStr">
        <is>
          <t>Catalogo Terre di Mezzo 1° semestre 2026</t>
        </is>
      </c>
      <c r="O501" s="16">
        <f>IF(ISNUMBER(M501),ROUND(M501*(1-Condizioni!$B$2),2),"")</f>
        <v/>
      </c>
      <c r="P501" s="17" t="inlineStr">
        <is>
          <t>No</t>
        </is>
      </c>
    </row>
    <row r="502">
      <c r="A502" s="14" t="inlineStr">
        <is>
          <t>Terre di Mezzo</t>
        </is>
      </c>
      <c r="B502" s="14" t="inlineStr">
        <is>
          <t>Sdeng bum splash!</t>
        </is>
      </c>
      <c r="C502" s="14" t="inlineStr">
        <is>
          <t>Benjamin Gottwald</t>
        </is>
      </c>
      <c r="D502" s="14" t="inlineStr">
        <is>
          <t>L'Acchiappastorie – Silent book</t>
        </is>
      </c>
      <c r="E502" s="14" t="inlineStr">
        <is>
          <t>per tutte le età</t>
        </is>
      </c>
      <c r="F502" s="14" t="inlineStr">
        <is>
          <t>n.d. / tutte le età</t>
        </is>
      </c>
      <c r="G502" s="14" t="inlineStr">
        <is>
          <t>Silent book</t>
        </is>
      </c>
      <c r="H502" s="14" t="inlineStr"/>
      <c r="I502" s="14" t="inlineStr">
        <is>
          <t>No</t>
        </is>
      </c>
      <c r="J502" s="14" t="inlineStr">
        <is>
          <t>Collana</t>
        </is>
      </c>
      <c r="K502" s="14" t="inlineStr"/>
      <c r="L502" s="14" t="inlineStr">
        <is>
          <t>Catalogo Terre di Mezzo 1° semestre 2026, p. 40 (ISBN 9791259960955)</t>
        </is>
      </c>
      <c r="M502" s="16" t="n">
        <v>18</v>
      </c>
      <c r="N502" s="14" t="inlineStr">
        <is>
          <t>Catalogo Terre di Mezzo 1° semestre 2026</t>
        </is>
      </c>
      <c r="O502" s="16">
        <f>IF(ISNUMBER(M502),ROUND(M502*(1-Condizioni!$B$2),2),"")</f>
        <v/>
      </c>
      <c r="P502" s="17" t="inlineStr">
        <is>
          <t>No</t>
        </is>
      </c>
    </row>
    <row r="503">
      <c r="A503" s="14" t="inlineStr">
        <is>
          <t>Terre di Mezzo</t>
        </is>
      </c>
      <c r="B503" s="14" t="inlineStr">
        <is>
          <t>Sei tu che mi salvi</t>
        </is>
      </c>
      <c r="C503" s="14" t="inlineStr">
        <is>
          <t>Jimmy Liao</t>
        </is>
      </c>
      <c r="D503" s="14" t="inlineStr">
        <is>
          <t>L'Acchiappastorie – Albi per tutte le età</t>
        </is>
      </c>
      <c r="E503" s="14" t="inlineStr">
        <is>
          <t>per tutte le età</t>
        </is>
      </c>
      <c r="F503" s="14" t="inlineStr">
        <is>
          <t>n.d. / tutte le età</t>
        </is>
      </c>
      <c r="G503" s="14" t="inlineStr">
        <is>
          <t>Albo illustrato</t>
        </is>
      </c>
      <c r="H503" s="14" t="inlineStr"/>
      <c r="I503" s="14" t="inlineStr">
        <is>
          <t>No</t>
        </is>
      </c>
      <c r="J503" s="14" t="inlineStr">
        <is>
          <t>Collana</t>
        </is>
      </c>
      <c r="K503" s="14" t="inlineStr"/>
      <c r="L503" s="14" t="inlineStr">
        <is>
          <t>Catalogo Terre di Mezzo 1° semestre 2026, p. 47 (ISBN 9788861897311)</t>
        </is>
      </c>
      <c r="M503" s="16" t="n">
        <v>18</v>
      </c>
      <c r="N503" s="14" t="inlineStr">
        <is>
          <t>Catalogo Terre di Mezzo 1° semestre 2026</t>
        </is>
      </c>
      <c r="O503" s="16">
        <f>IF(ISNUMBER(M503),ROUND(M503*(1-Condizioni!$B$2),2),"")</f>
        <v/>
      </c>
      <c r="P503" s="17" t="inlineStr">
        <is>
          <t>No</t>
        </is>
      </c>
    </row>
    <row r="504">
      <c r="A504" s="14" t="inlineStr">
        <is>
          <t>Terre di Mezzo</t>
        </is>
      </c>
      <c r="B504" s="14" t="inlineStr">
        <is>
          <t>Selvaggio come te</t>
        </is>
      </c>
      <c r="C504" s="14" t="inlineStr">
        <is>
          <t>Gauthier David, Claire de Gastold</t>
        </is>
      </c>
      <c r="D504" s="14" t="inlineStr">
        <is>
          <t>L'Acchiappastorie – Silent book</t>
        </is>
      </c>
      <c r="E504" s="14" t="inlineStr">
        <is>
          <t>per tutte le età</t>
        </is>
      </c>
      <c r="F504" s="14" t="inlineStr">
        <is>
          <t>n.d. / tutte le età</t>
        </is>
      </c>
      <c r="G504" s="14" t="inlineStr">
        <is>
          <t>Silent book</t>
        </is>
      </c>
      <c r="H504" s="14" t="inlineStr"/>
      <c r="I504" s="14" t="inlineStr">
        <is>
          <t>No</t>
        </is>
      </c>
      <c r="J504" s="14" t="inlineStr">
        <is>
          <t>Collana</t>
        </is>
      </c>
      <c r="K504" s="14" t="inlineStr"/>
      <c r="L504" s="14" t="inlineStr">
        <is>
          <t>Catalogo Terre di Mezzo 1° semestre 2026, p. 39 (ISBN 9788861895935)</t>
        </is>
      </c>
      <c r="M504" s="16" t="n">
        <v>15</v>
      </c>
      <c r="N504" s="14" t="inlineStr">
        <is>
          <t>Catalogo Terre di Mezzo 1° semestre 2026</t>
        </is>
      </c>
      <c r="O504" s="16">
        <f>IF(ISNUMBER(M504),ROUND(M504*(1-Condizioni!$B$2),2),"")</f>
        <v/>
      </c>
      <c r="P504" s="17" t="inlineStr">
        <is>
          <t>No</t>
        </is>
      </c>
    </row>
    <row r="505">
      <c r="A505" s="14" t="inlineStr">
        <is>
          <t>Terre di Mezzo</t>
        </is>
      </c>
      <c r="B505" s="14" t="inlineStr">
        <is>
          <t>Storia di jo</t>
        </is>
      </c>
      <c r="C505" s="14" t="inlineStr">
        <is>
          <t>Elena Bulay</t>
        </is>
      </c>
      <c r="D505" s="14" t="inlineStr">
        <is>
          <t>L'Acchiappastorie – Albi per tutte le età</t>
        </is>
      </c>
      <c r="E505" s="14" t="inlineStr">
        <is>
          <t>per tutte le età</t>
        </is>
      </c>
      <c r="F505" s="14" t="inlineStr">
        <is>
          <t>n.d. / tutte le età</t>
        </is>
      </c>
      <c r="G505" s="14" t="inlineStr">
        <is>
          <t>Albo illustrato</t>
        </is>
      </c>
      <c r="H505" s="14" t="inlineStr"/>
      <c r="I505" s="14" t="inlineStr">
        <is>
          <t>No</t>
        </is>
      </c>
      <c r="J505" s="14" t="inlineStr">
        <is>
          <t>Collana</t>
        </is>
      </c>
      <c r="K505" s="14" t="inlineStr"/>
      <c r="L505" s="14" t="inlineStr">
        <is>
          <t>Catalogo Terre di Mezzo 1° semestre 2026, p. 46 (ISBN 9791259960924)</t>
        </is>
      </c>
      <c r="M505" s="16" t="n">
        <v>20</v>
      </c>
      <c r="N505" s="14" t="inlineStr">
        <is>
          <t>Catalogo Terre di Mezzo 1° semestre 2026</t>
        </is>
      </c>
      <c r="O505" s="16">
        <f>IF(ISNUMBER(M505),ROUND(M505*(1-Condizioni!$B$2),2),"")</f>
        <v/>
      </c>
      <c r="P505" s="17" t="inlineStr">
        <is>
          <t>No</t>
        </is>
      </c>
    </row>
    <row r="506">
      <c r="A506" s="14" t="inlineStr">
        <is>
          <t>Terre di Mezzo</t>
        </is>
      </c>
      <c r="B506" s="14" t="inlineStr">
        <is>
          <t>Su e giù per le montagne</t>
        </is>
      </c>
      <c r="C506" s="14" t="inlineStr">
        <is>
          <t>Irene Penazzi</t>
        </is>
      </c>
      <c r="D506" s="14" t="inlineStr">
        <is>
          <t>L'Acchiappastorie – Silent book</t>
        </is>
      </c>
      <c r="E506" s="14" t="inlineStr">
        <is>
          <t>per tutte le età</t>
        </is>
      </c>
      <c r="F506" s="14" t="inlineStr">
        <is>
          <t>n.d. / tutte le età</t>
        </is>
      </c>
      <c r="G506" s="14" t="inlineStr">
        <is>
          <t>Silent book</t>
        </is>
      </c>
      <c r="H506" s="14" t="inlineStr"/>
      <c r="I506" s="14" t="inlineStr">
        <is>
          <t>No</t>
        </is>
      </c>
      <c r="J506" s="14" t="inlineStr">
        <is>
          <t>Collana</t>
        </is>
      </c>
      <c r="K506" s="14" t="inlineStr"/>
      <c r="L506" s="14" t="inlineStr">
        <is>
          <t>Catalogo Terre di Mezzo 1° semestre 2026, p. 40 (ISBN 9788861896789)</t>
        </is>
      </c>
      <c r="M506" s="16" t="n">
        <v>16</v>
      </c>
      <c r="N506" s="14" t="inlineStr">
        <is>
          <t>Catalogo Terre di Mezzo 1° semestre 2026</t>
        </is>
      </c>
      <c r="O506" s="16">
        <f>IF(ISNUMBER(M506),ROUND(M506*(1-Condizioni!$B$2),2),"")</f>
        <v/>
      </c>
      <c r="P506" s="17" t="inlineStr">
        <is>
          <t>No</t>
        </is>
      </c>
    </row>
    <row r="507">
      <c r="A507" s="14" t="inlineStr">
        <is>
          <t>Terre di Mezzo</t>
        </is>
      </c>
      <c r="B507" s="14" t="inlineStr">
        <is>
          <t>Tempesta</t>
        </is>
      </c>
      <c r="C507" s="14" t="inlineStr">
        <is>
          <t>Guojing</t>
        </is>
      </c>
      <c r="D507" s="14" t="inlineStr">
        <is>
          <t>L'Acchiappastorie – Silent book</t>
        </is>
      </c>
      <c r="E507" s="14" t="inlineStr">
        <is>
          <t>per tutte le età</t>
        </is>
      </c>
      <c r="F507" s="14" t="inlineStr">
        <is>
          <t>n.d. / tutte le età</t>
        </is>
      </c>
      <c r="G507" s="14" t="inlineStr">
        <is>
          <t>Silent book</t>
        </is>
      </c>
      <c r="H507" s="14" t="inlineStr"/>
      <c r="I507" s="14" t="inlineStr">
        <is>
          <t>No</t>
        </is>
      </c>
      <c r="J507" s="14" t="inlineStr">
        <is>
          <t>Collana</t>
        </is>
      </c>
      <c r="K507" s="14" t="inlineStr"/>
      <c r="L507" s="14" t="inlineStr">
        <is>
          <t>Catalogo Terre di Mezzo 1° semestre 2026, p. 41 (ISBN 9788861896208)</t>
        </is>
      </c>
      <c r="M507" s="16" t="n">
        <v>16</v>
      </c>
      <c r="N507" s="14" t="inlineStr">
        <is>
          <t>Catalogo Terre di Mezzo 1° semestre 2026</t>
        </is>
      </c>
      <c r="O507" s="16">
        <f>IF(ISNUMBER(M507),ROUND(M507*(1-Condizioni!$B$2),2),"")</f>
        <v/>
      </c>
      <c r="P507" s="17" t="inlineStr">
        <is>
          <t>No</t>
        </is>
      </c>
    </row>
    <row r="508">
      <c r="A508" s="14" t="inlineStr">
        <is>
          <t>Terre di Mezzo</t>
        </is>
      </c>
      <c r="B508" s="14" t="inlineStr">
        <is>
          <t>Terra ultima</t>
        </is>
      </c>
      <c r="C508" s="14" t="inlineStr">
        <is>
          <t>Noah J. Stern, Raoul Deleo</t>
        </is>
      </c>
      <c r="D508" s="14" t="inlineStr">
        <is>
          <t>L'Acchiappastorie – Albi per tutte le età</t>
        </is>
      </c>
      <c r="E508" s="14" t="inlineStr">
        <is>
          <t>per tutte le età</t>
        </is>
      </c>
      <c r="F508" s="14" t="inlineStr">
        <is>
          <t>n.d. / tutte le età</t>
        </is>
      </c>
      <c r="G508" s="14" t="inlineStr">
        <is>
          <t>Albo illustrato</t>
        </is>
      </c>
      <c r="H508" s="14" t="inlineStr"/>
      <c r="I508" s="14" t="inlineStr">
        <is>
          <t>No</t>
        </is>
      </c>
      <c r="J508" s="14" t="inlineStr">
        <is>
          <t>Collana</t>
        </is>
      </c>
      <c r="K508" s="14" t="inlineStr"/>
      <c r="L508" s="14" t="inlineStr">
        <is>
          <t>Catalogo Terre di Mezzo 1° semestre 2026, p. 46 (ISBN 9791259961068)</t>
        </is>
      </c>
      <c r="M508" s="16" t="n">
        <v>20</v>
      </c>
      <c r="N508" s="14" t="inlineStr">
        <is>
          <t>Catalogo Terre di Mezzo 1° semestre 2026</t>
        </is>
      </c>
      <c r="O508" s="16">
        <f>IF(ISNUMBER(M508),ROUND(M508*(1-Condizioni!$B$2),2),"")</f>
        <v/>
      </c>
      <c r="P508" s="17" t="inlineStr">
        <is>
          <t>No</t>
        </is>
      </c>
    </row>
    <row r="509">
      <c r="A509" s="14" t="inlineStr">
        <is>
          <t>Terre di Mezzo</t>
        </is>
      </c>
      <c r="B509" s="14" t="inlineStr">
        <is>
          <t>Tu sei una meraviglia</t>
        </is>
      </c>
      <c r="C509" s="14" t="inlineStr">
        <is>
          <t>Kobi Yamada, Gabriella Barouch</t>
        </is>
      </c>
      <c r="D509" s="14" t="inlineStr">
        <is>
          <t>L'Acchiappastorie – Albi per tutte le età</t>
        </is>
      </c>
      <c r="E509" s="14" t="inlineStr">
        <is>
          <t>per tutte le età</t>
        </is>
      </c>
      <c r="F509" s="14" t="inlineStr">
        <is>
          <t>n.d. / tutte le età</t>
        </is>
      </c>
      <c r="G509" s="14" t="inlineStr">
        <is>
          <t>Albo illustrato</t>
        </is>
      </c>
      <c r="H509" s="14" t="inlineStr"/>
      <c r="I509" s="14" t="inlineStr">
        <is>
          <t>No</t>
        </is>
      </c>
      <c r="J509" s="14" t="inlineStr">
        <is>
          <t>Collana</t>
        </is>
      </c>
      <c r="K509" s="14" t="inlineStr"/>
      <c r="L509" s="14" t="inlineStr">
        <is>
          <t>Catalogo Terre di Mezzo 1° semestre 2026, p. 44 (ISBN 9791259962669)</t>
        </is>
      </c>
      <c r="M509" s="16" t="n">
        <v>16</v>
      </c>
      <c r="N509" s="14" t="inlineStr">
        <is>
          <t>Catalogo Terre di Mezzo 1° semestre 2026</t>
        </is>
      </c>
      <c r="O509" s="16">
        <f>IF(ISNUMBER(M509),ROUND(M509*(1-Condizioni!$B$2),2),"")</f>
        <v/>
      </c>
      <c r="P509" s="17" t="inlineStr">
        <is>
          <t>No</t>
        </is>
      </c>
    </row>
    <row r="510">
      <c r="A510" s="14" t="inlineStr">
        <is>
          <t>Terre di Mezzo</t>
        </is>
      </c>
      <c r="B510" s="14" t="inlineStr">
        <is>
          <t>Tutta la forza di un fiore</t>
        </is>
      </c>
      <c r="C510" s="14" t="inlineStr">
        <is>
          <t>Silvio Boselli</t>
        </is>
      </c>
      <c r="D510" s="14" t="inlineStr">
        <is>
          <t>L'Acchiappastorie – Albi per tutte le età</t>
        </is>
      </c>
      <c r="E510" s="14" t="inlineStr">
        <is>
          <t>per tutte le età</t>
        </is>
      </c>
      <c r="F510" s="14" t="inlineStr">
        <is>
          <t>n.d. / tutte le età</t>
        </is>
      </c>
      <c r="G510" s="14" t="inlineStr">
        <is>
          <t>Albo illustrato</t>
        </is>
      </c>
      <c r="H510" s="14" t="inlineStr"/>
      <c r="I510" s="14" t="inlineStr">
        <is>
          <t>No</t>
        </is>
      </c>
      <c r="J510" s="14" t="inlineStr">
        <is>
          <t>Collana</t>
        </is>
      </c>
      <c r="K510" s="14" t="inlineStr"/>
      <c r="L510" s="14" t="inlineStr">
        <is>
          <t>Catalogo Terre di Mezzo 1° semestre 2026, p. 42 (ISBN 9788861896802)</t>
        </is>
      </c>
      <c r="M510" s="16" t="n">
        <v>15</v>
      </c>
      <c r="N510" s="14" t="inlineStr">
        <is>
          <t>Catalogo Terre di Mezzo 1° semestre 2026</t>
        </is>
      </c>
      <c r="O510" s="16">
        <f>IF(ISNUMBER(M510),ROUND(M510*(1-Condizioni!$B$2),2),"")</f>
        <v/>
      </c>
      <c r="P510" s="17" t="inlineStr">
        <is>
          <t>No</t>
        </is>
      </c>
    </row>
    <row r="511">
      <c r="A511" s="14" t="inlineStr">
        <is>
          <t>Terre di Mezzo</t>
        </is>
      </c>
      <c r="B511" s="14" t="inlineStr">
        <is>
          <t>Via della gentilezza</t>
        </is>
      </c>
      <c r="C511" s="14" t="inlineStr">
        <is>
          <t>Marta Bartolj</t>
        </is>
      </c>
      <c r="D511" s="14" t="inlineStr">
        <is>
          <t>L'Acchiappastorie – Silent book</t>
        </is>
      </c>
      <c r="E511" s="14" t="inlineStr">
        <is>
          <t>per tutte le età</t>
        </is>
      </c>
      <c r="F511" s="14" t="inlineStr">
        <is>
          <t>Prime letture (6-8)</t>
        </is>
      </c>
      <c r="G511" s="14" t="inlineStr">
        <is>
          <t>Silent book</t>
        </is>
      </c>
      <c r="H511" s="14" t="inlineStr"/>
      <c r="I511" s="14" t="inlineStr">
        <is>
          <t>No</t>
        </is>
      </c>
      <c r="J511" s="14" t="inlineStr">
        <is>
          <t>Collana</t>
        </is>
      </c>
      <c r="K511" s="14" t="inlineStr">
        <is>
          <t>prime letture</t>
        </is>
      </c>
      <c r="L511" s="14" t="inlineStr">
        <is>
          <t>Catalogo Terre di Mezzo 1° semestre 2026, p. 41 (ISBN 9788861897595)</t>
        </is>
      </c>
      <c r="M511" s="16" t="n">
        <v>16.9</v>
      </c>
      <c r="N511" s="14" t="inlineStr">
        <is>
          <t>Catalogo Terre di Mezzo 1° semestre 2026</t>
        </is>
      </c>
      <c r="O511" s="16">
        <f>IF(ISNUMBER(M511),ROUND(M511*(1-Condizioni!$B$2),2),"")</f>
        <v/>
      </c>
      <c r="P511" s="17" t="inlineStr">
        <is>
          <t>Sì</t>
        </is>
      </c>
    </row>
    <row r="512">
      <c r="A512" s="14" t="inlineStr">
        <is>
          <t>Camelozampa</t>
        </is>
      </c>
      <c r="B512" s="14" t="inlineStr">
        <is>
          <t>Amici (miniserie A bocca aperta)</t>
        </is>
      </c>
      <c r="C512" s="14" t="inlineStr">
        <is>
          <t>Helen Oxenbury</t>
        </is>
      </c>
      <c r="D512" s="14" t="inlineStr">
        <is>
          <t>A bocca aperta</t>
        </is>
      </c>
      <c r="E512" s="14" t="inlineStr">
        <is>
          <t>0-3 anni</t>
        </is>
      </c>
      <c r="F512" s="14" t="inlineStr">
        <is>
          <t>0-3 anni</t>
        </is>
      </c>
      <c r="G512" s="14" t="inlineStr">
        <is>
          <t>Libro cartonato</t>
        </is>
      </c>
      <c r="H512" s="14" t="inlineStr"/>
      <c r="I512" s="14" t="inlineStr">
        <is>
          <t>No</t>
        </is>
      </c>
      <c r="J512" s="14" t="inlineStr">
        <is>
          <t>Catalogo</t>
        </is>
      </c>
      <c r="K512" s="14" t="inlineStr">
        <is>
          <t>0-3 anni</t>
        </is>
      </c>
      <c r="L512" s="14" t="inlineStr">
        <is>
          <t>https://www.camelozampa.com/shop/amici/</t>
        </is>
      </c>
      <c r="M512" s="16" t="n">
        <v>9.9</v>
      </c>
      <c r="N512" s="14" t="inlineStr">
        <is>
          <t>Catalogo Camelozampa 2026</t>
        </is>
      </c>
      <c r="O512" s="16">
        <f>IF(ISNUMBER(M512),ROUND(M512*(1-Condizioni!$B$2),2),"")</f>
        <v/>
      </c>
      <c r="P512" s="17" t="inlineStr">
        <is>
          <t>Sì</t>
        </is>
      </c>
    </row>
    <row r="513">
      <c r="A513" s="14" t="inlineStr">
        <is>
          <t>Camelozampa</t>
        </is>
      </c>
      <c r="B513" s="14" t="inlineStr">
        <is>
          <t>Peggy trova tutto</t>
        </is>
      </c>
      <c r="C513" s="14" t="inlineStr">
        <is>
          <t>Tonka Uzu</t>
        </is>
      </c>
      <c r="D513" s="14" t="inlineStr">
        <is>
          <t>Collana 0-3</t>
        </is>
      </c>
      <c r="E513" s="14" t="inlineStr">
        <is>
          <t>0-3 anni</t>
        </is>
      </c>
      <c r="F513" s="14" t="inlineStr">
        <is>
          <t>0-3 anni</t>
        </is>
      </c>
      <c r="G513" s="14" t="inlineStr">
        <is>
          <t>Libro cartonato</t>
        </is>
      </c>
      <c r="H513" s="14" t="inlineStr"/>
      <c r="I513" s="14" t="inlineStr">
        <is>
          <t>No</t>
        </is>
      </c>
      <c r="J513" s="14" t="inlineStr">
        <is>
          <t>Catalogo</t>
        </is>
      </c>
      <c r="K513" s="14" t="inlineStr">
        <is>
          <t>0-3 anni</t>
        </is>
      </c>
      <c r="L513" s="14" t="inlineStr">
        <is>
          <t>https://camelozampa.com/doc/catalogo-camelozampa-2025.pdf</t>
        </is>
      </c>
      <c r="M513" s="16" t="n">
        <v>15</v>
      </c>
      <c r="N513" s="14" t="inlineStr">
        <is>
          <t>Catalogo Camelozampa 2026</t>
        </is>
      </c>
      <c r="O513" s="16">
        <f>IF(ISNUMBER(M513),ROUND(M513*(1-Condizioni!$B$2),2),"")</f>
        <v/>
      </c>
      <c r="P513" s="17" t="inlineStr">
        <is>
          <t>Sì</t>
        </is>
      </c>
    </row>
    <row r="514">
      <c r="A514" s="14" t="inlineStr">
        <is>
          <t>Camelozampa</t>
        </is>
      </c>
      <c r="B514" s="14" t="inlineStr">
        <is>
          <t>Avrò cura di te</t>
        </is>
      </c>
      <c r="C514" s="14" t="inlineStr">
        <is>
          <t>(vedi scheda)</t>
        </is>
      </c>
      <c r="D514" s="14" t="inlineStr">
        <is>
          <t>Le Piume (albi illustrati)</t>
        </is>
      </c>
      <c r="E514" s="14" t="inlineStr">
        <is>
          <t>collana prevalentemente da 4 anni</t>
        </is>
      </c>
      <c r="F514" s="14" t="inlineStr">
        <is>
          <t>3-6 anni</t>
        </is>
      </c>
      <c r="G514" s="14" t="inlineStr">
        <is>
          <t>Albo illustrato</t>
        </is>
      </c>
      <c r="H514" s="14" t="inlineStr">
        <is>
          <t>Cura e solidarietà</t>
        </is>
      </c>
      <c r="I514" s="14" t="inlineStr">
        <is>
          <t>No</t>
        </is>
      </c>
      <c r="J514" s="15" t="inlineStr">
        <is>
          <t>Da verificare</t>
        </is>
      </c>
      <c r="K514" s="14" t="inlineStr">
        <is>
          <t>3-6 anni</t>
        </is>
      </c>
      <c r="L514" s="14" t="inlineStr">
        <is>
          <t>https://www.camelozampa.com/shop/categoria/collane/le-piume-albi-illustrati/</t>
        </is>
      </c>
      <c r="M514" s="16" t="n">
        <v>17.9</v>
      </c>
      <c r="N514" s="14" t="inlineStr">
        <is>
          <t>Catalogo Camelozampa 2026</t>
        </is>
      </c>
      <c r="O514" s="16">
        <f>IF(ISNUMBER(M514),ROUND(M514*(1-Condizioni!$B$2),2),"")</f>
        <v/>
      </c>
      <c r="P514" s="17" t="inlineStr">
        <is>
          <t>Sì</t>
        </is>
      </c>
    </row>
    <row r="515">
      <c r="A515" s="14" t="inlineStr">
        <is>
          <t>Camelozampa</t>
        </is>
      </c>
      <c r="B515" s="14" t="inlineStr">
        <is>
          <t>Cielo di ciliegie</t>
        </is>
      </c>
      <c r="C515" s="14" t="inlineStr">
        <is>
          <t>(vedi scheda)</t>
        </is>
      </c>
      <c r="D515" s="14" t="inlineStr">
        <is>
          <t>Le Piume (albi illustrati)</t>
        </is>
      </c>
      <c r="E515" s="14" t="inlineStr">
        <is>
          <t>collana prevalentemente da 4 anni</t>
        </is>
      </c>
      <c r="F515" s="14" t="inlineStr">
        <is>
          <t>3-6 anni</t>
        </is>
      </c>
      <c r="G515" s="14" t="inlineStr">
        <is>
          <t>Albo illustrato</t>
        </is>
      </c>
      <c r="H515" s="14" t="inlineStr">
        <is>
          <t>Differenze sociali</t>
        </is>
      </c>
      <c r="I515" s="14" t="inlineStr">
        <is>
          <t>No</t>
        </is>
      </c>
      <c r="J515" s="15" t="inlineStr">
        <is>
          <t>Da verificare</t>
        </is>
      </c>
      <c r="K515" s="14" t="inlineStr">
        <is>
          <t>3-6 anni</t>
        </is>
      </c>
      <c r="L515" s="14" t="inlineStr">
        <is>
          <t>https://www.camelozampa.com/shop/categoria/collane/le-piume-albi-illustrati/</t>
        </is>
      </c>
      <c r="M515" s="16" t="n">
        <v>16.9</v>
      </c>
      <c r="N515" s="14" t="inlineStr">
        <is>
          <t>Catalogo Camelozampa 2026</t>
        </is>
      </c>
      <c r="O515" s="16">
        <f>IF(ISNUMBER(M515),ROUND(M515*(1-Condizioni!$B$2),2),"")</f>
        <v/>
      </c>
      <c r="P515" s="17" t="inlineStr">
        <is>
          <t>Sì</t>
        </is>
      </c>
    </row>
    <row r="516">
      <c r="A516" s="14" t="inlineStr">
        <is>
          <t>Camelozampa</t>
        </is>
      </c>
      <c r="B516" s="14" t="inlineStr">
        <is>
          <t>Dove nasco ogni giorno</t>
        </is>
      </c>
      <c r="C516" s="14" t="inlineStr">
        <is>
          <t>(vedi scheda)</t>
        </is>
      </c>
      <c r="D516" s="14" t="inlineStr">
        <is>
          <t>Le Piume (albi illustrati)</t>
        </is>
      </c>
      <c r="E516" s="14" t="inlineStr">
        <is>
          <t>dai 3 anni</t>
        </is>
      </c>
      <c r="F516" s="14" t="inlineStr">
        <is>
          <t>3-6 anni</t>
        </is>
      </c>
      <c r="G516" s="14" t="inlineStr">
        <is>
          <t>Albo illustrato</t>
        </is>
      </c>
      <c r="H516" s="14" t="inlineStr">
        <is>
          <t>Famiglie di molte forme</t>
        </is>
      </c>
      <c r="I516" s="14" t="inlineStr">
        <is>
          <t>No</t>
        </is>
      </c>
      <c r="J516" s="14" t="inlineStr">
        <is>
          <t>Catalogo</t>
        </is>
      </c>
      <c r="K516" s="14" t="inlineStr">
        <is>
          <t>3-6 anni</t>
        </is>
      </c>
      <c r="L516" s="14" t="inlineStr">
        <is>
          <t>https://www.camelozampa.com/shop/categoria/collane/le-piume-albi-illustrati/</t>
        </is>
      </c>
      <c r="M516" s="16" t="n">
        <v>18.9</v>
      </c>
      <c r="N516" s="14" t="inlineStr">
        <is>
          <t>Catalogo Camelozampa 2026</t>
        </is>
      </c>
      <c r="O516" s="16">
        <f>IF(ISNUMBER(M516),ROUND(M516*(1-Condizioni!$B$2),2),"")</f>
        <v/>
      </c>
      <c r="P516" s="17" t="inlineStr">
        <is>
          <t>Sì</t>
        </is>
      </c>
    </row>
    <row r="517">
      <c r="A517" s="14" t="inlineStr">
        <is>
          <t>Camelozampa</t>
        </is>
      </c>
      <c r="B517" s="14" t="inlineStr">
        <is>
          <t>Felicità è una parola semplice</t>
        </is>
      </c>
      <c r="C517" s="14" t="inlineStr">
        <is>
          <t>(vedi scheda)</t>
        </is>
      </c>
      <c r="D517" s="14" t="inlineStr">
        <is>
          <t>Le Piume (albi illustrati)</t>
        </is>
      </c>
      <c r="E517" s="14" t="inlineStr">
        <is>
          <t>collana prevalentemente da 4 anni</t>
        </is>
      </c>
      <c r="F517" s="14" t="inlineStr">
        <is>
          <t>3-6 anni</t>
        </is>
      </c>
      <c r="G517" s="14" t="inlineStr">
        <is>
          <t>Albo illustrato</t>
        </is>
      </c>
      <c r="H517" s="14" t="inlineStr">
        <is>
          <t>Elaborazione del dolore collettivo (pandemia)</t>
        </is>
      </c>
      <c r="I517" s="14" t="inlineStr">
        <is>
          <t>No</t>
        </is>
      </c>
      <c r="J517" s="15" t="inlineStr">
        <is>
          <t>Da verificare</t>
        </is>
      </c>
      <c r="K517" s="14" t="inlineStr">
        <is>
          <t>3-6 anni</t>
        </is>
      </c>
      <c r="L517" s="14" t="inlineStr">
        <is>
          <t>https://www.camelozampa.com/shop/categoria/collane/le-piume-albi-illustrati/</t>
        </is>
      </c>
      <c r="M517" s="16" t="n">
        <v>18.9</v>
      </c>
      <c r="N517" s="14" t="inlineStr">
        <is>
          <t>Catalogo Camelozampa 2026</t>
        </is>
      </c>
      <c r="O517" s="16">
        <f>IF(ISNUMBER(M517),ROUND(M517*(1-Condizioni!$B$2),2),"")</f>
        <v/>
      </c>
      <c r="P517" s="17" t="inlineStr">
        <is>
          <t>Sì</t>
        </is>
      </c>
    </row>
    <row r="518">
      <c r="A518" s="14" t="inlineStr">
        <is>
          <t>Camelozampa</t>
        </is>
      </c>
      <c r="B518" s="14" t="inlineStr">
        <is>
          <t>Il cortile selvaggio</t>
        </is>
      </c>
      <c r="C518" s="14" t="inlineStr">
        <is>
          <t>(vedi scheda)</t>
        </is>
      </c>
      <c r="D518" s="14" t="inlineStr">
        <is>
          <t>Le Piume (albi illustrati)</t>
        </is>
      </c>
      <c r="E518" s="14" t="inlineStr">
        <is>
          <t>dai 4 anni</t>
        </is>
      </c>
      <c r="F518" s="14" t="inlineStr">
        <is>
          <t>3-6 anni</t>
        </is>
      </c>
      <c r="G518" s="14" t="inlineStr">
        <is>
          <t>Albo illustrato</t>
        </is>
      </c>
      <c r="H518" s="14" t="inlineStr">
        <is>
          <t>Natura e legami</t>
        </is>
      </c>
      <c r="I518" s="14" t="inlineStr">
        <is>
          <t>No</t>
        </is>
      </c>
      <c r="J518" s="14" t="inlineStr">
        <is>
          <t>Catalogo</t>
        </is>
      </c>
      <c r="K518" s="14" t="inlineStr">
        <is>
          <t>3-6 anni</t>
        </is>
      </c>
      <c r="L518" s="14" t="inlineStr">
        <is>
          <t>https://www.camelozampa.com/shop/categoria/collane/le-piume-albi-illustrati/</t>
        </is>
      </c>
      <c r="M518" s="16" t="n">
        <v>19.9</v>
      </c>
      <c r="N518" s="14" t="inlineStr">
        <is>
          <t>Catalogo Camelozampa 2026</t>
        </is>
      </c>
      <c r="O518" s="16">
        <f>IF(ISNUMBER(M518),ROUND(M518*(1-Condizioni!$B$2),2),"")</f>
        <v/>
      </c>
      <c r="P518" s="17" t="inlineStr">
        <is>
          <t>Sì</t>
        </is>
      </c>
    </row>
    <row r="519">
      <c r="A519" s="14" t="inlineStr">
        <is>
          <t>Camelozampa</t>
        </is>
      </c>
      <c r="B519" s="14" t="inlineStr">
        <is>
          <t>Il giardino di Rita</t>
        </is>
      </c>
      <c r="C519" s="14" t="inlineStr">
        <is>
          <t>(vedi scheda)</t>
        </is>
      </c>
      <c r="D519" s="14" t="inlineStr">
        <is>
          <t>Le Piume (albi illustrati)</t>
        </is>
      </c>
      <c r="E519" s="14" t="inlineStr">
        <is>
          <t>collana prevalentemente da 4 anni</t>
        </is>
      </c>
      <c r="F519" s="14" t="inlineStr">
        <is>
          <t>3-6 anni</t>
        </is>
      </c>
      <c r="G519" s="14" t="inlineStr">
        <is>
          <t>Albo illustrato</t>
        </is>
      </c>
      <c r="H519" s="14" t="inlineStr">
        <is>
          <t>Lutto e trasformazione</t>
        </is>
      </c>
      <c r="I519" s="14" t="inlineStr">
        <is>
          <t>No</t>
        </is>
      </c>
      <c r="J519" s="15" t="inlineStr">
        <is>
          <t>Da verificare</t>
        </is>
      </c>
      <c r="K519" s="14" t="inlineStr">
        <is>
          <t>3-6 anni</t>
        </is>
      </c>
      <c r="L519" s="14" t="inlineStr">
        <is>
          <t>https://www.camelozampa.com/shop/categoria/collane/le-piume-albi-illustrati/</t>
        </is>
      </c>
      <c r="M519" s="16" t="n">
        <v>18.9</v>
      </c>
      <c r="N519" s="14" t="inlineStr">
        <is>
          <t>Catalogo Camelozampa 2026</t>
        </is>
      </c>
      <c r="O519" s="16">
        <f>IF(ISNUMBER(M519),ROUND(M519*(1-Condizioni!$B$2),2),"")</f>
        <v/>
      </c>
      <c r="P519" s="17" t="inlineStr">
        <is>
          <t>Sì</t>
        </is>
      </c>
    </row>
    <row r="520">
      <c r="A520" s="14" t="inlineStr">
        <is>
          <t>Camelozampa</t>
        </is>
      </c>
      <c r="B520" s="14" t="inlineStr">
        <is>
          <t>La sorpresa della volpe</t>
        </is>
      </c>
      <c r="C520" s="14" t="inlineStr">
        <is>
          <t>(vedi scheda)</t>
        </is>
      </c>
      <c r="D520" s="14" t="inlineStr">
        <is>
          <t>Le Piume (albi illustrati)</t>
        </is>
      </c>
      <c r="E520" s="14" t="inlineStr">
        <is>
          <t>collana prevalentemente da 4 anni</t>
        </is>
      </c>
      <c r="F520" s="14" t="inlineStr">
        <is>
          <t>3-6 anni</t>
        </is>
      </c>
      <c r="G520" s="14" t="inlineStr">
        <is>
          <t>Albo illustrato</t>
        </is>
      </c>
      <c r="H520" s="14" t="inlineStr">
        <is>
          <t>Amicizia e pregiudizi</t>
        </is>
      </c>
      <c r="I520" s="14" t="inlineStr">
        <is>
          <t>No</t>
        </is>
      </c>
      <c r="J520" s="15" t="inlineStr">
        <is>
          <t>Da verificare</t>
        </is>
      </c>
      <c r="K520" s="14" t="inlineStr">
        <is>
          <t>3-6 anni</t>
        </is>
      </c>
      <c r="L520" s="14" t="inlineStr">
        <is>
          <t>https://www.camelozampa.com/shop/categoria/collane/le-piume-albi-illustrati/</t>
        </is>
      </c>
      <c r="M520" s="16" t="n">
        <v>15</v>
      </c>
      <c r="N520" s="14" t="inlineStr">
        <is>
          <t>Catalogo Camelozampa 2026</t>
        </is>
      </c>
      <c r="O520" s="16">
        <f>IF(ISNUMBER(M520),ROUND(M520*(1-Condizioni!$B$2),2),"")</f>
        <v/>
      </c>
      <c r="P520" s="17" t="inlineStr">
        <is>
          <t>Sì</t>
        </is>
      </c>
    </row>
    <row r="521">
      <c r="A521" s="14" t="inlineStr">
        <is>
          <t>Camelozampa</t>
        </is>
      </c>
      <c r="B521" s="14" t="inlineStr">
        <is>
          <t>70 trucchi per non fare il bagno</t>
        </is>
      </c>
      <c r="C521" s="14" t="inlineStr">
        <is>
          <t>(vedi scheda)</t>
        </is>
      </c>
      <c r="D521" s="14" t="inlineStr">
        <is>
          <t>Narrativa / Gruppi di lettura</t>
        </is>
      </c>
      <c r="E521" s="14" t="inlineStr">
        <is>
          <t>da 7 anni</t>
        </is>
      </c>
      <c r="F521" s="14" t="inlineStr">
        <is>
          <t>Prime letture (6-8)</t>
        </is>
      </c>
      <c r="G521" s="14" t="inlineStr">
        <is>
          <t>Romanzo</t>
        </is>
      </c>
      <c r="H521" s="14" t="inlineStr">
        <is>
          <t>Ansia da prestazione</t>
        </is>
      </c>
      <c r="I521" s="14" t="inlineStr">
        <is>
          <t>No</t>
        </is>
      </c>
      <c r="J521" s="14" t="inlineStr">
        <is>
          <t>Catalogo</t>
        </is>
      </c>
      <c r="K521" s="14" t="inlineStr">
        <is>
          <t>prime letture, romanzo, narrativa</t>
        </is>
      </c>
      <c r="L521" s="14" t="inlineStr">
        <is>
          <t>https://www.camelozampa.com/gruppi-di-lettura/</t>
        </is>
      </c>
      <c r="M521" s="16" t="n">
        <v>15.9</v>
      </c>
      <c r="N521" s="14" t="inlineStr">
        <is>
          <t>Catalogo Camelozampa 2026</t>
        </is>
      </c>
      <c r="O521" s="16">
        <f>IF(ISNUMBER(M521),ROUND(M521*(1-Condizioni!$B$2),2),"")</f>
        <v/>
      </c>
      <c r="P521" s="17" t="inlineStr">
        <is>
          <t>Sì</t>
        </is>
      </c>
    </row>
    <row r="522">
      <c r="A522" s="14" t="inlineStr">
        <is>
          <t>Camelozampa</t>
        </is>
      </c>
      <c r="B522" s="14" t="inlineStr">
        <is>
          <t>Dove sono finiti i bambini?</t>
        </is>
      </c>
      <c r="C522" s="14" t="inlineStr">
        <is>
          <t>(vedi scheda)</t>
        </is>
      </c>
      <c r="D522" s="14" t="inlineStr">
        <is>
          <t>Narrativa / Gruppi di lettura</t>
        </is>
      </c>
      <c r="E522" s="14" t="inlineStr">
        <is>
          <t>da 6 anni</t>
        </is>
      </c>
      <c r="F522" s="14" t="inlineStr">
        <is>
          <t>Prime letture (6-8)</t>
        </is>
      </c>
      <c r="G522" s="14" t="inlineStr">
        <is>
          <t>Poesia</t>
        </is>
      </c>
      <c r="H522" s="14" t="inlineStr">
        <is>
          <t>Diritto dei bambini a essere ascoltati</t>
        </is>
      </c>
      <c r="I522" s="14" t="inlineStr">
        <is>
          <t>No</t>
        </is>
      </c>
      <c r="J522" s="14" t="inlineStr">
        <is>
          <t>Catalogo</t>
        </is>
      </c>
      <c r="K522" s="14" t="inlineStr">
        <is>
          <t>prime letture</t>
        </is>
      </c>
      <c r="L522" s="14" t="inlineStr">
        <is>
          <t>https://www.camelozampa.com/gruppi-di-lettura/</t>
        </is>
      </c>
      <c r="M522" s="16" t="n">
        <v>17.9</v>
      </c>
      <c r="N522" s="14" t="inlineStr">
        <is>
          <t>Catalogo Camelozampa 2026</t>
        </is>
      </c>
      <c r="O522" s="16">
        <f>IF(ISNUMBER(M522),ROUND(M522*(1-Condizioni!$B$2),2),"")</f>
        <v/>
      </c>
      <c r="P522" s="17" t="inlineStr">
        <is>
          <t>Sì</t>
        </is>
      </c>
    </row>
    <row r="523">
      <c r="A523" s="14" t="inlineStr">
        <is>
          <t>Camelozampa</t>
        </is>
      </c>
      <c r="B523" s="14" t="inlineStr">
        <is>
          <t>Isidoro e la luna</t>
        </is>
      </c>
      <c r="C523" s="14" t="inlineStr">
        <is>
          <t>(vedi scheda)</t>
        </is>
      </c>
      <c r="D523" s="14" t="inlineStr">
        <is>
          <t>Narrativa / Gruppi di lettura</t>
        </is>
      </c>
      <c r="E523" s="14" t="inlineStr">
        <is>
          <t>da 7 anni</t>
        </is>
      </c>
      <c r="F523" s="14" t="inlineStr">
        <is>
          <t>Prime letture (6-8)</t>
        </is>
      </c>
      <c r="G523" s="14" t="inlineStr">
        <is>
          <t>Avventura</t>
        </is>
      </c>
      <c r="H523" s="14" t="inlineStr">
        <is>
          <t>Potere della parola</t>
        </is>
      </c>
      <c r="I523" s="14" t="inlineStr">
        <is>
          <t>No</t>
        </is>
      </c>
      <c r="J523" s="14" t="inlineStr">
        <is>
          <t>Catalogo</t>
        </is>
      </c>
      <c r="K523" s="14" t="inlineStr">
        <is>
          <t>prime letture, avventura, narrativa</t>
        </is>
      </c>
      <c r="L523" s="14" t="inlineStr">
        <is>
          <t>https://www.camelozampa.com/gruppi-di-lettura/</t>
        </is>
      </c>
      <c r="M523" s="16" t="n">
        <v>15.9</v>
      </c>
      <c r="N523" s="14" t="inlineStr">
        <is>
          <t>Catalogo Camelozampa 2026</t>
        </is>
      </c>
      <c r="O523" s="16">
        <f>IF(ISNUMBER(M523),ROUND(M523*(1-Condizioni!$B$2),2),"")</f>
        <v/>
      </c>
      <c r="P523" s="17" t="inlineStr">
        <is>
          <t>Sì</t>
        </is>
      </c>
    </row>
    <row r="524">
      <c r="A524" s="14" t="inlineStr">
        <is>
          <t>Camelozampa</t>
        </is>
      </c>
      <c r="B524" s="14" t="inlineStr">
        <is>
          <t>La figlia della biblioteca</t>
        </is>
      </c>
      <c r="C524" s="14" t="inlineStr">
        <is>
          <t>(vedi scheda)</t>
        </is>
      </c>
      <c r="D524" s="14" t="inlineStr">
        <is>
          <t>Narrativa / Gruppi di lettura</t>
        </is>
      </c>
      <c r="E524" s="14" t="inlineStr">
        <is>
          <t>da 7 anni</t>
        </is>
      </c>
      <c r="F524" s="14" t="inlineStr">
        <is>
          <t>Prime letture (6-8)</t>
        </is>
      </c>
      <c r="G524" s="14" t="inlineStr">
        <is>
          <t>Avventura</t>
        </is>
      </c>
      <c r="H524" s="14" t="inlineStr">
        <is>
          <t>Famiglie che si scelgono</t>
        </is>
      </c>
      <c r="I524" s="14" t="inlineStr">
        <is>
          <t>No</t>
        </is>
      </c>
      <c r="J524" s="14" t="inlineStr">
        <is>
          <t>Catalogo</t>
        </is>
      </c>
      <c r="K524" s="14" t="inlineStr">
        <is>
          <t>prime letture, avventura, narrativa</t>
        </is>
      </c>
      <c r="L524" s="14" t="inlineStr">
        <is>
          <t>https://www.camelozampa.com/gruppi-di-lettura/</t>
        </is>
      </c>
      <c r="M524" s="16" t="n">
        <v>16.9</v>
      </c>
      <c r="N524" s="14" t="inlineStr">
        <is>
          <t>Catalogo Camelozampa 2026</t>
        </is>
      </c>
      <c r="O524" s="16">
        <f>IF(ISNUMBER(M524),ROUND(M524*(1-Condizioni!$B$2),2),"")</f>
        <v/>
      </c>
      <c r="P524" s="17" t="inlineStr">
        <is>
          <t>Sì</t>
        </is>
      </c>
    </row>
    <row r="525">
      <c r="A525" s="14" t="inlineStr">
        <is>
          <t>Camelozampa</t>
        </is>
      </c>
      <c r="B525" s="14" t="inlineStr">
        <is>
          <t>Furia Mascherata</t>
        </is>
      </c>
      <c r="C525" s="14" t="inlineStr">
        <is>
          <t>(vedi scheda)</t>
        </is>
      </c>
      <c r="D525" s="14" t="inlineStr">
        <is>
          <t>Narrativa / Gruppi di lettura</t>
        </is>
      </c>
      <c r="E525" s="14" t="inlineStr">
        <is>
          <t>8-11 anni</t>
        </is>
      </c>
      <c r="F525" s="14" t="inlineStr">
        <is>
          <t>8+</t>
        </is>
      </c>
      <c r="G525" s="14" t="inlineStr">
        <is>
          <t>Avventura</t>
        </is>
      </c>
      <c r="H525" s="14" t="inlineStr">
        <is>
          <t>Amicizia</t>
        </is>
      </c>
      <c r="I525" s="14" t="inlineStr">
        <is>
          <t>No</t>
        </is>
      </c>
      <c r="J525" s="14" t="inlineStr">
        <is>
          <t>Catalogo</t>
        </is>
      </c>
      <c r="K525" s="14" t="inlineStr">
        <is>
          <t>8+, avventura, narrativa</t>
        </is>
      </c>
      <c r="L525" s="14" t="inlineStr">
        <is>
          <t>https://www.camelozampa.com/gruppi-di-lettura/</t>
        </is>
      </c>
      <c r="M525" s="16" t="n">
        <v>15.9</v>
      </c>
      <c r="N525" s="14" t="inlineStr">
        <is>
          <t>Catalogo Camelozampa 2026</t>
        </is>
      </c>
      <c r="O525" s="16">
        <f>IF(ISNUMBER(M525),ROUND(M525*(1-Condizioni!$B$2),2),"")</f>
        <v/>
      </c>
      <c r="P525" s="17" t="inlineStr">
        <is>
          <t>Sì</t>
        </is>
      </c>
    </row>
    <row r="526">
      <c r="A526" s="14" t="inlineStr">
        <is>
          <t>Camelozampa</t>
        </is>
      </c>
      <c r="B526" s="14" t="inlineStr">
        <is>
          <t>Felice abbastanza</t>
        </is>
      </c>
      <c r="C526" s="14" t="inlineStr">
        <is>
          <t>(vedi scheda)</t>
        </is>
      </c>
      <c r="D526" s="14" t="inlineStr">
        <is>
          <t>Narrativa / Gruppi di lettura</t>
        </is>
      </c>
      <c r="E526" s="14" t="inlineStr">
        <is>
          <t>9-12 anni</t>
        </is>
      </c>
      <c r="F526" s="14" t="inlineStr">
        <is>
          <t>9+</t>
        </is>
      </c>
      <c r="G526" s="14" t="inlineStr">
        <is>
          <t>Romanzo</t>
        </is>
      </c>
      <c r="H526" s="14" t="inlineStr">
        <is>
          <t>Crescita / preadolescenza</t>
        </is>
      </c>
      <c r="I526" s="14" t="inlineStr">
        <is>
          <t>No</t>
        </is>
      </c>
      <c r="J526" s="14" t="inlineStr">
        <is>
          <t>Catalogo</t>
        </is>
      </c>
      <c r="K526" s="14" t="inlineStr">
        <is>
          <t>9+, romanzo, narrativa</t>
        </is>
      </c>
      <c r="L526" s="14" t="inlineStr">
        <is>
          <t>https://www.camelozampa.com/gruppi-di-lettura/</t>
        </is>
      </c>
      <c r="M526" s="16" t="n">
        <v>13.9</v>
      </c>
      <c r="N526" s="14" t="inlineStr">
        <is>
          <t>Catalogo Camelozampa 2026</t>
        </is>
      </c>
      <c r="O526" s="16">
        <f>IF(ISNUMBER(M526),ROUND(M526*(1-Condizioni!$B$2),2),"")</f>
        <v/>
      </c>
      <c r="P526" s="17" t="inlineStr">
        <is>
          <t>Sì</t>
        </is>
      </c>
    </row>
    <row r="527">
      <c r="A527" s="14" t="inlineStr">
        <is>
          <t>Camelozampa</t>
        </is>
      </c>
      <c r="B527" s="14" t="inlineStr">
        <is>
          <t>La mia vita imprevista</t>
        </is>
      </c>
      <c r="C527" s="14" t="inlineStr">
        <is>
          <t>(vedi scheda)</t>
        </is>
      </c>
      <c r="D527" s="14" t="inlineStr">
        <is>
          <t>Narrativa / Gruppi di lettura</t>
        </is>
      </c>
      <c r="E527" s="14" t="inlineStr">
        <is>
          <t>9-12 anni</t>
        </is>
      </c>
      <c r="F527" s="14" t="inlineStr">
        <is>
          <t>9+</t>
        </is>
      </c>
      <c r="G527" s="14" t="inlineStr">
        <is>
          <t>Romanzo</t>
        </is>
      </c>
      <c r="H527" s="14" t="inlineStr">
        <is>
          <t>Famiglia / affido</t>
        </is>
      </c>
      <c r="I527" s="14" t="inlineStr">
        <is>
          <t>No</t>
        </is>
      </c>
      <c r="J527" s="14" t="inlineStr">
        <is>
          <t>Catalogo</t>
        </is>
      </c>
      <c r="K527" s="14" t="inlineStr">
        <is>
          <t>9+, romanzo, narrativa</t>
        </is>
      </c>
      <c r="L527" s="14" t="inlineStr">
        <is>
          <t>https://www.camelozampa.com/gruppi-di-lettura/</t>
        </is>
      </c>
      <c r="M527" s="16" t="n">
        <v>13.9</v>
      </c>
      <c r="N527" s="14" t="inlineStr">
        <is>
          <t>Catalogo Camelozampa 2026</t>
        </is>
      </c>
      <c r="O527" s="16">
        <f>IF(ISNUMBER(M527),ROUND(M527*(1-Condizioni!$B$2),2),"")</f>
        <v/>
      </c>
      <c r="P527" s="17" t="inlineStr">
        <is>
          <t>Sì</t>
        </is>
      </c>
    </row>
    <row r="528">
      <c r="A528" s="14" t="inlineStr">
        <is>
          <t>Camelozampa</t>
        </is>
      </c>
      <c r="B528" s="14" t="inlineStr">
        <is>
          <t>Oggi non si torna a casa</t>
        </is>
      </c>
      <c r="C528" s="14" t="inlineStr">
        <is>
          <t>(vedi scheda)</t>
        </is>
      </c>
      <c r="D528" s="14" t="inlineStr">
        <is>
          <t>Narrativa / Gruppi di lettura</t>
        </is>
      </c>
      <c r="E528" s="14" t="inlineStr">
        <is>
          <t>da 10 anni</t>
        </is>
      </c>
      <c r="F528" s="14" t="inlineStr">
        <is>
          <t>10+</t>
        </is>
      </c>
      <c r="G528" s="14" t="inlineStr">
        <is>
          <t>Romanzo</t>
        </is>
      </c>
      <c r="H528" s="14" t="inlineStr">
        <is>
          <t>Identità e appartenenza</t>
        </is>
      </c>
      <c r="I528" s="14" t="inlineStr">
        <is>
          <t>No</t>
        </is>
      </c>
      <c r="J528" s="14" t="inlineStr">
        <is>
          <t>Catalogo</t>
        </is>
      </c>
      <c r="K528" s="14" t="inlineStr">
        <is>
          <t>10+, romanzo, narrativa</t>
        </is>
      </c>
      <c r="L528" s="14" t="inlineStr">
        <is>
          <t>https://www.camelozampa.com/gruppi-di-lettura/</t>
        </is>
      </c>
      <c r="M528" s="16" t="n">
        <v>16.9</v>
      </c>
      <c r="N528" s="14" t="inlineStr">
        <is>
          <t>Catalogo Camelozampa 2026</t>
        </is>
      </c>
      <c r="O528" s="16">
        <f>IF(ISNUMBER(M528),ROUND(M528*(1-Condizioni!$B$2),2),"")</f>
        <v/>
      </c>
      <c r="P528" s="17" t="inlineStr">
        <is>
          <t>Sì</t>
        </is>
      </c>
    </row>
    <row r="529">
      <c r="A529" s="14" t="inlineStr">
        <is>
          <t>Camelozampa</t>
        </is>
      </c>
      <c r="B529" s="14" t="inlineStr">
        <is>
          <t>Il gruppo</t>
        </is>
      </c>
      <c r="C529" s="14" t="inlineStr">
        <is>
          <t>(vedi scheda)</t>
        </is>
      </c>
      <c r="D529" s="14" t="inlineStr">
        <is>
          <t>Narrativa / Gruppi di lettura</t>
        </is>
      </c>
      <c r="E529" s="14" t="inlineStr">
        <is>
          <t>dagli 11 anni</t>
        </is>
      </c>
      <c r="F529" s="14" t="inlineStr">
        <is>
          <t>Scuola media (11-13)</t>
        </is>
      </c>
      <c r="G529" s="14" t="inlineStr">
        <is>
          <t>Romanzo</t>
        </is>
      </c>
      <c r="H529" s="14" t="inlineStr">
        <is>
          <t>Essere sé stessi / pressione del gruppo</t>
        </is>
      </c>
      <c r="I529" s="14" t="inlineStr">
        <is>
          <t>No</t>
        </is>
      </c>
      <c r="J529" s="14" t="inlineStr">
        <is>
          <t>Catalogo</t>
        </is>
      </c>
      <c r="K529" s="14" t="inlineStr">
        <is>
          <t>prima/seconda/terza media, romanzo, narrativa</t>
        </is>
      </c>
      <c r="L529" s="14" t="inlineStr">
        <is>
          <t>https://www.camelozampa.com/gruppi-di-lettura/</t>
        </is>
      </c>
      <c r="M529" s="16" t="n">
        <v>15.9</v>
      </c>
      <c r="N529" s="14" t="inlineStr">
        <is>
          <t>Catalogo Camelozampa 2026</t>
        </is>
      </c>
      <c r="O529" s="16">
        <f>IF(ISNUMBER(M529),ROUND(M529*(1-Condizioni!$B$2),2),"")</f>
        <v/>
      </c>
      <c r="P529" s="17" t="inlineStr">
        <is>
          <t>Sì</t>
        </is>
      </c>
    </row>
    <row r="530">
      <c r="A530" s="14" t="inlineStr">
        <is>
          <t>Camelozampa</t>
        </is>
      </c>
      <c r="B530" s="14" t="inlineStr">
        <is>
          <t>Quell'estate con Yente</t>
        </is>
      </c>
      <c r="C530" s="14" t="inlineStr">
        <is>
          <t>(vedi scheda)</t>
        </is>
      </c>
      <c r="D530" s="14" t="inlineStr">
        <is>
          <t>Narrativa / Gruppi di lettura</t>
        </is>
      </c>
      <c r="E530" s="14" t="inlineStr">
        <is>
          <t>10-14 anni</t>
        </is>
      </c>
      <c r="F530" s="14" t="inlineStr">
        <is>
          <t>Scuola media (11-13)</t>
        </is>
      </c>
      <c r="G530" s="14" t="inlineStr">
        <is>
          <t>Romanzo</t>
        </is>
      </c>
      <c r="H530" s="14" t="inlineStr">
        <is>
          <t>Relazioni tossiche</t>
        </is>
      </c>
      <c r="I530" s="14" t="inlineStr">
        <is>
          <t>No</t>
        </is>
      </c>
      <c r="J530" s="14" t="inlineStr">
        <is>
          <t>Catalogo</t>
        </is>
      </c>
      <c r="K530" s="14" t="inlineStr">
        <is>
          <t>prima/seconda/terza media, romanzo, narrativa</t>
        </is>
      </c>
      <c r="L530" s="14" t="inlineStr">
        <is>
          <t>https://www.camelozampa.com/gruppi-di-lettura/</t>
        </is>
      </c>
      <c r="M530" s="16" t="n">
        <v>16.9</v>
      </c>
      <c r="N530" s="14" t="inlineStr">
        <is>
          <t>Catalogo Camelozampa 2026</t>
        </is>
      </c>
      <c r="O530" s="16">
        <f>IF(ISNUMBER(M530),ROUND(M530*(1-Condizioni!$B$2),2),"")</f>
        <v/>
      </c>
      <c r="P530" s="17" t="inlineStr">
        <is>
          <t>Sì</t>
        </is>
      </c>
    </row>
    <row r="531">
      <c r="A531" s="14" t="inlineStr">
        <is>
          <t>Camelozampa</t>
        </is>
      </c>
      <c r="B531" s="14" t="inlineStr">
        <is>
          <t>Figlia del destino</t>
        </is>
      </c>
      <c r="C531" s="14" t="inlineStr">
        <is>
          <t>(vedi scheda)</t>
        </is>
      </c>
      <c r="D531" s="14" t="inlineStr">
        <is>
          <t>Narrativa / Gruppi di lettura</t>
        </is>
      </c>
      <c r="E531" s="14" t="inlineStr">
        <is>
          <t>14-18 anni</t>
        </is>
      </c>
      <c r="F531" s="14" t="inlineStr">
        <is>
          <t>Adolescenza (14+)</t>
        </is>
      </c>
      <c r="G531" s="14" t="inlineStr">
        <is>
          <t>Romanzo</t>
        </is>
      </c>
      <c r="H531" s="14" t="inlineStr">
        <is>
          <t>Condizione femminile (storico)</t>
        </is>
      </c>
      <c r="I531" s="14" t="inlineStr">
        <is>
          <t>No</t>
        </is>
      </c>
      <c r="J531" s="14" t="inlineStr">
        <is>
          <t>Catalogo</t>
        </is>
      </c>
      <c r="K531" s="14" t="inlineStr">
        <is>
          <t>adolescenza, romanzo, narrativa</t>
        </is>
      </c>
      <c r="L531" s="14" t="inlineStr">
        <is>
          <t>https://www.camelozampa.com/gruppi-di-lettura/</t>
        </is>
      </c>
      <c r="M531" s="16" t="n">
        <v>18.9</v>
      </c>
      <c r="N531" s="14" t="inlineStr">
        <is>
          <t>Catalogo Camelozampa 2026</t>
        </is>
      </c>
      <c r="O531" s="16">
        <f>IF(ISNUMBER(M531),ROUND(M531*(1-Condizioni!$B$2),2),"")</f>
        <v/>
      </c>
      <c r="P531" s="17" t="inlineStr">
        <is>
          <t>Sì</t>
        </is>
      </c>
    </row>
    <row r="532">
      <c r="A532" s="14" t="inlineStr">
        <is>
          <t>Camelozampa</t>
        </is>
      </c>
      <c r="B532" s="14" t="inlineStr">
        <is>
          <t>Lemming e fiocchi di neve</t>
        </is>
      </c>
      <c r="C532" s="14" t="inlineStr">
        <is>
          <t>(vedi scheda)</t>
        </is>
      </c>
      <c r="D532" s="14" t="inlineStr">
        <is>
          <t>Narrativa / Gruppi di lettura</t>
        </is>
      </c>
      <c r="E532" s="14" t="inlineStr">
        <is>
          <t>dai 14 anni</t>
        </is>
      </c>
      <c r="F532" s="14" t="inlineStr">
        <is>
          <t>Adolescenza (14+)</t>
        </is>
      </c>
      <c r="G532" s="14" t="inlineStr">
        <is>
          <t>Romanzo</t>
        </is>
      </c>
      <c r="H532" s="14" t="inlineStr">
        <is>
          <t>Salute mentale</t>
        </is>
      </c>
      <c r="I532" s="14" t="inlineStr">
        <is>
          <t>No</t>
        </is>
      </c>
      <c r="J532" s="14" t="inlineStr">
        <is>
          <t>Catalogo</t>
        </is>
      </c>
      <c r="K532" s="14" t="inlineStr">
        <is>
          <t>adolescenza, romanzo, narrativa</t>
        </is>
      </c>
      <c r="L532" s="14" t="inlineStr">
        <is>
          <t>https://www.camelozampa.com/gruppi-di-lettura/</t>
        </is>
      </c>
      <c r="M532" s="16" t="n">
        <v>19.9</v>
      </c>
      <c r="N532" s="14" t="inlineStr">
        <is>
          <t>Catalogo Camelozampa 2026</t>
        </is>
      </c>
      <c r="O532" s="16">
        <f>IF(ISNUMBER(M532),ROUND(M532*(1-Condizioni!$B$2),2),"")</f>
        <v/>
      </c>
      <c r="P532" s="17" t="inlineStr">
        <is>
          <t>Sì</t>
        </is>
      </c>
    </row>
    <row r="533">
      <c r="A533" s="14" t="inlineStr">
        <is>
          <t>Camelozampa</t>
        </is>
      </c>
      <c r="B533" s="14" t="inlineStr">
        <is>
          <t>Senza titolo</t>
        </is>
      </c>
      <c r="C533" s="14" t="inlineStr">
        <is>
          <t>(vedi scheda)</t>
        </is>
      </c>
      <c r="D533" s="14" t="inlineStr">
        <is>
          <t>Narrativa / Gruppi di lettura</t>
        </is>
      </c>
      <c r="E533" s="14" t="inlineStr">
        <is>
          <t>14-18 anni</t>
        </is>
      </c>
      <c r="F533" s="14" t="inlineStr">
        <is>
          <t>Adolescenza (14+)</t>
        </is>
      </c>
      <c r="G533" s="14" t="inlineStr">
        <is>
          <t>Romanzo</t>
        </is>
      </c>
      <c r="H533" s="14" t="inlineStr">
        <is>
          <t>Adolescenza</t>
        </is>
      </c>
      <c r="I533" s="14" t="inlineStr">
        <is>
          <t>No</t>
        </is>
      </c>
      <c r="J533" s="14" t="inlineStr">
        <is>
          <t>Catalogo</t>
        </is>
      </c>
      <c r="K533" s="14" t="inlineStr">
        <is>
          <t>adolescenza, romanzo, narrativa</t>
        </is>
      </c>
      <c r="L533" s="14" t="inlineStr">
        <is>
          <t>https://www.camelozampa.com/gruppi-di-lettura/</t>
        </is>
      </c>
      <c r="M533" s="16" t="n">
        <v>18.9</v>
      </c>
      <c r="N533" s="14" t="inlineStr">
        <is>
          <t>Catalogo Camelozampa 2026</t>
        </is>
      </c>
      <c r="O533" s="16">
        <f>IF(ISNUMBER(M533),ROUND(M533*(1-Condizioni!$B$2),2),"")</f>
        <v/>
      </c>
      <c r="P533" s="17" t="inlineStr">
        <is>
          <t>Sì</t>
        </is>
      </c>
    </row>
    <row r="534">
      <c r="A534" s="14" t="inlineStr">
        <is>
          <t>Camelozampa</t>
        </is>
      </c>
      <c r="B534" s="14" t="inlineStr">
        <is>
          <t>Vulcano</t>
        </is>
      </c>
      <c r="C534" s="14" t="inlineStr">
        <is>
          <t>(vedi scheda)</t>
        </is>
      </c>
      <c r="D534" s="14" t="inlineStr">
        <is>
          <t>Narrativa / Gruppi di lettura</t>
        </is>
      </c>
      <c r="E534" s="14" t="inlineStr">
        <is>
          <t>14-18 anni</t>
        </is>
      </c>
      <c r="F534" s="14" t="inlineStr">
        <is>
          <t>Adolescenza (14+)</t>
        </is>
      </c>
      <c r="G534" s="14" t="inlineStr">
        <is>
          <t>Romanzo</t>
        </is>
      </c>
      <c r="H534" s="14" t="inlineStr">
        <is>
          <t>Ricerca di sé</t>
        </is>
      </c>
      <c r="I534" s="14" t="inlineStr">
        <is>
          <t>No</t>
        </is>
      </c>
      <c r="J534" s="14" t="inlineStr">
        <is>
          <t>Catalogo</t>
        </is>
      </c>
      <c r="K534" s="14" t="inlineStr">
        <is>
          <t>adolescenza, romanzo, narrativa</t>
        </is>
      </c>
      <c r="L534" s="14" t="inlineStr">
        <is>
          <t>https://www.camelozampa.com/gruppi-di-lettura/</t>
        </is>
      </c>
      <c r="M534" s="16" t="n">
        <v>18.9</v>
      </c>
      <c r="N534" s="14" t="inlineStr">
        <is>
          <t>Catalogo Camelozampa 2026</t>
        </is>
      </c>
      <c r="O534" s="16">
        <f>IF(ISNUMBER(M534),ROUND(M534*(1-Condizioni!$B$2),2),"")</f>
        <v/>
      </c>
      <c r="P534" s="17" t="inlineStr">
        <is>
          <t>Sì</t>
        </is>
      </c>
    </row>
    <row r="535">
      <c r="A535" s="14" t="inlineStr">
        <is>
          <t>La Meridiana</t>
        </is>
      </c>
      <c r="B535" s="14" t="inlineStr">
        <is>
          <t>Cinque racconti brevi con protagonisti adolescenti (collana Parimenti)</t>
        </is>
      </c>
      <c r="C535" s="14" t="inlineStr">
        <is>
          <t>AA.VV.</t>
        </is>
      </c>
      <c r="D535" s="14" t="inlineStr">
        <is>
          <t>Parimenti. Proprio perché cresco</t>
        </is>
      </c>
      <c r="E535" s="14" t="inlineStr">
        <is>
          <t>adolescenti / giovani-adulti</t>
        </is>
      </c>
      <c r="F535" s="14" t="inlineStr">
        <is>
          <t>Adolescenza (14+)</t>
        </is>
      </c>
      <c r="G535" s="14" t="inlineStr">
        <is>
          <t>Narrativa</t>
        </is>
      </c>
      <c r="H535" s="14" t="inlineStr">
        <is>
          <t>Inclusione: lettura per disabilità cognitive e linguistiche</t>
        </is>
      </c>
      <c r="I535" s="18" t="inlineStr">
        <is>
          <t>Sì</t>
        </is>
      </c>
      <c r="J535" s="14" t="inlineStr">
        <is>
          <t>Tolto: è lo stesso libro di “A Said piaceva il mare” (cinque storie di adolescenti, collana Parimenti)</t>
        </is>
      </c>
      <c r="K535" s="14" t="inlineStr">
        <is>
          <t>adolescenza, narrativa, CAA</t>
        </is>
      </c>
      <c r="L535" s="14" t="inlineStr">
        <is>
          <t>https://www.lameridiana.it/blog/post/cs-09112021/</t>
        </is>
      </c>
      <c r="M535" s="19" t="n"/>
      <c r="N535" s="14" t="inlineStr"/>
      <c r="O535" s="16">
        <f>IF(ISNUMBER(M535),ROUND(M535*(1-Condizioni!$B$2),2),"")</f>
        <v/>
      </c>
      <c r="P535" s="17" t="inlineStr">
        <is>
          <t>No</t>
        </is>
      </c>
    </row>
    <row r="536">
      <c r="A536" s="14" t="inlineStr">
        <is>
          <t>La Meridiana</t>
        </is>
      </c>
      <c r="B536" s="14" t="inlineStr">
        <is>
          <t>Dracula</t>
        </is>
      </c>
      <c r="C536" s="14" t="inlineStr">
        <is>
          <t>Bram Stoker</t>
        </is>
      </c>
      <c r="D536" s="14" t="inlineStr">
        <is>
          <t>Libri accessibili in CAA e in simboli (anche Parimenti. Proprio perché cresco)</t>
        </is>
      </c>
      <c r="E536" s="14" t="inlineStr">
        <is>
          <t>n.d. (collana Parimenti per giovani-adulti)</t>
        </is>
      </c>
      <c r="F536" s="14" t="inlineStr">
        <is>
          <t>Adolescenza (14+)</t>
        </is>
      </c>
      <c r="G536" s="14" t="inlineStr">
        <is>
          <t>Classico illustrato</t>
        </is>
      </c>
      <c r="H536" s="14" t="inlineStr"/>
      <c r="I536" s="18" t="inlineStr">
        <is>
          <t>Sì</t>
        </is>
      </c>
      <c r="J536" s="15" t="inlineStr">
        <is>
          <t>Da verificare</t>
        </is>
      </c>
      <c r="K536" s="14" t="inlineStr">
        <is>
          <t>adolescenza, CAA</t>
        </is>
      </c>
      <c r="L536" s="14" t="inlineStr">
        <is>
          <t>https://www.lameridiana.it/categorie/libri-per-una-cultura-accessibile/libri-accessibili.html</t>
        </is>
      </c>
      <c r="M536" s="16" t="n">
        <v>12.34</v>
      </c>
      <c r="N536" s="14" t="inlineStr">
        <is>
          <t>https://www.lameridiana.it/categorie/libri-per-una-cultura-accessibile/libri-accessibili.html (prezzo 'da' indicato sul sito, formato non specificato: verificare)</t>
        </is>
      </c>
      <c r="O536" s="16">
        <f>IF(ISNUMBER(M536),ROUND(M536*(1-Condizioni!$B$2),2),"")</f>
        <v/>
      </c>
      <c r="P536" s="17" t="inlineStr">
        <is>
          <t>Sì</t>
        </is>
      </c>
    </row>
    <row r="537">
      <c r="A537" s="14" t="inlineStr">
        <is>
          <t>La Meridiana</t>
        </is>
      </c>
      <c r="B537" s="14" t="inlineStr">
        <is>
          <t>Il diario di Anna Frank</t>
        </is>
      </c>
      <c r="C537" s="14" t="inlineStr">
        <is>
          <t>Anna Frank</t>
        </is>
      </c>
      <c r="D537" s="14" t="inlineStr">
        <is>
          <t>Libri accessibili in CAA e in simboli (anche Parimenti. Proprio perché cresco)</t>
        </is>
      </c>
      <c r="E537" s="14" t="inlineStr">
        <is>
          <t>n.d. (collana Parimenti per giovani-adulti)</t>
        </is>
      </c>
      <c r="F537" s="14" t="inlineStr">
        <is>
          <t>Adolescenza (14+)</t>
        </is>
      </c>
      <c r="G537" s="14" t="inlineStr">
        <is>
          <t>Narrativa</t>
        </is>
      </c>
      <c r="H537" s="14" t="inlineStr">
        <is>
          <t>Memoria della Shoah</t>
        </is>
      </c>
      <c r="I537" s="18" t="inlineStr">
        <is>
          <t>Sì</t>
        </is>
      </c>
      <c r="J537" s="15" t="inlineStr">
        <is>
          <t>Da verificare</t>
        </is>
      </c>
      <c r="K537" s="14" t="inlineStr">
        <is>
          <t>adolescenza, narrativa, CAA</t>
        </is>
      </c>
      <c r="L537" s="14" t="inlineStr">
        <is>
          <t>https://www.lameridiana.it/categorie/libri-per-una-cultura-accessibile/libri-accessibili.html</t>
        </is>
      </c>
      <c r="M537" s="16" t="n">
        <v>12.34</v>
      </c>
      <c r="N537" s="14" t="inlineStr">
        <is>
          <t>https://www.lameridiana.it/categorie/libri-per-una-cultura-accessibile/libri-accessibili.html (prezzo 'da' indicato sul sito, formato non specificato: verificare)</t>
        </is>
      </c>
      <c r="O537" s="16">
        <f>IF(ISNUMBER(M537),ROUND(M537*(1-Condizioni!$B$2),2),"")</f>
        <v/>
      </c>
      <c r="P537" s="17" t="inlineStr">
        <is>
          <t>Sì</t>
        </is>
      </c>
    </row>
    <row r="538">
      <c r="A538" s="14" t="inlineStr">
        <is>
          <t>La Meridiana</t>
        </is>
      </c>
      <c r="B538" s="14" t="inlineStr">
        <is>
          <t>Piccole donne</t>
        </is>
      </c>
      <c r="C538" s="14" t="inlineStr">
        <is>
          <t>Louisa May Alcott</t>
        </is>
      </c>
      <c r="D538" s="14" t="inlineStr">
        <is>
          <t>Libri accessibili in CAA e in simboli (anche Parimenti. Proprio perché cresco)</t>
        </is>
      </c>
      <c r="E538" s="14" t="inlineStr">
        <is>
          <t>n.d. (collana Parimenti per giovani-adulti)</t>
        </is>
      </c>
      <c r="F538" s="14" t="inlineStr">
        <is>
          <t>Adolescenza (14+)</t>
        </is>
      </c>
      <c r="G538" s="14" t="inlineStr">
        <is>
          <t>Classico illustrato</t>
        </is>
      </c>
      <c r="H538" s="14" t="inlineStr"/>
      <c r="I538" s="18" t="inlineStr">
        <is>
          <t>Sì</t>
        </is>
      </c>
      <c r="J538" s="15" t="inlineStr">
        <is>
          <t>Da verificare</t>
        </is>
      </c>
      <c r="K538" s="14" t="inlineStr">
        <is>
          <t>adolescenza, CAA</t>
        </is>
      </c>
      <c r="L538" s="14" t="inlineStr">
        <is>
          <t>https://www.lameridiana.it/categorie/libri-per-una-cultura-accessibile/libri-accessibili.html</t>
        </is>
      </c>
      <c r="M538" s="16" t="n">
        <v>16</v>
      </c>
      <c r="N538" s="14" t="inlineStr">
        <is>
          <t>https://www.ibs.it/x/e/9791256260539</t>
        </is>
      </c>
      <c r="O538" s="16">
        <f>IF(ISNUMBER(M538),ROUND(M538*(1-Condizioni!$B$2),2),"")</f>
        <v/>
      </c>
      <c r="P538" s="17" t="inlineStr">
        <is>
          <t>Sì</t>
        </is>
      </c>
    </row>
    <row r="539">
      <c r="A539" s="14" t="inlineStr">
        <is>
          <t>La Meridiana</t>
        </is>
      </c>
      <c r="B539" s="14" t="inlineStr">
        <is>
          <t>A Said piaceva il mare</t>
        </is>
      </c>
      <c r="C539" s="14" t="inlineStr">
        <is>
          <t>n.d.</t>
        </is>
      </c>
      <c r="D539" s="14" t="inlineStr">
        <is>
          <t>Libri accessibili in CAA e in simboli (anche Parimenti. Proprio perché cresco)</t>
        </is>
      </c>
      <c r="E539" s="14" t="inlineStr">
        <is>
          <t>n.d. (collana Parimenti per giovani-adulti)</t>
        </is>
      </c>
      <c r="F539" s="14" t="inlineStr">
        <is>
          <t>10+</t>
        </is>
      </c>
      <c r="G539" s="14" t="inlineStr">
        <is>
          <t>Narrativa</t>
        </is>
      </c>
      <c r="H539" s="14" t="inlineStr">
        <is>
          <t>Migrazione / accoglienza (da verificare)</t>
        </is>
      </c>
      <c r="I539" s="18" t="inlineStr">
        <is>
          <t>Sì</t>
        </is>
      </c>
      <c r="J539" s="15" t="inlineStr">
        <is>
          <t>Da verificare</t>
        </is>
      </c>
      <c r="K539" s="14" t="inlineStr">
        <is>
          <t>10+, narrativa, CAA</t>
        </is>
      </c>
      <c r="L539" s="14" t="inlineStr">
        <is>
          <t>https://www.lameridiana.it/categorie/libri-per-una-cultura-accessibile/libri-accessibili.html</t>
        </is>
      </c>
      <c r="M539" s="16" t="n">
        <v>12.34</v>
      </c>
      <c r="N539" s="14" t="inlineStr">
        <is>
          <t>https://www.lameridiana.it/categorie/libri-per-una-cultura-accessibile/libri-accessibili.html (prezzo 'da' indicato sul sito, formato non specificato: verificare)</t>
        </is>
      </c>
      <c r="O539" s="16">
        <f>IF(ISNUMBER(M539),ROUND(M539*(1-Condizioni!$B$2),2),"")</f>
        <v/>
      </c>
      <c r="P539" s="17" t="inlineStr">
        <is>
          <t>Sì</t>
        </is>
      </c>
    </row>
    <row r="540">
      <c r="A540" s="14" t="inlineStr">
        <is>
          <t>La Meridiana</t>
        </is>
      </c>
      <c r="B540" s="14" t="inlineStr">
        <is>
          <t>Accendiamo i diritti. Percorsi e attività per educare ai diritti dell'infanzia</t>
        </is>
      </c>
      <c r="C540" s="14" t="inlineStr">
        <is>
          <t>AA.VV.</t>
        </is>
      </c>
      <c r="D540" s="14" t="inlineStr">
        <is>
          <t>Percorsi educativi bambini</t>
        </is>
      </c>
      <c r="E540" s="14" t="inlineStr">
        <is>
          <t>per educatori/insegnanti</t>
        </is>
      </c>
      <c r="F540" s="14" t="inlineStr">
        <is>
          <t>n.d. / tutte le età</t>
        </is>
      </c>
      <c r="G540" s="14" t="inlineStr">
        <is>
          <t>Divulgazione/Saggio</t>
        </is>
      </c>
      <c r="H540" s="14" t="inlineStr">
        <is>
          <t>Diritti dell'infanzia e dell'adolescenza</t>
        </is>
      </c>
      <c r="I540" s="14" t="inlineStr">
        <is>
          <t>No</t>
        </is>
      </c>
      <c r="J540" s="14" t="inlineStr">
        <is>
          <t>Catalogo</t>
        </is>
      </c>
      <c r="K540" s="14" t="inlineStr"/>
      <c r="L540" s="14" t="inlineStr">
        <is>
          <t>https://www.libreriadelsanto.it/libri_di/editore/La_Meridiana/page1.html</t>
        </is>
      </c>
      <c r="M540" s="19" t="n"/>
      <c r="N540" s="14" t="inlineStr"/>
      <c r="O540" s="16">
        <f>IF(ISNUMBER(M540),ROUND(M540*(1-Condizioni!$B$2),2),"")</f>
        <v/>
      </c>
      <c r="P540" s="17" t="inlineStr">
        <is>
          <t>Sì</t>
        </is>
      </c>
    </row>
    <row r="541">
      <c r="A541" s="14" t="inlineStr">
        <is>
          <t>La Meridiana</t>
        </is>
      </c>
      <c r="B541" s="14" t="inlineStr">
        <is>
          <t>Canto di Natale</t>
        </is>
      </c>
      <c r="C541" s="14" t="inlineStr">
        <is>
          <t>Charles Dickens</t>
        </is>
      </c>
      <c r="D541" s="14" t="inlineStr">
        <is>
          <t>Libri accessibili in CAA e in simboli (anche Parimenti. Proprio perché cresco)</t>
        </is>
      </c>
      <c r="E541" s="14" t="inlineStr">
        <is>
          <t>n.d. (collana Parimenti per giovani-adulti)</t>
        </is>
      </c>
      <c r="F541" s="14" t="inlineStr">
        <is>
          <t>8+</t>
        </is>
      </c>
      <c r="G541" s="14" t="inlineStr">
        <is>
          <t>Classico illustrato</t>
        </is>
      </c>
      <c r="H541" s="14" t="inlineStr"/>
      <c r="I541" s="18" t="inlineStr">
        <is>
          <t>Sì</t>
        </is>
      </c>
      <c r="J541" s="15" t="inlineStr">
        <is>
          <t>Da verificare</t>
        </is>
      </c>
      <c r="K541" s="14" t="inlineStr">
        <is>
          <t>8+, CAA</t>
        </is>
      </c>
      <c r="L541" s="14" t="inlineStr">
        <is>
          <t>https://www.lameridiana.it/categorie/libri-per-una-cultura-accessibile/libri-accessibili.html</t>
        </is>
      </c>
      <c r="M541" s="16" t="n">
        <v>12.34</v>
      </c>
      <c r="N541" s="14" t="inlineStr">
        <is>
          <t>https://www.lameridiana.it/categorie/libri-per-una-cultura-accessibile/libri-accessibili.html (prezzo 'da' indicato sul sito, formato non specificato: verificare)</t>
        </is>
      </c>
      <c r="O541" s="16">
        <f>IF(ISNUMBER(M541),ROUND(M541*(1-Condizioni!$B$2),2),"")</f>
        <v/>
      </c>
      <c r="P541" s="17" t="inlineStr">
        <is>
          <t>Sì</t>
        </is>
      </c>
    </row>
    <row r="542">
      <c r="A542" s="14" t="inlineStr">
        <is>
          <t>La Meridiana</t>
        </is>
      </c>
      <c r="B542" s="14" t="inlineStr">
        <is>
          <t>Di sole e di tempesta</t>
        </is>
      </c>
      <c r="C542" s="14" t="inlineStr">
        <is>
          <t>G. Boari, E. Buccoliero</t>
        </is>
      </c>
      <c r="D542" s="14" t="inlineStr">
        <is>
          <t>Percorsi educativi</t>
        </is>
      </c>
      <c r="E542" s="14" t="inlineStr">
        <is>
          <t>per educatori/insegnanti</t>
        </is>
      </c>
      <c r="F542" s="14" t="inlineStr">
        <is>
          <t>n.d. / tutte le età</t>
        </is>
      </c>
      <c r="G542" s="14" t="inlineStr">
        <is>
          <t>Divulgazione/Saggio</t>
        </is>
      </c>
      <c r="H542" s="14" t="inlineStr">
        <is>
          <t>Violenza assistita: sostegno ai bambini</t>
        </is>
      </c>
      <c r="I542" s="14" t="inlineStr">
        <is>
          <t>No</t>
        </is>
      </c>
      <c r="J542" s="14" t="inlineStr">
        <is>
          <t>Catalogo</t>
        </is>
      </c>
      <c r="K542" s="14" t="inlineStr"/>
      <c r="L542" s="14" t="inlineStr">
        <is>
          <t>https://www.bookrepublic.it/ebooks/editore/edizioni-la-meridiana/</t>
        </is>
      </c>
      <c r="M542" s="19" t="n"/>
      <c r="N542" s="14" t="inlineStr"/>
      <c r="O542" s="16">
        <f>IF(ISNUMBER(M542),ROUND(M542*(1-Condizioni!$B$2),2),"")</f>
        <v/>
      </c>
      <c r="P542" s="17" t="inlineStr">
        <is>
          <t>Sì</t>
        </is>
      </c>
    </row>
    <row r="543">
      <c r="A543" s="14" t="inlineStr">
        <is>
          <t>La Meridiana</t>
        </is>
      </c>
      <c r="B543" s="14" t="inlineStr">
        <is>
          <t>Frida Kahlo pittrice coraggiosa</t>
        </is>
      </c>
      <c r="C543" s="14" t="inlineStr">
        <is>
          <t>Teresa Righetti</t>
        </is>
      </c>
      <c r="D543" s="14" t="inlineStr">
        <is>
          <t>Libri accessibili in CAA e in simboli (anche Parimenti. Proprio perché cresco)</t>
        </is>
      </c>
      <c r="E543" s="14" t="inlineStr">
        <is>
          <t>n.d. (collana Parimenti per giovani-adulti)</t>
        </is>
      </c>
      <c r="F543" s="14" t="inlineStr">
        <is>
          <t>8+</t>
        </is>
      </c>
      <c r="G543" s="14" t="inlineStr">
        <is>
          <t>Divulgazione/Saggio</t>
        </is>
      </c>
      <c r="H543" s="14" t="inlineStr">
        <is>
          <t>Disabilità e coraggio (da verificare)</t>
        </is>
      </c>
      <c r="I543" s="18" t="inlineStr">
        <is>
          <t>Sì</t>
        </is>
      </c>
      <c r="J543" s="15" t="inlineStr">
        <is>
          <t>Da verificare</t>
        </is>
      </c>
      <c r="K543" s="14" t="inlineStr">
        <is>
          <t>8+, CAA</t>
        </is>
      </c>
      <c r="L543" s="14" t="inlineStr">
        <is>
          <t>https://www.lameridiana.it/categorie/libri-per-una-cultura-accessibile/libri-accessibili.html</t>
        </is>
      </c>
      <c r="M543" s="16" t="n">
        <v>14.73</v>
      </c>
      <c r="N543" s="14" t="inlineStr">
        <is>
          <t>https://www.lameridiana.it/categorie/libri-per-una-cultura-accessibile/libri-accessibili.html (prezzo 'da' indicato sul sito, formato non specificato: verificare)</t>
        </is>
      </c>
      <c r="O543" s="16">
        <f>IF(ISNUMBER(M543),ROUND(M543*(1-Condizioni!$B$2),2),"")</f>
        <v/>
      </c>
      <c r="P543" s="17" t="inlineStr">
        <is>
          <t>Sì</t>
        </is>
      </c>
    </row>
    <row r="544">
      <c r="A544" s="14" t="inlineStr">
        <is>
          <t>La Meridiana</t>
        </is>
      </c>
      <c r="B544" s="14" t="inlineStr">
        <is>
          <t>Giacomo di cristallo e altre storie</t>
        </is>
      </c>
      <c r="C544" s="14" t="inlineStr">
        <is>
          <t>Gianni Rodari</t>
        </is>
      </c>
      <c r="D544" s="14" t="inlineStr">
        <is>
          <t>Libri accessibili in CAA e in simboli (anche Parimenti. Proprio perché cresco)</t>
        </is>
      </c>
      <c r="E544" s="14" t="inlineStr">
        <is>
          <t>n.d. (collana Parimenti per giovani-adulti)</t>
        </is>
      </c>
      <c r="F544" s="14" t="inlineStr">
        <is>
          <t>Prime letture (6-8)</t>
        </is>
      </c>
      <c r="G544" s="14" t="inlineStr">
        <is>
          <t>Classico illustrato</t>
        </is>
      </c>
      <c r="H544" s="14" t="inlineStr"/>
      <c r="I544" s="18" t="inlineStr">
        <is>
          <t>Sì</t>
        </is>
      </c>
      <c r="J544" s="15" t="inlineStr">
        <is>
          <t>Da verificare</t>
        </is>
      </c>
      <c r="K544" s="14" t="inlineStr">
        <is>
          <t>prime letture, CAA</t>
        </is>
      </c>
      <c r="L544" s="14" t="inlineStr">
        <is>
          <t>https://www.lameridiana.it/categorie/libri-per-una-cultura-accessibile/libri-accessibili.html</t>
        </is>
      </c>
      <c r="M544" s="16" t="n">
        <v>12.34</v>
      </c>
      <c r="N544" s="14" t="inlineStr">
        <is>
          <t>https://www.lameridiana.it/categorie/libri-per-una-cultura-accessibile/libri-accessibili.html (prezzo 'da' indicato sul sito, formato non specificato: verificare)</t>
        </is>
      </c>
      <c r="O544" s="16">
        <f>IF(ISNUMBER(M544),ROUND(M544*(1-Condizioni!$B$2),2),"")</f>
        <v/>
      </c>
      <c r="P544" s="17" t="inlineStr">
        <is>
          <t>Sì</t>
        </is>
      </c>
    </row>
    <row r="545">
      <c r="A545" s="14" t="inlineStr">
        <is>
          <t>La Meridiana</t>
        </is>
      </c>
      <c r="B545" s="14" t="inlineStr">
        <is>
          <t>Il mio Afghanistan (CAA)</t>
        </is>
      </c>
      <c r="C545" s="14" t="inlineStr">
        <is>
          <t>n.d.</t>
        </is>
      </c>
      <c r="D545" s="14" t="inlineStr">
        <is>
          <t>Libri accessibili in CAA e in simboli (anche Parimenti. Proprio perché cresco)</t>
        </is>
      </c>
      <c r="E545" s="14" t="inlineStr">
        <is>
          <t>da 12 anni</t>
        </is>
      </c>
      <c r="F545" s="14" t="inlineStr">
        <is>
          <t>Scuola media (11-13)</t>
        </is>
      </c>
      <c r="G545" s="14" t="inlineStr">
        <is>
          <t>Narrativa</t>
        </is>
      </c>
      <c r="H545" s="14" t="inlineStr">
        <is>
          <t>Migrazione / culture (da verificare)</t>
        </is>
      </c>
      <c r="I545" s="18" t="inlineStr">
        <is>
          <t>Sì</t>
        </is>
      </c>
      <c r="J545" s="14" t="inlineStr">
        <is>
          <t>Verificata (Bottegart)</t>
        </is>
      </c>
      <c r="K545" s="14" t="inlineStr">
        <is>
          <t>prima/seconda/terza media, narrativa, CAA</t>
        </is>
      </c>
      <c r="L545" s="14" t="inlineStr">
        <is>
          <t>https://www.lameridiana.it/categorie/libri-per-una-cultura-accessibile/libri-accessibili.html</t>
        </is>
      </c>
      <c r="M545" s="16" t="n">
        <v>12.34</v>
      </c>
      <c r="N545" s="14" t="inlineStr">
        <is>
          <t>https://www.lameridiana.it/categorie/libri-per-una-cultura-accessibile/libri-accessibili.html (prezzo 'da' indicato sul sito, formato non specificato: verificare)</t>
        </is>
      </c>
      <c r="O545" s="16">
        <f>IF(ISNUMBER(M545),ROUND(M545*(1-Condizioni!$B$2),2),"")</f>
        <v/>
      </c>
      <c r="P545" s="17" t="inlineStr">
        <is>
          <t>Sì</t>
        </is>
      </c>
    </row>
    <row r="546">
      <c r="A546" s="14" t="inlineStr">
        <is>
          <t>La Meridiana</t>
        </is>
      </c>
      <c r="B546" s="14" t="inlineStr">
        <is>
          <t>L'albero del riccio</t>
        </is>
      </c>
      <c r="C546" s="14" t="inlineStr">
        <is>
          <t>n.d.</t>
        </is>
      </c>
      <c r="D546" s="14" t="inlineStr">
        <is>
          <t>Libri accessibili in CAA e in simboli (anche Parimenti. Proprio perché cresco)</t>
        </is>
      </c>
      <c r="E546" s="14" t="inlineStr">
        <is>
          <t>n.d. (collana Parimenti per giovani-adulti)</t>
        </is>
      </c>
      <c r="F546" s="14" t="inlineStr">
        <is>
          <t>10+</t>
        </is>
      </c>
      <c r="G546" s="14" t="inlineStr">
        <is>
          <t>Albo illustrato</t>
        </is>
      </c>
      <c r="H546" s="14" t="inlineStr"/>
      <c r="I546" s="18" t="inlineStr">
        <is>
          <t>Sì</t>
        </is>
      </c>
      <c r="J546" s="15" t="inlineStr">
        <is>
          <t>Da verificare</t>
        </is>
      </c>
      <c r="K546" s="14" t="inlineStr">
        <is>
          <t>10+, CAA</t>
        </is>
      </c>
      <c r="L546" s="14" t="inlineStr">
        <is>
          <t>https://www.lameridiana.it/categorie/libri-per-una-cultura-accessibile/libri-accessibili.html</t>
        </is>
      </c>
      <c r="M546" s="16" t="n">
        <v>15.2</v>
      </c>
      <c r="N546" s="14" t="inlineStr">
        <is>
          <t>https://www.lameridiana.it/categorie/libri-per-una-cultura-accessibile/libri-accessibili.html (prezzo 'da' indicato sul sito, formato non specificato: verificare)</t>
        </is>
      </c>
      <c r="O546" s="16">
        <f>IF(ISNUMBER(M546),ROUND(M546*(1-Condizioni!$B$2),2),"")</f>
        <v/>
      </c>
      <c r="P546" s="17" t="inlineStr">
        <is>
          <t>Sì</t>
        </is>
      </c>
    </row>
    <row r="547">
      <c r="A547" s="14" t="inlineStr">
        <is>
          <t>La Meridiana</t>
        </is>
      </c>
      <c r="B547" s="14" t="inlineStr">
        <is>
          <t>La Puglia è una favola</t>
        </is>
      </c>
      <c r="C547" s="14" t="inlineStr">
        <is>
          <t>n.d.</t>
        </is>
      </c>
      <c r="D547" s="14" t="inlineStr">
        <is>
          <t>Libri accessibili in CAA e in simboli (anche Parimenti. Proprio perché cresco)</t>
        </is>
      </c>
      <c r="E547" s="14" t="inlineStr">
        <is>
          <t>n.d. (collana Parimenti per giovani-adulti)</t>
        </is>
      </c>
      <c r="F547" s="14" t="inlineStr">
        <is>
          <t>Prime letture (6-8)</t>
        </is>
      </c>
      <c r="G547" s="14" t="inlineStr">
        <is>
          <t>Albo illustrato</t>
        </is>
      </c>
      <c r="H547" s="14" t="inlineStr"/>
      <c r="I547" s="18" t="inlineStr">
        <is>
          <t>Sì</t>
        </is>
      </c>
      <c r="J547" s="15" t="inlineStr">
        <is>
          <t>Da verificare</t>
        </is>
      </c>
      <c r="K547" s="14" t="inlineStr">
        <is>
          <t>prime letture, CAA</t>
        </is>
      </c>
      <c r="L547" s="14" t="inlineStr">
        <is>
          <t>https://www.lameridiana.it/categorie/libri-per-una-cultura-accessibile/libri-accessibili.html</t>
        </is>
      </c>
      <c r="M547" s="16" t="n">
        <v>17.1</v>
      </c>
      <c r="N547" s="14" t="inlineStr">
        <is>
          <t>https://www.lameridiana.it/categorie/libri-per-una-cultura-accessibile/libri-accessibili.html (prezzo 'da' indicato sul sito, formato non specificato: verificare)</t>
        </is>
      </c>
      <c r="O547" s="16">
        <f>IF(ISNUMBER(M547),ROUND(M547*(1-Condizioni!$B$2),2),"")</f>
        <v/>
      </c>
      <c r="P547" s="17" t="inlineStr">
        <is>
          <t>Sì</t>
        </is>
      </c>
    </row>
    <row r="548">
      <c r="A548" s="14" t="inlineStr">
        <is>
          <t>La Meridiana</t>
        </is>
      </c>
      <c r="B548" s="14" t="inlineStr">
        <is>
          <t>Milagro in CAA</t>
        </is>
      </c>
      <c r="C548" s="14" t="inlineStr">
        <is>
          <t>n.d.</t>
        </is>
      </c>
      <c r="D548" s="14" t="inlineStr">
        <is>
          <t>Libri accessibili in CAA e in simboli (anche Parimenti. Proprio perché cresco)</t>
        </is>
      </c>
      <c r="E548" s="14" t="inlineStr">
        <is>
          <t>dai 12-14 anni in su</t>
        </is>
      </c>
      <c r="F548" s="14" t="inlineStr">
        <is>
          <t>Scuola media (11-13)</t>
        </is>
      </c>
      <c r="G548" s="14" t="inlineStr">
        <is>
          <t>Narrativa</t>
        </is>
      </c>
      <c r="H548" s="14" t="inlineStr"/>
      <c r="I548" s="18" t="inlineStr">
        <is>
          <t>Sì</t>
        </is>
      </c>
      <c r="J548" s="14" t="inlineStr">
        <is>
          <t>Verificata (Bottegart)</t>
        </is>
      </c>
      <c r="K548" s="14" t="inlineStr">
        <is>
          <t>prima/seconda/terza media, narrativa, CAA</t>
        </is>
      </c>
      <c r="L548" s="14" t="inlineStr">
        <is>
          <t>https://www.lameridiana.it/categorie/libri-per-una-cultura-accessibile/libri-accessibili.html</t>
        </is>
      </c>
      <c r="M548" s="16" t="n">
        <v>15.2</v>
      </c>
      <c r="N548" s="14" t="inlineStr">
        <is>
          <t>https://www.lameridiana.it/categorie/libri-per-una-cultura-accessibile/libri-accessibili.html (prezzo 'da' indicato sul sito, formato non specificato: verificare)</t>
        </is>
      </c>
      <c r="O548" s="16">
        <f>IF(ISNUMBER(M548),ROUND(M548*(1-Condizioni!$B$2),2),"")</f>
        <v/>
      </c>
      <c r="P548" s="17" t="inlineStr">
        <is>
          <t>Sì</t>
        </is>
      </c>
    </row>
    <row r="549">
      <c r="A549" s="14" t="inlineStr">
        <is>
          <t>La Meridiana</t>
        </is>
      </c>
      <c r="B549" s="14" t="inlineStr">
        <is>
          <t>Paul Klee pittore musicista</t>
        </is>
      </c>
      <c r="C549" s="14" t="inlineStr">
        <is>
          <t>Teresa Righetti</t>
        </is>
      </c>
      <c r="D549" s="14" t="inlineStr">
        <is>
          <t>Libri accessibili in CAA e in simboli (anche Parimenti. Proprio perché cresco)</t>
        </is>
      </c>
      <c r="E549" s="14" t="inlineStr">
        <is>
          <t>n.d. (collana Parimenti per giovani-adulti)</t>
        </is>
      </c>
      <c r="F549" s="14" t="inlineStr">
        <is>
          <t>8+</t>
        </is>
      </c>
      <c r="G549" s="14" t="inlineStr">
        <is>
          <t>Divulgazione/Saggio</t>
        </is>
      </c>
      <c r="H549" s="14" t="inlineStr"/>
      <c r="I549" s="18" t="inlineStr">
        <is>
          <t>Sì</t>
        </is>
      </c>
      <c r="J549" s="15" t="inlineStr">
        <is>
          <t>Da verificare</t>
        </is>
      </c>
      <c r="K549" s="14" t="inlineStr">
        <is>
          <t>8+, CAA</t>
        </is>
      </c>
      <c r="L549" s="14" t="inlineStr">
        <is>
          <t>https://www.lameridiana.it/categorie/libri-per-una-cultura-accessibile/libri-accessibili.html</t>
        </is>
      </c>
      <c r="M549" s="16" t="n">
        <v>14.73</v>
      </c>
      <c r="N549" s="14" t="inlineStr">
        <is>
          <t>https://www.lameridiana.it/categorie/libri-per-una-cultura-accessibile/libri-accessibili.html (prezzo 'da' indicato sul sito, formato non specificato: verificare)</t>
        </is>
      </c>
      <c r="O549" s="16">
        <f>IF(ISNUMBER(M549),ROUND(M549*(1-Condizioni!$B$2),2),"")</f>
        <v/>
      </c>
      <c r="P549" s="17" t="inlineStr">
        <is>
          <t>Sì</t>
        </is>
      </c>
    </row>
    <row r="550">
      <c r="A550" s="14" t="inlineStr">
        <is>
          <t>Gallucci</t>
        </is>
      </c>
      <c r="B550" s="14" t="inlineStr">
        <is>
          <t>Collana Indistruttilibri</t>
        </is>
      </c>
      <c r="C550" s="14" t="inlineStr">
        <is>
          <t>(vedi catalogo)</t>
        </is>
      </c>
      <c r="D550" s="14" t="inlineStr">
        <is>
          <t>Indistruttilibri</t>
        </is>
      </c>
      <c r="E550" s="14" t="inlineStr">
        <is>
          <t>prima infanzia</t>
        </is>
      </c>
      <c r="F550" s="14" t="inlineStr">
        <is>
          <t>0-3 anni</t>
        </is>
      </c>
      <c r="G550" s="14" t="inlineStr">
        <is>
          <t>Libro cartonato</t>
        </is>
      </c>
      <c r="H550" s="14" t="inlineStr"/>
      <c r="I550" s="14" t="inlineStr">
        <is>
          <t>No</t>
        </is>
      </c>
      <c r="J550" s="14" t="inlineStr">
        <is>
          <t>Collana</t>
        </is>
      </c>
      <c r="K550" s="14" t="inlineStr">
        <is>
          <t>0-3 anni</t>
        </is>
      </c>
      <c r="L550" s="14" t="inlineStr">
        <is>
          <t>https://www.ibs.it/libri/editori/gallucci</t>
        </is>
      </c>
      <c r="M550" s="19" t="n"/>
      <c r="N550" s="14" t="inlineStr"/>
      <c r="O550" s="16">
        <f>IF(ISNUMBER(M550),ROUND(M550*(1-Condizioni!$B$2),2),"")</f>
        <v/>
      </c>
      <c r="P550" s="17" t="inlineStr">
        <is>
          <t>Sì</t>
        </is>
      </c>
    </row>
    <row r="551">
      <c r="A551" s="14" t="inlineStr">
        <is>
          <t>Gallucci</t>
        </is>
      </c>
      <c r="B551" s="14" t="inlineStr">
        <is>
          <t>Collana Scorri e gioca (N. Choux)</t>
        </is>
      </c>
      <c r="C551" s="14" t="inlineStr">
        <is>
          <t>(vedi catalogo)</t>
        </is>
      </c>
      <c r="D551" s="14" t="inlineStr">
        <is>
          <t>Scorri e gioca</t>
        </is>
      </c>
      <c r="E551" s="14" t="inlineStr">
        <is>
          <t>fino a 3 anni</t>
        </is>
      </c>
      <c r="F551" s="14" t="inlineStr">
        <is>
          <t>0-3 anni</t>
        </is>
      </c>
      <c r="G551" s="14" t="inlineStr">
        <is>
          <t>Libro cartonato</t>
        </is>
      </c>
      <c r="H551" s="14" t="inlineStr"/>
      <c r="I551" s="14" t="inlineStr">
        <is>
          <t>No</t>
        </is>
      </c>
      <c r="J551" s="14" t="inlineStr">
        <is>
          <t>Collana</t>
        </is>
      </c>
      <c r="K551" s="14" t="inlineStr">
        <is>
          <t>0-3 anni</t>
        </is>
      </c>
      <c r="L551" s="14" t="inlineStr">
        <is>
          <t>https://www.ibs.it/libri/editori/gallucci</t>
        </is>
      </c>
      <c r="M551" s="19" t="n"/>
      <c r="N551" s="14" t="inlineStr"/>
      <c r="O551" s="16">
        <f>IF(ISNUMBER(M551),ROUND(M551*(1-Condizioni!$B$2),2),"")</f>
        <v/>
      </c>
      <c r="P551" s="17" t="inlineStr">
        <is>
          <t>Sì</t>
        </is>
      </c>
    </row>
    <row r="552">
      <c r="A552" s="14" t="inlineStr">
        <is>
          <t>Gallucci</t>
        </is>
      </c>
      <c r="B552" s="14" t="inlineStr">
        <is>
          <t>Collana Abbecelibri</t>
        </is>
      </c>
      <c r="C552" s="14" t="inlineStr">
        <is>
          <t>(vedi catalogo)</t>
        </is>
      </c>
      <c r="D552" s="14" t="inlineStr">
        <is>
          <t>Abbecelibri</t>
        </is>
      </c>
      <c r="E552" s="14" t="inlineStr">
        <is>
          <t>fino a 6 anni</t>
        </is>
      </c>
      <c r="F552" s="14" t="inlineStr">
        <is>
          <t>3-6 anni</t>
        </is>
      </c>
      <c r="G552" s="14" t="inlineStr">
        <is>
          <t>Albo illustrato</t>
        </is>
      </c>
      <c r="H552" s="14" t="inlineStr"/>
      <c r="I552" s="14" t="inlineStr">
        <is>
          <t>No</t>
        </is>
      </c>
      <c r="J552" s="14" t="inlineStr">
        <is>
          <t>Collana</t>
        </is>
      </c>
      <c r="K552" s="14" t="inlineStr">
        <is>
          <t>3-6 anni</t>
        </is>
      </c>
      <c r="L552" s="14" t="inlineStr">
        <is>
          <t>https://www.ibs.it/libri/editori/gallucci</t>
        </is>
      </c>
      <c r="M552" s="19" t="n"/>
      <c r="N552" s="14" t="inlineStr"/>
      <c r="O552" s="16">
        <f>IF(ISNUMBER(M552),ROUND(M552*(1-Condizioni!$B$2),2),"")</f>
        <v/>
      </c>
      <c r="P552" s="17" t="inlineStr">
        <is>
          <t>Sì</t>
        </is>
      </c>
    </row>
    <row r="553">
      <c r="A553" s="14" t="inlineStr">
        <is>
          <t>Gallucci</t>
        </is>
      </c>
      <c r="B553" s="14" t="inlineStr">
        <is>
          <t>Collana Lilliput</t>
        </is>
      </c>
      <c r="C553" s="14" t="inlineStr">
        <is>
          <t>(vedi catalogo)</t>
        </is>
      </c>
      <c r="D553" s="14" t="inlineStr">
        <is>
          <t>Lilliput</t>
        </is>
      </c>
      <c r="E553" s="14" t="inlineStr">
        <is>
          <t>+5</t>
        </is>
      </c>
      <c r="F553" s="14" t="inlineStr">
        <is>
          <t>3-6 anni</t>
        </is>
      </c>
      <c r="G553" s="14" t="inlineStr">
        <is>
          <t>Albo illustrato</t>
        </is>
      </c>
      <c r="H553" s="14" t="inlineStr"/>
      <c r="I553" s="14" t="inlineStr">
        <is>
          <t>No</t>
        </is>
      </c>
      <c r="J553" s="14" t="inlineStr">
        <is>
          <t>Collana</t>
        </is>
      </c>
      <c r="K553" s="14" t="inlineStr">
        <is>
          <t>3-6 anni</t>
        </is>
      </c>
      <c r="L553" s="14" t="inlineStr">
        <is>
          <t>https://www.ibs.it/libri/editori/gallucci</t>
        </is>
      </c>
      <c r="M553" s="19" t="n"/>
      <c r="N553" s="14" t="inlineStr"/>
      <c r="O553" s="16">
        <f>IF(ISNUMBER(M553),ROUND(M553*(1-Condizioni!$B$2),2),"")</f>
        <v/>
      </c>
      <c r="P553" s="17" t="inlineStr">
        <is>
          <t>Sì</t>
        </is>
      </c>
    </row>
    <row r="554">
      <c r="A554" s="14" t="inlineStr">
        <is>
          <t>Gallucci</t>
        </is>
      </c>
      <c r="B554" s="14" t="inlineStr">
        <is>
          <t>Collana Prime letture (es. Fernando il coccodrillo)</t>
        </is>
      </c>
      <c r="C554" s="14" t="inlineStr">
        <is>
          <t>(vedi catalogo)</t>
        </is>
      </c>
      <c r="D554" s="14" t="inlineStr">
        <is>
          <t>Prime letture</t>
        </is>
      </c>
      <c r="E554" s="14" t="inlineStr">
        <is>
          <t>+6</t>
        </is>
      </c>
      <c r="F554" s="14" t="inlineStr">
        <is>
          <t>Prime letture (6-8)</t>
        </is>
      </c>
      <c r="G554" s="14" t="inlineStr">
        <is>
          <t>Narrativa</t>
        </is>
      </c>
      <c r="H554" s="14" t="inlineStr"/>
      <c r="I554" s="14" t="inlineStr">
        <is>
          <t>No</t>
        </is>
      </c>
      <c r="J554" s="14" t="inlineStr">
        <is>
          <t>Collana</t>
        </is>
      </c>
      <c r="K554" s="14" t="inlineStr">
        <is>
          <t>prime letture, narrativa</t>
        </is>
      </c>
      <c r="L554" s="14" t="inlineStr">
        <is>
          <t>https://www.ibs.it/libri/editori/gallucci</t>
        </is>
      </c>
      <c r="M554" s="19" t="n"/>
      <c r="N554" s="14" t="inlineStr"/>
      <c r="O554" s="16">
        <f>IF(ISNUMBER(M554),ROUND(M554*(1-Condizioni!$B$2),2),"")</f>
        <v/>
      </c>
      <c r="P554" s="17" t="inlineStr">
        <is>
          <t>Sì</t>
        </is>
      </c>
    </row>
    <row r="555">
      <c r="A555" s="14" t="inlineStr">
        <is>
          <t>Gallucci</t>
        </is>
      </c>
      <c r="B555" s="14" t="inlineStr">
        <is>
          <t>La casa nella prateria (serie)</t>
        </is>
      </c>
      <c r="C555" s="14" t="inlineStr">
        <is>
          <t>(vedi catalogo)</t>
        </is>
      </c>
      <c r="D555" s="14" t="inlineStr">
        <is>
          <t>UAO</t>
        </is>
      </c>
      <c r="E555" s="14" t="inlineStr">
        <is>
          <t>UAO: 9+ / 10+ / 11+</t>
        </is>
      </c>
      <c r="F555" s="14" t="inlineStr">
        <is>
          <t>9+</t>
        </is>
      </c>
      <c r="G555" s="14" t="inlineStr">
        <is>
          <t>Romanzo</t>
        </is>
      </c>
      <c r="H555" s="14" t="inlineStr"/>
      <c r="I555" s="14" t="inlineStr">
        <is>
          <t>No</t>
        </is>
      </c>
      <c r="J555" s="14" t="inlineStr">
        <is>
          <t>Collana</t>
        </is>
      </c>
      <c r="K555" s="14" t="inlineStr">
        <is>
          <t>9+, romanzo, narrativa</t>
        </is>
      </c>
      <c r="L555" s="14" t="inlineStr">
        <is>
          <t>https://www.ibs.it/libri/editori/gallucci</t>
        </is>
      </c>
      <c r="M555" s="16" t="n">
        <v>13.5</v>
      </c>
      <c r="N555" s="14" t="inlineStr">
        <is>
          <t>https://www.lafeltrinelli.it/libri/editori/gallucci</t>
        </is>
      </c>
      <c r="O555" s="16">
        <f>IF(ISNUMBER(M555),ROUND(M555*(1-Condizioni!$B$2),2),"")</f>
        <v/>
      </c>
      <c r="P555" s="17" t="inlineStr">
        <is>
          <t>Sì</t>
        </is>
      </c>
    </row>
    <row r="556">
      <c r="A556" s="14" t="inlineStr">
        <is>
          <t>Gallucci</t>
        </is>
      </c>
      <c r="B556" s="14" t="inlineStr">
        <is>
          <t>Il mondo di Lucrezia 2</t>
        </is>
      </c>
      <c r="C556" s="14" t="inlineStr">
        <is>
          <t>(vedi catalogo)</t>
        </is>
      </c>
      <c r="D556" s="14" t="inlineStr">
        <is>
          <t>UAO</t>
        </is>
      </c>
      <c r="E556" s="14" t="inlineStr">
        <is>
          <t>10+</t>
        </is>
      </c>
      <c r="F556" s="14" t="inlineStr">
        <is>
          <t>10+</t>
        </is>
      </c>
      <c r="G556" s="14" t="inlineStr">
        <is>
          <t>Romanzo</t>
        </is>
      </c>
      <c r="H556" s="14" t="inlineStr"/>
      <c r="I556" s="14" t="inlineStr">
        <is>
          <t>No</t>
        </is>
      </c>
      <c r="J556" s="14" t="inlineStr">
        <is>
          <t>Collana</t>
        </is>
      </c>
      <c r="K556" s="14" t="inlineStr">
        <is>
          <t>10+, romanzo, narrativa</t>
        </is>
      </c>
      <c r="L556" s="14" t="inlineStr">
        <is>
          <t>https://www.ibs.it/libri/editori/gallucci</t>
        </is>
      </c>
      <c r="M556" s="16" t="n">
        <v>12.9</v>
      </c>
      <c r="N556" s="14" t="inlineStr">
        <is>
          <t>https://www.ibs.it/x/e/9791222114200</t>
        </is>
      </c>
      <c r="O556" s="16">
        <f>IF(ISNUMBER(M556),ROUND(M556*(1-Condizioni!$B$2),2),"")</f>
        <v/>
      </c>
      <c r="P556" s="17" t="inlineStr">
        <is>
          <t>Sì</t>
        </is>
      </c>
    </row>
    <row r="557">
      <c r="A557" s="14" t="inlineStr">
        <is>
          <t>Gallucci</t>
        </is>
      </c>
      <c r="B557" s="14" t="inlineStr">
        <is>
          <t>Collana Young (es. Due angeli del fango)</t>
        </is>
      </c>
      <c r="C557" s="14" t="inlineStr">
        <is>
          <t>(vedi catalogo)</t>
        </is>
      </c>
      <c r="D557" s="14" t="inlineStr">
        <is>
          <t>Young</t>
        </is>
      </c>
      <c r="E557" s="14" t="inlineStr">
        <is>
          <t>+14</t>
        </is>
      </c>
      <c r="F557" s="14" t="inlineStr">
        <is>
          <t>Adolescenza (14+)</t>
        </is>
      </c>
      <c r="G557" s="14" t="inlineStr">
        <is>
          <t>Romanzo</t>
        </is>
      </c>
      <c r="H557" s="14" t="inlineStr"/>
      <c r="I557" s="14" t="inlineStr">
        <is>
          <t>No</t>
        </is>
      </c>
      <c r="J557" s="14" t="inlineStr">
        <is>
          <t>Collana</t>
        </is>
      </c>
      <c r="K557" s="14" t="inlineStr">
        <is>
          <t>adolescenza, romanzo, narrativa</t>
        </is>
      </c>
      <c r="L557" s="14" t="inlineStr">
        <is>
          <t>https://www.ibs.it/libri/editori/gallucci</t>
        </is>
      </c>
      <c r="M557" s="19" t="n"/>
      <c r="N557" s="14" t="inlineStr"/>
      <c r="O557" s="16">
        <f>IF(ISNUMBER(M557),ROUND(M557*(1-Condizioni!$B$2),2),"")</f>
        <v/>
      </c>
      <c r="P557" s="17" t="inlineStr">
        <is>
          <t>Sì</t>
        </is>
      </c>
    </row>
    <row r="558">
      <c r="A558" s="14" t="inlineStr">
        <is>
          <t>Gallucci</t>
        </is>
      </c>
      <c r="B558" s="14" t="inlineStr">
        <is>
          <t>Collana Young adult (es. Happy. Mi troverai qui)</t>
        </is>
      </c>
      <c r="C558" s="14" t="inlineStr">
        <is>
          <t>(vedi catalogo)</t>
        </is>
      </c>
      <c r="D558" s="14" t="inlineStr">
        <is>
          <t>Young adult</t>
        </is>
      </c>
      <c r="E558" s="14" t="inlineStr">
        <is>
          <t>+16</t>
        </is>
      </c>
      <c r="F558" s="14" t="inlineStr">
        <is>
          <t>Adolescenza (14+)</t>
        </is>
      </c>
      <c r="G558" s="14" t="inlineStr">
        <is>
          <t>Romanzo</t>
        </is>
      </c>
      <c r="H558" s="14" t="inlineStr"/>
      <c r="I558" s="14" t="inlineStr">
        <is>
          <t>No</t>
        </is>
      </c>
      <c r="J558" s="14" t="inlineStr">
        <is>
          <t>Collana</t>
        </is>
      </c>
      <c r="K558" s="14" t="inlineStr">
        <is>
          <t>adolescenza, romanzo, narrativa</t>
        </is>
      </c>
      <c r="L558" s="14" t="inlineStr">
        <is>
          <t>https://www.ibs.it/libri/editori/gallucci</t>
        </is>
      </c>
      <c r="M558" s="19" t="n"/>
      <c r="N558" s="14" t="inlineStr"/>
      <c r="O558" s="16">
        <f>IF(ISNUMBER(M558),ROUND(M558*(1-Condizioni!$B$2),2),"")</f>
        <v/>
      </c>
      <c r="P558" s="17" t="inlineStr">
        <is>
          <t>Sì</t>
        </is>
      </c>
    </row>
    <row r="559">
      <c r="A559" s="14" t="inlineStr">
        <is>
          <t>Gallucci</t>
        </is>
      </c>
      <c r="B559" s="14" t="inlineStr">
        <is>
          <t>Collezione Libri e giochi delle emozioni</t>
        </is>
      </c>
      <c r="C559" s="14" t="inlineStr">
        <is>
          <t>(vedi catalogo)</t>
        </is>
      </c>
      <c r="D559" s="14" t="inlineStr">
        <is>
          <t>Collezioni</t>
        </is>
      </c>
      <c r="E559" s="14" t="inlineStr">
        <is>
          <t>n.d.</t>
        </is>
      </c>
      <c r="F559" s="14" t="inlineStr">
        <is>
          <t>n.d. / tutte le età</t>
        </is>
      </c>
      <c r="G559" s="14" t="inlineStr">
        <is>
          <t>Gioco/Activity book</t>
        </is>
      </c>
      <c r="H559" s="14" t="inlineStr">
        <is>
          <t>Emozioni</t>
        </is>
      </c>
      <c r="I559" s="14" t="inlineStr">
        <is>
          <t>No</t>
        </is>
      </c>
      <c r="J559" s="15" t="inlineStr">
        <is>
          <t>Da verificare</t>
        </is>
      </c>
      <c r="K559" s="14" t="inlineStr"/>
      <c r="L559" s="14" t="inlineStr">
        <is>
          <t>https://www.ibs.it/libri/editori/gallucci</t>
        </is>
      </c>
      <c r="M559" s="19" t="n"/>
      <c r="N559" s="14" t="inlineStr"/>
      <c r="O559" s="16">
        <f>IF(ISNUMBER(M559),ROUND(M559*(1-Condizioni!$B$2),2),"")</f>
        <v/>
      </c>
      <c r="P559" s="17" t="inlineStr">
        <is>
          <t>Sì</t>
        </is>
      </c>
    </row>
    <row r="560">
      <c r="A560" s="14" t="inlineStr">
        <is>
          <t>Gallucci</t>
        </is>
      </c>
      <c r="B560" s="14" t="inlineStr">
        <is>
          <t>Tu sei importante</t>
        </is>
      </c>
      <c r="C560" s="14" t="inlineStr">
        <is>
          <t>(vedi catalogo)</t>
        </is>
      </c>
      <c r="D560" s="14" t="inlineStr">
        <is>
          <t>Illustrati</t>
        </is>
      </c>
      <c r="E560" s="14" t="inlineStr">
        <is>
          <t>da 4 anni</t>
        </is>
      </c>
      <c r="F560" s="14" t="inlineStr">
        <is>
          <t>3-6 anni</t>
        </is>
      </c>
      <c r="G560" s="14" t="inlineStr">
        <is>
          <t>Albo illustrato</t>
        </is>
      </c>
      <c r="H560" s="14" t="inlineStr">
        <is>
          <t>Inclusione e rappresentazione</t>
        </is>
      </c>
      <c r="I560" s="14" t="inlineStr">
        <is>
          <t>No</t>
        </is>
      </c>
      <c r="J560" s="14" t="inlineStr">
        <is>
          <t>Verificata (IBS / editore)</t>
        </is>
      </c>
      <c r="K560" s="14" t="inlineStr">
        <is>
          <t>3-6 anni</t>
        </is>
      </c>
      <c r="L560" s="14" t="inlineStr">
        <is>
          <t>https://www.ibs.it/libri/editori/gallucci</t>
        </is>
      </c>
      <c r="M560" s="16" t="n">
        <v>13</v>
      </c>
      <c r="N560" s="14" t="inlineStr">
        <is>
          <t>https://www.ibs.it/x/e/9788836242580</t>
        </is>
      </c>
      <c r="O560" s="16">
        <f>IF(ISNUMBER(M560),ROUND(M560*(1-Condizioni!$B$2),2),"")</f>
        <v/>
      </c>
      <c r="P560" s="17" t="inlineStr">
        <is>
          <t>Sì</t>
        </is>
      </c>
    </row>
    <row r="561">
      <c r="A561" s="14" t="inlineStr">
        <is>
          <t>Pelledoca</t>
        </is>
      </c>
      <c r="B561" s="14" t="inlineStr">
        <is>
          <t>Naso e Becco Operazione Barattolo</t>
        </is>
      </c>
      <c r="C561" s="14" t="inlineStr">
        <is>
          <t>Lodovica Cima; ill. Valeria Valenza</t>
        </is>
      </c>
      <c r="D561" s="14" t="inlineStr">
        <is>
          <t>Piccole Piume (font ad alta leggibilità)</t>
        </is>
      </c>
      <c r="E561" s="14" t="inlineStr">
        <is>
          <t>Dai 5 anni</t>
        </is>
      </c>
      <c r="F561" s="14" t="inlineStr">
        <is>
          <t>3-6 anni</t>
        </is>
      </c>
      <c r="G561" s="14" t="inlineStr">
        <is>
          <t>Narrativa</t>
        </is>
      </c>
      <c r="H561" s="14" t="inlineStr"/>
      <c r="I561" s="14" t="inlineStr">
        <is>
          <t>No</t>
        </is>
      </c>
      <c r="J561" s="14" t="inlineStr">
        <is>
          <t>Catalogo</t>
        </is>
      </c>
      <c r="K561" s="14" t="inlineStr">
        <is>
          <t>3-6 anni, narrativa</t>
        </is>
      </c>
      <c r="L561" s="14" t="inlineStr">
        <is>
          <t>Catalogo Pelledoca 2025 (ISBN 9788832791068)</t>
        </is>
      </c>
      <c r="M561" s="16" t="n">
        <v>12</v>
      </c>
      <c r="N561" s="14" t="inlineStr">
        <is>
          <t>Catalogo Pelledoca 2025</t>
        </is>
      </c>
      <c r="O561" s="16">
        <f>IF(ISNUMBER(M561),ROUND(M561*(1-Condizioni!$B$2),2),"")</f>
        <v/>
      </c>
      <c r="P561" s="17" t="inlineStr">
        <is>
          <t>No</t>
        </is>
      </c>
    </row>
    <row r="562">
      <c r="A562" s="14" t="inlineStr">
        <is>
          <t>Pelledoca</t>
        </is>
      </c>
      <c r="B562" s="14" t="inlineStr">
        <is>
          <t>Naso e Becco Trappola nel Bosco</t>
        </is>
      </c>
      <c r="C562" s="14" t="inlineStr">
        <is>
          <t>Lodovica Cima; ill. Valeria Valenza</t>
        </is>
      </c>
      <c r="D562" s="14" t="inlineStr">
        <is>
          <t>Piccole Piume (font ad alta leggibilità)</t>
        </is>
      </c>
      <c r="E562" s="14" t="inlineStr">
        <is>
          <t>Dai 5 anni</t>
        </is>
      </c>
      <c r="F562" s="14" t="inlineStr">
        <is>
          <t>3-6 anni</t>
        </is>
      </c>
      <c r="G562" s="14" t="inlineStr">
        <is>
          <t>Narrativa</t>
        </is>
      </c>
      <c r="H562" s="14" t="inlineStr"/>
      <c r="I562" s="14" t="inlineStr">
        <is>
          <t>No</t>
        </is>
      </c>
      <c r="J562" s="14" t="inlineStr">
        <is>
          <t>Catalogo</t>
        </is>
      </c>
      <c r="K562" s="14" t="inlineStr">
        <is>
          <t>3-6 anni, narrativa</t>
        </is>
      </c>
      <c r="L562" s="14" t="inlineStr">
        <is>
          <t>Catalogo Pelledoca 2025 (ISBN 9788832791266)</t>
        </is>
      </c>
      <c r="M562" s="16" t="n">
        <v>12</v>
      </c>
      <c r="N562" s="14" t="inlineStr">
        <is>
          <t>Catalogo Pelledoca 2025</t>
        </is>
      </c>
      <c r="O562" s="16">
        <f>IF(ISNUMBER(M562),ROUND(M562*(1-Condizioni!$B$2),2),"")</f>
        <v/>
      </c>
      <c r="P562" s="17" t="inlineStr">
        <is>
          <t>No</t>
        </is>
      </c>
    </row>
    <row r="563">
      <c r="A563" s="14" t="inlineStr">
        <is>
          <t>Pelledoca</t>
        </is>
      </c>
      <c r="B563" s="14" t="inlineStr">
        <is>
          <t>Naso e Becco la Torta Rubata</t>
        </is>
      </c>
      <c r="C563" s="14" t="inlineStr">
        <is>
          <t>Lodovica Cima; ill. Valeria Valenza</t>
        </is>
      </c>
      <c r="D563" s="14" t="inlineStr">
        <is>
          <t>Piccole Piume (font ad alta leggibilità)</t>
        </is>
      </c>
      <c r="E563" s="14" t="inlineStr">
        <is>
          <t>Dai 5 anni</t>
        </is>
      </c>
      <c r="F563" s="14" t="inlineStr">
        <is>
          <t>3-6 anni</t>
        </is>
      </c>
      <c r="G563" s="14" t="inlineStr">
        <is>
          <t>Narrativa</t>
        </is>
      </c>
      <c r="H563" s="14" t="inlineStr"/>
      <c r="I563" s="14" t="inlineStr">
        <is>
          <t>No</t>
        </is>
      </c>
      <c r="J563" s="14" t="inlineStr">
        <is>
          <t>Catalogo</t>
        </is>
      </c>
      <c r="K563" s="14" t="inlineStr">
        <is>
          <t>3-6 anni, narrativa</t>
        </is>
      </c>
      <c r="L563" s="14" t="inlineStr">
        <is>
          <t>Catalogo Pelledoca 2025 (ISBN 9788832791259)</t>
        </is>
      </c>
      <c r="M563" s="16" t="n">
        <v>12</v>
      </c>
      <c r="N563" s="14" t="inlineStr">
        <is>
          <t>Catalogo Pelledoca 2025</t>
        </is>
      </c>
      <c r="O563" s="16">
        <f>IF(ISNUMBER(M563),ROUND(M563*(1-Condizioni!$B$2),2),"")</f>
        <v/>
      </c>
      <c r="P563" s="17" t="inlineStr">
        <is>
          <t>No</t>
        </is>
      </c>
    </row>
    <row r="564">
      <c r="A564" s="14" t="inlineStr">
        <is>
          <t>Pelledoca</t>
        </is>
      </c>
      <c r="B564" s="14" t="inlineStr">
        <is>
          <t>Naso e Becco le Lettere di Mezzanotte</t>
        </is>
      </c>
      <c r="C564" s="14" t="inlineStr">
        <is>
          <t>Lodovica Cima; ill. Valeria Valenza</t>
        </is>
      </c>
      <c r="D564" s="14" t="inlineStr">
        <is>
          <t>Piccole Piume (font ad alta leggibilità)</t>
        </is>
      </c>
      <c r="E564" s="14" t="inlineStr">
        <is>
          <t>Dai 5 anni</t>
        </is>
      </c>
      <c r="F564" s="14" t="inlineStr">
        <is>
          <t>3-6 anni</t>
        </is>
      </c>
      <c r="G564" s="14" t="inlineStr">
        <is>
          <t>Narrativa</t>
        </is>
      </c>
      <c r="H564" s="14" t="inlineStr"/>
      <c r="I564" s="14" t="inlineStr">
        <is>
          <t>No</t>
        </is>
      </c>
      <c r="J564" s="14" t="inlineStr">
        <is>
          <t>Catalogo</t>
        </is>
      </c>
      <c r="K564" s="14" t="inlineStr">
        <is>
          <t>3-6 anni, narrativa</t>
        </is>
      </c>
      <c r="L564" s="14" t="inlineStr">
        <is>
          <t>Catalogo Pelledoca 2025 (ISBN 9788832791051)</t>
        </is>
      </c>
      <c r="M564" s="16" t="n">
        <v>12</v>
      </c>
      <c r="N564" s="14" t="inlineStr">
        <is>
          <t>Catalogo Pelledoca 2025</t>
        </is>
      </c>
      <c r="O564" s="16">
        <f>IF(ISNUMBER(M564),ROUND(M564*(1-Condizioni!$B$2),2),"")</f>
        <v/>
      </c>
      <c r="P564" s="17" t="inlineStr">
        <is>
          <t>No</t>
        </is>
      </c>
    </row>
    <row r="565">
      <c r="A565" s="14" t="inlineStr">
        <is>
          <t>Pelledoca</t>
        </is>
      </c>
      <c r="B565" s="14" t="inlineStr">
        <is>
          <t>Apnea</t>
        </is>
      </c>
      <c r="C565" s="14" t="inlineStr">
        <is>
          <t>Brian Freschi; ill. Marco Valducci</t>
        </is>
      </c>
      <c r="D565" s="14" t="inlineStr">
        <is>
          <t>OcchiAperti</t>
        </is>
      </c>
      <c r="E565" s="14" t="inlineStr">
        <is>
          <t>Dai 7 anni</t>
        </is>
      </c>
      <c r="F565" s="14" t="inlineStr">
        <is>
          <t>Prime letture (6-8)</t>
        </is>
      </c>
      <c r="G565" s="14" t="inlineStr">
        <is>
          <t>Narrativa</t>
        </is>
      </c>
      <c r="H565" s="14" t="inlineStr"/>
      <c r="I565" s="14" t="inlineStr">
        <is>
          <t>No</t>
        </is>
      </c>
      <c r="J565" s="14" t="inlineStr">
        <is>
          <t>Catalogo</t>
        </is>
      </c>
      <c r="K565" s="14" t="inlineStr">
        <is>
          <t>prime letture, narrativa</t>
        </is>
      </c>
      <c r="L565" s="14" t="inlineStr">
        <is>
          <t>Catalogo Pelledoca 2025 (ISBN 9788832790283)</t>
        </is>
      </c>
      <c r="M565" s="16" t="n">
        <v>18</v>
      </c>
      <c r="N565" s="14" t="inlineStr">
        <is>
          <t>Catalogo Pelledoca 2025</t>
        </is>
      </c>
      <c r="O565" s="16">
        <f>IF(ISNUMBER(M565),ROUND(M565*(1-Condizioni!$B$2),2),"")</f>
        <v/>
      </c>
      <c r="P565" s="17" t="inlineStr">
        <is>
          <t>No</t>
        </is>
      </c>
    </row>
    <row r="566">
      <c r="A566" s="14" t="inlineStr">
        <is>
          <t>Pelledoca</t>
        </is>
      </c>
      <c r="B566" s="14" t="inlineStr">
        <is>
          <t>Bandiera Gialla</t>
        </is>
      </c>
      <c r="C566" s="14" t="inlineStr">
        <is>
          <t>Cristina Marsi; ill. Marilisa Cotroneo</t>
        </is>
      </c>
      <c r="D566" s="14" t="inlineStr">
        <is>
          <t>Piccole Piume (font ad alta leggibilità)</t>
        </is>
      </c>
      <c r="E566" s="14" t="inlineStr">
        <is>
          <t>Dai 7 anni</t>
        </is>
      </c>
      <c r="F566" s="14" t="inlineStr">
        <is>
          <t>Prime letture (6-8)</t>
        </is>
      </c>
      <c r="G566" s="14" t="inlineStr">
        <is>
          <t>Narrativa</t>
        </is>
      </c>
      <c r="H566" s="14" t="inlineStr"/>
      <c r="I566" s="14" t="inlineStr">
        <is>
          <t>No</t>
        </is>
      </c>
      <c r="J566" s="14" t="inlineStr">
        <is>
          <t>Catalogo</t>
        </is>
      </c>
      <c r="K566" s="14" t="inlineStr">
        <is>
          <t>prime letture, narrativa</t>
        </is>
      </c>
      <c r="L566" s="14" t="inlineStr">
        <is>
          <t>Catalogo Pelledoca 2025 (ISBN 9788832791396)</t>
        </is>
      </c>
      <c r="M566" s="16" t="n">
        <v>12</v>
      </c>
      <c r="N566" s="14" t="inlineStr">
        <is>
          <t>Catalogo Pelledoca 2025</t>
        </is>
      </c>
      <c r="O566" s="16">
        <f>IF(ISNUMBER(M566),ROUND(M566*(1-Condizioni!$B$2),2),"")</f>
        <v/>
      </c>
      <c r="P566" s="17" t="inlineStr">
        <is>
          <t>No</t>
        </is>
      </c>
    </row>
    <row r="567">
      <c r="A567" s="14" t="inlineStr">
        <is>
          <t>Pelledoca</t>
        </is>
      </c>
      <c r="B567" s="14" t="inlineStr">
        <is>
          <t>Come un Fantasma</t>
        </is>
      </c>
      <c r="C567" s="14" t="inlineStr">
        <is>
          <t>Cristina Bellemo; ill. Danilo Fresta</t>
        </is>
      </c>
      <c r="D567" s="14" t="inlineStr">
        <is>
          <t>Piccole Piume (font ad alta leggibilità)</t>
        </is>
      </c>
      <c r="E567" s="14" t="inlineStr">
        <is>
          <t>Dai 7 anni</t>
        </is>
      </c>
      <c r="F567" s="14" t="inlineStr">
        <is>
          <t>Prime letture (6-8)</t>
        </is>
      </c>
      <c r="G567" s="14" t="inlineStr">
        <is>
          <t>Narrativa</t>
        </is>
      </c>
      <c r="H567" s="14" t="inlineStr"/>
      <c r="I567" s="14" t="inlineStr">
        <is>
          <t>No</t>
        </is>
      </c>
      <c r="J567" s="14" t="inlineStr">
        <is>
          <t>Catalogo</t>
        </is>
      </c>
      <c r="K567" s="14" t="inlineStr">
        <is>
          <t>prime letture, narrativa</t>
        </is>
      </c>
      <c r="L567" s="14" t="inlineStr">
        <is>
          <t>Catalogo Pelledoca 2025 (ISBN 9788832790917)</t>
        </is>
      </c>
      <c r="M567" s="16" t="n">
        <v>12</v>
      </c>
      <c r="N567" s="14" t="inlineStr">
        <is>
          <t>Catalogo Pelledoca 2025</t>
        </is>
      </c>
      <c r="O567" s="16">
        <f>IF(ISNUMBER(M567),ROUND(M567*(1-Condizioni!$B$2),2),"")</f>
        <v/>
      </c>
      <c r="P567" s="17" t="inlineStr">
        <is>
          <t>No</t>
        </is>
      </c>
    </row>
    <row r="568">
      <c r="A568" s="14" t="inlineStr">
        <is>
          <t>Pelledoca</t>
        </is>
      </c>
      <c r="B568" s="14" t="inlineStr">
        <is>
          <t>C’È Qualcosa in Casa</t>
        </is>
      </c>
      <c r="C568" s="14" t="inlineStr">
        <is>
          <t>Sergio Rossi; ill. Paola Formica</t>
        </is>
      </c>
      <c r="D568" s="14" t="inlineStr">
        <is>
          <t>Piccole Piume (font ad alta leggibilità)</t>
        </is>
      </c>
      <c r="E568" s="14" t="inlineStr">
        <is>
          <t>Dai 7 anni</t>
        </is>
      </c>
      <c r="F568" s="14" t="inlineStr">
        <is>
          <t>Prime letture (6-8)</t>
        </is>
      </c>
      <c r="G568" s="14" t="inlineStr">
        <is>
          <t>Narrativa</t>
        </is>
      </c>
      <c r="H568" s="14" t="inlineStr"/>
      <c r="I568" s="14" t="inlineStr">
        <is>
          <t>No</t>
        </is>
      </c>
      <c r="J568" s="14" t="inlineStr">
        <is>
          <t>Catalogo</t>
        </is>
      </c>
      <c r="K568" s="14" t="inlineStr">
        <is>
          <t>prime letture, narrativa</t>
        </is>
      </c>
      <c r="L568" s="14" t="inlineStr">
        <is>
          <t>Catalogo Pelledoca 2025 (ISBN 9788832790504)</t>
        </is>
      </c>
      <c r="M568" s="16" t="n">
        <v>11</v>
      </c>
      <c r="N568" s="14" t="inlineStr">
        <is>
          <t>Catalogo Pelledoca 2025</t>
        </is>
      </c>
      <c r="O568" s="16">
        <f>IF(ISNUMBER(M568),ROUND(M568*(1-Condizioni!$B$2),2),"")</f>
        <v/>
      </c>
      <c r="P568" s="17" t="inlineStr">
        <is>
          <t>No</t>
        </is>
      </c>
    </row>
    <row r="569">
      <c r="A569" s="14" t="inlineStr">
        <is>
          <t>Pelledoca</t>
        </is>
      </c>
      <c r="B569" s="14" t="inlineStr">
        <is>
          <t>Giù la Maschera</t>
        </is>
      </c>
      <c r="C569" s="14" t="inlineStr">
        <is>
          <t>Erika Torre; ill. Alice Guidi</t>
        </is>
      </c>
      <c r="D569" s="14" t="inlineStr">
        <is>
          <t>Piccole Piume (font ad alta leggibilità)</t>
        </is>
      </c>
      <c r="E569" s="14" t="inlineStr">
        <is>
          <t>Dai 7 anni</t>
        </is>
      </c>
      <c r="F569" s="14" t="inlineStr">
        <is>
          <t>Prime letture (6-8)</t>
        </is>
      </c>
      <c r="G569" s="14" t="inlineStr">
        <is>
          <t>Narrativa</t>
        </is>
      </c>
      <c r="H569" s="14" t="inlineStr"/>
      <c r="I569" s="14" t="inlineStr">
        <is>
          <t>No</t>
        </is>
      </c>
      <c r="J569" s="14" t="inlineStr">
        <is>
          <t>Catalogo</t>
        </is>
      </c>
      <c r="K569" s="14" t="inlineStr">
        <is>
          <t>prime letture, narrativa</t>
        </is>
      </c>
      <c r="L569" s="14" t="inlineStr">
        <is>
          <t>Catalogo Pelledoca 2025 (ISBN 9788832790771)</t>
        </is>
      </c>
      <c r="M569" s="16" t="n">
        <v>12</v>
      </c>
      <c r="N569" s="14" t="inlineStr">
        <is>
          <t>Catalogo Pelledoca 2025</t>
        </is>
      </c>
      <c r="O569" s="16">
        <f>IF(ISNUMBER(M569),ROUND(M569*(1-Condizioni!$B$2),2),"")</f>
        <v/>
      </c>
      <c r="P569" s="17" t="inlineStr">
        <is>
          <t>No</t>
        </is>
      </c>
    </row>
    <row r="570">
      <c r="A570" s="14" t="inlineStr">
        <is>
          <t>Pelledoca</t>
        </is>
      </c>
      <c r="B570" s="14" t="inlineStr">
        <is>
          <t>Il Fifologo Missione Anti Paura</t>
        </is>
      </c>
      <c r="C570" s="14" t="inlineStr">
        <is>
          <t>Elisa Mazzoli; ill. Mirella Mariani</t>
        </is>
      </c>
      <c r="D570" s="14" t="inlineStr">
        <is>
          <t>Piccole Piume (font ad alta leggibilità)</t>
        </is>
      </c>
      <c r="E570" s="14" t="inlineStr">
        <is>
          <t>Dai 7 anni</t>
        </is>
      </c>
      <c r="F570" s="14" t="inlineStr">
        <is>
          <t>Prime letture (6-8)</t>
        </is>
      </c>
      <c r="G570" s="14" t="inlineStr">
        <is>
          <t>Narrativa</t>
        </is>
      </c>
      <c r="H570" s="14" t="inlineStr"/>
      <c r="I570" s="14" t="inlineStr">
        <is>
          <t>No</t>
        </is>
      </c>
      <c r="J570" s="14" t="inlineStr">
        <is>
          <t>Catalogo</t>
        </is>
      </c>
      <c r="K570" s="14" t="inlineStr">
        <is>
          <t>prime letture, narrativa</t>
        </is>
      </c>
      <c r="L570" s="14" t="inlineStr">
        <is>
          <t>Catalogo Pelledoca 2025 (ISBN 9788832790948)</t>
        </is>
      </c>
      <c r="M570" s="16" t="n">
        <v>12</v>
      </c>
      <c r="N570" s="14" t="inlineStr">
        <is>
          <t>Catalogo Pelledoca 2025</t>
        </is>
      </c>
      <c r="O570" s="16">
        <f>IF(ISNUMBER(M570),ROUND(M570*(1-Condizioni!$B$2),2),"")</f>
        <v/>
      </c>
      <c r="P570" s="17" t="inlineStr">
        <is>
          <t>No</t>
        </is>
      </c>
    </row>
    <row r="571">
      <c r="A571" s="14" t="inlineStr">
        <is>
          <t>Pelledoca</t>
        </is>
      </c>
      <c r="B571" s="14" t="inlineStr">
        <is>
          <t>Il Misterioso Furto in Via del Rosmarino 31</t>
        </is>
      </c>
      <c r="C571" s="14" t="inlineStr">
        <is>
          <t>Enrico Marigonda; ill. Sara Brezzi</t>
        </is>
      </c>
      <c r="D571" s="14" t="inlineStr">
        <is>
          <t>Piccole Piume (font ad alta leggibilità)</t>
        </is>
      </c>
      <c r="E571" s="14" t="inlineStr">
        <is>
          <t>Dai 7 anni</t>
        </is>
      </c>
      <c r="F571" s="14" t="inlineStr">
        <is>
          <t>Prime letture (6-8)</t>
        </is>
      </c>
      <c r="G571" s="14" t="inlineStr">
        <is>
          <t>Narrativa</t>
        </is>
      </c>
      <c r="H571" s="14" t="inlineStr"/>
      <c r="I571" s="14" t="inlineStr">
        <is>
          <t>No</t>
        </is>
      </c>
      <c r="J571" s="14" t="inlineStr">
        <is>
          <t>Catalogo</t>
        </is>
      </c>
      <c r="K571" s="14" t="inlineStr">
        <is>
          <t>prime letture, narrativa</t>
        </is>
      </c>
      <c r="L571" s="14" t="inlineStr">
        <is>
          <t>Catalogo Pelledoca 2025 (ISBN 9788832790924)</t>
        </is>
      </c>
      <c r="M571" s="16" t="n">
        <v>12</v>
      </c>
      <c r="N571" s="14" t="inlineStr">
        <is>
          <t>Catalogo Pelledoca 2025</t>
        </is>
      </c>
      <c r="O571" s="16">
        <f>IF(ISNUMBER(M571),ROUND(M571*(1-Condizioni!$B$2),2),"")</f>
        <v/>
      </c>
      <c r="P571" s="17" t="inlineStr">
        <is>
          <t>No</t>
        </is>
      </c>
    </row>
    <row r="572">
      <c r="A572" s="14" t="inlineStr">
        <is>
          <t>Pelledoca</t>
        </is>
      </c>
      <c r="B572" s="14" t="inlineStr">
        <is>
          <t>Il Mistero dei Cani che Sognano</t>
        </is>
      </c>
      <c r="C572" s="14" t="inlineStr">
        <is>
          <t>Alice Keller; ill. Marilisa Cotroneo</t>
        </is>
      </c>
      <c r="D572" s="14" t="inlineStr">
        <is>
          <t>Piccole Piume (font ad alta leggibilità)</t>
        </is>
      </c>
      <c r="E572" s="14" t="inlineStr">
        <is>
          <t>Dai 7 anni</t>
        </is>
      </c>
      <c r="F572" s="14" t="inlineStr">
        <is>
          <t>Prime letture (6-8)</t>
        </is>
      </c>
      <c r="G572" s="14" t="inlineStr">
        <is>
          <t>Narrativa</t>
        </is>
      </c>
      <c r="H572" s="14" t="inlineStr"/>
      <c r="I572" s="14" t="inlineStr">
        <is>
          <t>No</t>
        </is>
      </c>
      <c r="J572" s="14" t="inlineStr">
        <is>
          <t>Catalogo</t>
        </is>
      </c>
      <c r="K572" s="14" t="inlineStr">
        <is>
          <t>prime letture, narrativa</t>
        </is>
      </c>
      <c r="L572" s="14" t="inlineStr">
        <is>
          <t>Catalogo Pelledoca 2025 (ISBN 9788832790719)</t>
        </is>
      </c>
      <c r="M572" s="16" t="n">
        <v>12</v>
      </c>
      <c r="N572" s="14" t="inlineStr">
        <is>
          <t>Catalogo Pelledoca 2025</t>
        </is>
      </c>
      <c r="O572" s="16">
        <f>IF(ISNUMBER(M572),ROUND(M572*(1-Condizioni!$B$2),2),"")</f>
        <v/>
      </c>
      <c r="P572" s="17" t="inlineStr">
        <is>
          <t>No</t>
        </is>
      </c>
    </row>
    <row r="573">
      <c r="A573" s="14" t="inlineStr">
        <is>
          <t>Pelledoca</t>
        </is>
      </c>
      <c r="B573" s="14" t="inlineStr">
        <is>
          <t>La Casa della S</t>
        </is>
      </c>
      <c r="C573" s="14" t="inlineStr">
        <is>
          <t>Michela Nodari; ill. Silvia Crocicchi</t>
        </is>
      </c>
      <c r="D573" s="14" t="inlineStr">
        <is>
          <t>Piccole Piume (font ad alta leggibilità)</t>
        </is>
      </c>
      <c r="E573" s="14" t="inlineStr">
        <is>
          <t>Dai 7 anni</t>
        </is>
      </c>
      <c r="F573" s="14" t="inlineStr">
        <is>
          <t>Prime letture (6-8)</t>
        </is>
      </c>
      <c r="G573" s="14" t="inlineStr">
        <is>
          <t>Narrativa</t>
        </is>
      </c>
      <c r="H573" s="14" t="inlineStr"/>
      <c r="I573" s="14" t="inlineStr">
        <is>
          <t>No</t>
        </is>
      </c>
      <c r="J573" s="14" t="inlineStr">
        <is>
          <t>Catalogo</t>
        </is>
      </c>
      <c r="K573" s="14" t="inlineStr">
        <is>
          <t>prime letture, narrativa</t>
        </is>
      </c>
      <c r="L573" s="14" t="inlineStr">
        <is>
          <t>Catalogo Pelledoca 2025 (ISBN 9788832791402)</t>
        </is>
      </c>
      <c r="M573" s="16" t="n">
        <v>12</v>
      </c>
      <c r="N573" s="14" t="inlineStr">
        <is>
          <t>Catalogo Pelledoca 2025</t>
        </is>
      </c>
      <c r="O573" s="16">
        <f>IF(ISNUMBER(M573),ROUND(M573*(1-Condizioni!$B$2),2),"")</f>
        <v/>
      </c>
      <c r="P573" s="17" t="inlineStr">
        <is>
          <t>No</t>
        </is>
      </c>
    </row>
    <row r="574">
      <c r="A574" s="14" t="inlineStr">
        <is>
          <t>Pelledoca</t>
        </is>
      </c>
      <c r="B574" s="14" t="inlineStr">
        <is>
          <t>La Prova della Foresta</t>
        </is>
      </c>
      <c r="C574" s="14" t="inlineStr">
        <is>
          <t>Roberto Piumini; ill. Paola Formica</t>
        </is>
      </c>
      <c r="D574" s="14" t="inlineStr">
        <is>
          <t>Piccole Piume (font ad alta leggibilità)</t>
        </is>
      </c>
      <c r="E574" s="14" t="inlineStr">
        <is>
          <t>Dai 7 anni</t>
        </is>
      </c>
      <c r="F574" s="14" t="inlineStr">
        <is>
          <t>Prime letture (6-8)</t>
        </is>
      </c>
      <c r="G574" s="14" t="inlineStr">
        <is>
          <t>Narrativa</t>
        </is>
      </c>
      <c r="H574" s="14" t="inlineStr"/>
      <c r="I574" s="14" t="inlineStr">
        <is>
          <t>No</t>
        </is>
      </c>
      <c r="J574" s="14" t="inlineStr">
        <is>
          <t>Catalogo</t>
        </is>
      </c>
      <c r="K574" s="14" t="inlineStr">
        <is>
          <t>prime letture, narrativa</t>
        </is>
      </c>
      <c r="L574" s="14" t="inlineStr">
        <is>
          <t>Catalogo Pelledoca 2025 (ISBN 9788832791006)</t>
        </is>
      </c>
      <c r="M574" s="16" t="n">
        <v>12</v>
      </c>
      <c r="N574" s="14" t="inlineStr">
        <is>
          <t>Catalogo Pelledoca 2025</t>
        </is>
      </c>
      <c r="O574" s="16">
        <f>IF(ISNUMBER(M574),ROUND(M574*(1-Condizioni!$B$2),2),"")</f>
        <v/>
      </c>
      <c r="P574" s="17" t="inlineStr">
        <is>
          <t>No</t>
        </is>
      </c>
    </row>
    <row r="575">
      <c r="A575" s="14" t="inlineStr">
        <is>
          <t>Pelledoca</t>
        </is>
      </c>
      <c r="B575" s="14" t="inlineStr">
        <is>
          <t>Les 3 Moustaches. il Mistero del Profumo d’Inchiostro</t>
        </is>
      </c>
      <c r="C575" s="14" t="inlineStr">
        <is>
          <t>Maddalena Schiavo; ill. Francesca Carabelli</t>
        </is>
      </c>
      <c r="D575" s="14" t="inlineStr">
        <is>
          <t>Piccole Piume (font ad alta leggibilità)</t>
        </is>
      </c>
      <c r="E575" s="14" t="inlineStr">
        <is>
          <t>Dai 6 anni</t>
        </is>
      </c>
      <c r="F575" s="14" t="inlineStr">
        <is>
          <t>Prime letture (6-8)</t>
        </is>
      </c>
      <c r="G575" s="14" t="inlineStr">
        <is>
          <t>Narrativa</t>
        </is>
      </c>
      <c r="H575" s="14" t="inlineStr"/>
      <c r="I575" s="14" t="inlineStr">
        <is>
          <t>No</t>
        </is>
      </c>
      <c r="J575" s="14" t="inlineStr">
        <is>
          <t>Catalogo</t>
        </is>
      </c>
      <c r="K575" s="14" t="inlineStr">
        <is>
          <t>prime letture, narrativa</t>
        </is>
      </c>
      <c r="L575" s="14" t="inlineStr">
        <is>
          <t>Catalogo Pelledoca 2025</t>
        </is>
      </c>
      <c r="M575" s="16" t="n">
        <v>12</v>
      </c>
      <c r="N575" s="14" t="inlineStr">
        <is>
          <t>Catalogo Pelledoca 2025</t>
        </is>
      </c>
      <c r="O575" s="16">
        <f>IF(ISNUMBER(M575),ROUND(M575*(1-Condizioni!$B$2),2),"")</f>
        <v/>
      </c>
      <c r="P575" s="17" t="inlineStr">
        <is>
          <t>No</t>
        </is>
      </c>
    </row>
    <row r="576">
      <c r="A576" s="14" t="inlineStr">
        <is>
          <t>Pelledoca</t>
        </is>
      </c>
      <c r="B576" s="14" t="inlineStr">
        <is>
          <t>Les 3 Moustaches. il Mistero del Rosicchia Ossa</t>
        </is>
      </c>
      <c r="C576" s="14" t="inlineStr">
        <is>
          <t>Maddalena Schiavo; ill. Francesca Carabelli</t>
        </is>
      </c>
      <c r="D576" s="14" t="inlineStr">
        <is>
          <t>Piccole Piume (font ad alta leggibilità)</t>
        </is>
      </c>
      <c r="E576" s="14" t="inlineStr">
        <is>
          <t>Dai 6 anni</t>
        </is>
      </c>
      <c r="F576" s="14" t="inlineStr">
        <is>
          <t>Prime letture (6-8)</t>
        </is>
      </c>
      <c r="G576" s="14" t="inlineStr">
        <is>
          <t>Narrativa</t>
        </is>
      </c>
      <c r="H576" s="14" t="inlineStr"/>
      <c r="I576" s="14" t="inlineStr">
        <is>
          <t>No</t>
        </is>
      </c>
      <c r="J576" s="14" t="inlineStr">
        <is>
          <t>Catalogo</t>
        </is>
      </c>
      <c r="K576" s="14" t="inlineStr">
        <is>
          <t>prime letture, narrativa</t>
        </is>
      </c>
      <c r="L576" s="14" t="inlineStr">
        <is>
          <t>Catalogo Pelledoca 2025</t>
        </is>
      </c>
      <c r="M576" s="16" t="n">
        <v>12</v>
      </c>
      <c r="N576" s="14" t="inlineStr">
        <is>
          <t>Catalogo Pelledoca 2025</t>
        </is>
      </c>
      <c r="O576" s="16">
        <f>IF(ISNUMBER(M576),ROUND(M576*(1-Condizioni!$B$2),2),"")</f>
        <v/>
      </c>
      <c r="P576" s="17" t="inlineStr">
        <is>
          <t>No</t>
        </is>
      </c>
    </row>
    <row r="577">
      <c r="A577" s="14" t="inlineStr">
        <is>
          <t>Pelledoca</t>
        </is>
      </c>
      <c r="B577" s="14" t="inlineStr">
        <is>
          <t>Les 3 Moustaches. il Mistero del Tappeto Peloso</t>
        </is>
      </c>
      <c r="C577" s="14" t="inlineStr">
        <is>
          <t>Maddalena Schiavo; ill. Francesca Carabelli</t>
        </is>
      </c>
      <c r="D577" s="14" t="inlineStr">
        <is>
          <t>Piccole Piume (font ad alta leggibilità)</t>
        </is>
      </c>
      <c r="E577" s="14" t="inlineStr">
        <is>
          <t>Dai 6 anni</t>
        </is>
      </c>
      <c r="F577" s="14" t="inlineStr">
        <is>
          <t>Prime letture (6-8)</t>
        </is>
      </c>
      <c r="G577" s="14" t="inlineStr">
        <is>
          <t>Narrativa</t>
        </is>
      </c>
      <c r="H577" s="14" t="inlineStr"/>
      <c r="I577" s="14" t="inlineStr">
        <is>
          <t>No</t>
        </is>
      </c>
      <c r="J577" s="14" t="inlineStr">
        <is>
          <t>Catalogo</t>
        </is>
      </c>
      <c r="K577" s="14" t="inlineStr">
        <is>
          <t>prime letture, narrativa</t>
        </is>
      </c>
      <c r="L577" s="14" t="inlineStr">
        <is>
          <t>Catalogo Pelledoca 2025</t>
        </is>
      </c>
      <c r="M577" s="16" t="n">
        <v>12</v>
      </c>
      <c r="N577" s="14" t="inlineStr">
        <is>
          <t>Catalogo Pelledoca 2025</t>
        </is>
      </c>
      <c r="O577" s="16">
        <f>IF(ISNUMBER(M577),ROUND(M577*(1-Condizioni!$B$2),2),"")</f>
        <v/>
      </c>
      <c r="P577" s="17" t="inlineStr">
        <is>
          <t>Sì</t>
        </is>
      </c>
    </row>
    <row r="578">
      <c r="A578" s="14" t="inlineStr">
        <is>
          <t>Pelledoca</t>
        </is>
      </c>
      <c r="B578" s="14" t="inlineStr">
        <is>
          <t>Les 3 Moustaches. il Mistero della Ricetta del Montblanc</t>
        </is>
      </c>
      <c r="C578" s="14" t="inlineStr">
        <is>
          <t>Maddalena Schiavo; ill. Francesca Carabelli</t>
        </is>
      </c>
      <c r="D578" s="14" t="inlineStr">
        <is>
          <t>Piccole Piume (font ad alta leggibilità)</t>
        </is>
      </c>
      <c r="E578" s="14" t="inlineStr">
        <is>
          <t>Dai 6 anni</t>
        </is>
      </c>
      <c r="F578" s="14" t="inlineStr">
        <is>
          <t>Prime letture (6-8)</t>
        </is>
      </c>
      <c r="G578" s="14" t="inlineStr">
        <is>
          <t>Narrativa</t>
        </is>
      </c>
      <c r="H578" s="14" t="inlineStr"/>
      <c r="I578" s="14" t="inlineStr">
        <is>
          <t>No</t>
        </is>
      </c>
      <c r="J578" s="14" t="inlineStr">
        <is>
          <t>Catalogo</t>
        </is>
      </c>
      <c r="K578" s="14" t="inlineStr">
        <is>
          <t>prime letture, narrativa</t>
        </is>
      </c>
      <c r="L578" s="14" t="inlineStr">
        <is>
          <t>Catalogo Pelledoca 2025 (ISBN 9788832791365)</t>
        </is>
      </c>
      <c r="M578" s="16" t="n">
        <v>12</v>
      </c>
      <c r="N578" s="14" t="inlineStr">
        <is>
          <t>Catalogo Pelledoca 2025</t>
        </is>
      </c>
      <c r="O578" s="16">
        <f>IF(ISNUMBER(M578),ROUND(M578*(1-Condizioni!$B$2),2),"")</f>
        <v/>
      </c>
      <c r="P578" s="17" t="inlineStr">
        <is>
          <t>Sì</t>
        </is>
      </c>
    </row>
    <row r="579">
      <c r="A579" s="14" t="inlineStr">
        <is>
          <t>Pelledoca</t>
        </is>
      </c>
      <c r="B579" s="14" t="inlineStr">
        <is>
          <t>Lo Spirito del Bosco</t>
        </is>
      </c>
      <c r="C579" s="14" t="inlineStr">
        <is>
          <t>Beatrice Masini; ill. Edoardo Sciarra</t>
        </is>
      </c>
      <c r="D579" s="14" t="inlineStr">
        <is>
          <t>Piccole Piume (font ad alta leggibilità)</t>
        </is>
      </c>
      <c r="E579" s="14" t="inlineStr">
        <is>
          <t>Dai 7 anni</t>
        </is>
      </c>
      <c r="F579" s="14" t="inlineStr">
        <is>
          <t>Prime letture (6-8)</t>
        </is>
      </c>
      <c r="G579" s="14" t="inlineStr">
        <is>
          <t>Narrativa</t>
        </is>
      </c>
      <c r="H579" s="14" t="inlineStr"/>
      <c r="I579" s="14" t="inlineStr">
        <is>
          <t>No</t>
        </is>
      </c>
      <c r="J579" s="14" t="inlineStr">
        <is>
          <t>Catalogo</t>
        </is>
      </c>
      <c r="K579" s="14" t="inlineStr">
        <is>
          <t>prime letture, narrativa</t>
        </is>
      </c>
      <c r="L579" s="14" t="inlineStr">
        <is>
          <t>Catalogo Pelledoca 2025 (ISBN 9788832790511)</t>
        </is>
      </c>
      <c r="M579" s="16" t="n">
        <v>11</v>
      </c>
      <c r="N579" s="14" t="inlineStr">
        <is>
          <t>Catalogo Pelledoca 2025</t>
        </is>
      </c>
      <c r="O579" s="16">
        <f>IF(ISNUMBER(M579),ROUND(M579*(1-Condizioni!$B$2),2),"")</f>
        <v/>
      </c>
      <c r="P579" s="17" t="inlineStr">
        <is>
          <t>No</t>
        </is>
      </c>
    </row>
    <row r="580">
      <c r="A580" s="14" t="inlineStr">
        <is>
          <t>Pelledoca</t>
        </is>
      </c>
      <c r="B580" s="14" t="inlineStr">
        <is>
          <t>Lupi, Licantropi e Luna Piena</t>
        </is>
      </c>
      <c r="C580" s="14" t="inlineStr">
        <is>
          <t>Marco Greganti; ill. Cecilia Fallongo</t>
        </is>
      </c>
      <c r="D580" s="14" t="inlineStr">
        <is>
          <t>Piccole Piume (font ad alta leggibilità)</t>
        </is>
      </c>
      <c r="E580" s="14" t="inlineStr">
        <is>
          <t>Dai 7 anni</t>
        </is>
      </c>
      <c r="F580" s="14" t="inlineStr">
        <is>
          <t>Prime letture (6-8)</t>
        </is>
      </c>
      <c r="G580" s="14" t="inlineStr">
        <is>
          <t>Narrativa</t>
        </is>
      </c>
      <c r="H580" s="14" t="inlineStr"/>
      <c r="I580" s="14" t="inlineStr">
        <is>
          <t>No</t>
        </is>
      </c>
      <c r="J580" s="14" t="inlineStr">
        <is>
          <t>Catalogo</t>
        </is>
      </c>
      <c r="K580" s="14" t="inlineStr">
        <is>
          <t>prime letture, narrativa</t>
        </is>
      </c>
      <c r="L580" s="14" t="inlineStr">
        <is>
          <t>Catalogo Pelledoca 2025</t>
        </is>
      </c>
      <c r="M580" s="16" t="n">
        <v>12</v>
      </c>
      <c r="N580" s="14" t="inlineStr">
        <is>
          <t>Catalogo Pelledoca 2025</t>
        </is>
      </c>
      <c r="O580" s="16">
        <f>IF(ISNUMBER(M580),ROUND(M580*(1-Condizioni!$B$2),2),"")</f>
        <v/>
      </c>
      <c r="P580" s="17" t="inlineStr">
        <is>
          <t>Sì</t>
        </is>
      </c>
    </row>
    <row r="581">
      <c r="A581" s="14" t="inlineStr">
        <is>
          <t>Pelledoca</t>
        </is>
      </c>
      <c r="B581" s="14" t="inlineStr">
        <is>
          <t>L’Isola dei Corvi</t>
        </is>
      </c>
      <c r="C581" s="14" t="inlineStr">
        <is>
          <t>Sara Marconi; ill. Nicolò Minggolini</t>
        </is>
      </c>
      <c r="D581" s="14" t="inlineStr">
        <is>
          <t>Piccole Piume (font ad alta leggibilità)</t>
        </is>
      </c>
      <c r="E581" s="14" t="inlineStr">
        <is>
          <t>Dai 7 anni</t>
        </is>
      </c>
      <c r="F581" s="14" t="inlineStr">
        <is>
          <t>Prime letture (6-8)</t>
        </is>
      </c>
      <c r="G581" s="14" t="inlineStr">
        <is>
          <t>Narrativa</t>
        </is>
      </c>
      <c r="H581" s="14" t="inlineStr"/>
      <c r="I581" s="14" t="inlineStr">
        <is>
          <t>No</t>
        </is>
      </c>
      <c r="J581" s="14" t="inlineStr">
        <is>
          <t>Catalogo</t>
        </is>
      </c>
      <c r="K581" s="14" t="inlineStr">
        <is>
          <t>prime letture, narrativa</t>
        </is>
      </c>
      <c r="L581" s="14" t="inlineStr">
        <is>
          <t>Catalogo Pelledoca 2025 (ISBN 9788832790702)</t>
        </is>
      </c>
      <c r="M581" s="16" t="n">
        <v>12</v>
      </c>
      <c r="N581" s="14" t="inlineStr">
        <is>
          <t>Catalogo Pelledoca 2025</t>
        </is>
      </c>
      <c r="O581" s="16">
        <f>IF(ISNUMBER(M581),ROUND(M581*(1-Condizioni!$B$2),2),"")</f>
        <v/>
      </c>
      <c r="P581" s="17" t="inlineStr">
        <is>
          <t>No</t>
        </is>
      </c>
    </row>
    <row r="582">
      <c r="A582" s="14" t="inlineStr">
        <is>
          <t>Pelledoca</t>
        </is>
      </c>
      <c r="B582" s="14" t="inlineStr">
        <is>
          <t>Mistero al Cimitero</t>
        </is>
      </c>
      <c r="C582" s="14" t="inlineStr">
        <is>
          <t>Giuditta Campello; ill. Marco Valducci</t>
        </is>
      </c>
      <c r="D582" s="14" t="inlineStr">
        <is>
          <t>Piccole Piume (font ad alta leggibilità)</t>
        </is>
      </c>
      <c r="E582" s="14" t="inlineStr">
        <is>
          <t>Dai 7 anni</t>
        </is>
      </c>
      <c r="F582" s="14" t="inlineStr">
        <is>
          <t>Prime letture (6-8)</t>
        </is>
      </c>
      <c r="G582" s="14" t="inlineStr">
        <is>
          <t>Narrativa</t>
        </is>
      </c>
      <c r="H582" s="14" t="inlineStr"/>
      <c r="I582" s="14" t="inlineStr">
        <is>
          <t>No</t>
        </is>
      </c>
      <c r="J582" s="14" t="inlineStr">
        <is>
          <t>Catalogo</t>
        </is>
      </c>
      <c r="K582" s="14" t="inlineStr">
        <is>
          <t>prime letture, narrativa</t>
        </is>
      </c>
      <c r="L582" s="14" t="inlineStr">
        <is>
          <t>Catalogo Pelledoca 2025 (ISBN 9788832790559)</t>
        </is>
      </c>
      <c r="M582" s="16" t="n">
        <v>11</v>
      </c>
      <c r="N582" s="14" t="inlineStr">
        <is>
          <t>Catalogo Pelledoca 2025</t>
        </is>
      </c>
      <c r="O582" s="16">
        <f>IF(ISNUMBER(M582),ROUND(M582*(1-Condizioni!$B$2),2),"")</f>
        <v/>
      </c>
      <c r="P582" s="17" t="inlineStr">
        <is>
          <t>No</t>
        </is>
      </c>
    </row>
    <row r="583">
      <c r="A583" s="14" t="inlineStr">
        <is>
          <t>Pelledoca</t>
        </is>
      </c>
      <c r="B583" s="14" t="inlineStr">
        <is>
          <t>Mistero al Faro</t>
        </is>
      </c>
      <c r="C583" s="14" t="inlineStr">
        <is>
          <t>Adamantia Paizis; ill. Chiara Nocentini</t>
        </is>
      </c>
      <c r="D583" s="14" t="inlineStr">
        <is>
          <t>Piccole Piume (font ad alta leggibilità)</t>
        </is>
      </c>
      <c r="E583" s="14" t="inlineStr">
        <is>
          <t>Dai 7 anni</t>
        </is>
      </c>
      <c r="F583" s="14" t="inlineStr">
        <is>
          <t>Prime letture (6-8)</t>
        </is>
      </c>
      <c r="G583" s="14" t="inlineStr">
        <is>
          <t>Narrativa</t>
        </is>
      </c>
      <c r="H583" s="14" t="inlineStr"/>
      <c r="I583" s="14" t="inlineStr">
        <is>
          <t>No</t>
        </is>
      </c>
      <c r="J583" s="14" t="inlineStr">
        <is>
          <t>Catalogo</t>
        </is>
      </c>
      <c r="K583" s="14" t="inlineStr">
        <is>
          <t>prime letture, narrativa</t>
        </is>
      </c>
      <c r="L583" s="14" t="inlineStr">
        <is>
          <t>Catalogo Pelledoca 2025 (ISBN 9788832791433)</t>
        </is>
      </c>
      <c r="M583" s="16" t="n">
        <v>12</v>
      </c>
      <c r="N583" s="14" t="inlineStr">
        <is>
          <t>Catalogo Pelledoca 2025</t>
        </is>
      </c>
      <c r="O583" s="16">
        <f>IF(ISNUMBER(M583),ROUND(M583*(1-Condizioni!$B$2),2),"")</f>
        <v/>
      </c>
      <c r="P583" s="17" t="inlineStr">
        <is>
          <t>No</t>
        </is>
      </c>
    </row>
    <row r="584">
      <c r="A584" s="14" t="inlineStr">
        <is>
          <t>Pelledoca</t>
        </is>
      </c>
      <c r="B584" s="14" t="inlineStr">
        <is>
          <t>Occhio alla Valigia!</t>
        </is>
      </c>
      <c r="C584" s="14" t="inlineStr">
        <is>
          <t>Eleonora Fornasari; ill. Manuela Marazzi</t>
        </is>
      </c>
      <c r="D584" s="14" t="inlineStr">
        <is>
          <t>Piccole Piume (font ad alta leggibilità)</t>
        </is>
      </c>
      <c r="E584" s="14" t="inlineStr">
        <is>
          <t>Dai 7 anni</t>
        </is>
      </c>
      <c r="F584" s="14" t="inlineStr">
        <is>
          <t>Prime letture (6-8)</t>
        </is>
      </c>
      <c r="G584" s="14" t="inlineStr">
        <is>
          <t>Narrativa</t>
        </is>
      </c>
      <c r="H584" s="14" t="inlineStr"/>
      <c r="I584" s="14" t="inlineStr">
        <is>
          <t>No</t>
        </is>
      </c>
      <c r="J584" s="14" t="inlineStr">
        <is>
          <t>Catalogo</t>
        </is>
      </c>
      <c r="K584" s="14" t="inlineStr">
        <is>
          <t>prime letture, narrativa</t>
        </is>
      </c>
      <c r="L584" s="14" t="inlineStr">
        <is>
          <t>Catalogo Pelledoca 2025 (ISBN 9788832791297)</t>
        </is>
      </c>
      <c r="M584" s="16" t="n">
        <v>12</v>
      </c>
      <c r="N584" s="14" t="inlineStr">
        <is>
          <t>Catalogo Pelledoca 2025</t>
        </is>
      </c>
      <c r="O584" s="16">
        <f>IF(ISNUMBER(M584),ROUND(M584*(1-Condizioni!$B$2),2),"")</f>
        <v/>
      </c>
      <c r="P584" s="17" t="inlineStr">
        <is>
          <t>No</t>
        </is>
      </c>
    </row>
    <row r="585">
      <c r="A585" s="14" t="inlineStr">
        <is>
          <t>Pelledoca</t>
        </is>
      </c>
      <c r="B585" s="14" t="inlineStr">
        <is>
          <t>Se Ci Sei, Batti un Colpo!</t>
        </is>
      </c>
      <c r="C585" s="14" t="inlineStr">
        <is>
          <t>Valentina Mansone; ill. Giulia Bracesco</t>
        </is>
      </c>
      <c r="D585" s="14" t="inlineStr">
        <is>
          <t>Piccole Piume (font ad alta leggibilità)</t>
        </is>
      </c>
      <c r="E585" s="14" t="inlineStr">
        <is>
          <t>Dai 7 anni</t>
        </is>
      </c>
      <c r="F585" s="14" t="inlineStr">
        <is>
          <t>Prime letture (6-8)</t>
        </is>
      </c>
      <c r="G585" s="14" t="inlineStr">
        <is>
          <t>Narrativa</t>
        </is>
      </c>
      <c r="H585" s="14" t="inlineStr"/>
      <c r="I585" s="14" t="inlineStr">
        <is>
          <t>No</t>
        </is>
      </c>
      <c r="J585" s="14" t="inlineStr">
        <is>
          <t>Catalogo</t>
        </is>
      </c>
      <c r="K585" s="14" t="inlineStr">
        <is>
          <t>prime letture, narrativa</t>
        </is>
      </c>
      <c r="L585" s="14" t="inlineStr">
        <is>
          <t>Catalogo Pelledoca 2025 (ISBN 9788832791280)</t>
        </is>
      </c>
      <c r="M585" s="16" t="n">
        <v>12</v>
      </c>
      <c r="N585" s="14" t="inlineStr">
        <is>
          <t>Catalogo Pelledoca 2025</t>
        </is>
      </c>
      <c r="O585" s="16">
        <f>IF(ISNUMBER(M585),ROUND(M585*(1-Condizioni!$B$2),2),"")</f>
        <v/>
      </c>
      <c r="P585" s="17" t="inlineStr">
        <is>
          <t>No</t>
        </is>
      </c>
    </row>
    <row r="586">
      <c r="A586" s="14" t="inlineStr">
        <is>
          <t>Pelledoca</t>
        </is>
      </c>
      <c r="B586" s="14" t="inlineStr">
        <is>
          <t>Susan Duckling e il Caso Dello Zucchero Filato</t>
        </is>
      </c>
      <c r="C586" s="14" t="inlineStr">
        <is>
          <t>Maddalena Schiavo; ill. Veronica Truttero</t>
        </is>
      </c>
      <c r="D586" s="14" t="inlineStr">
        <is>
          <t>Piccole Piume (font ad alta leggibilità)</t>
        </is>
      </c>
      <c r="E586" s="14" t="inlineStr">
        <is>
          <t>Dai 6 anni</t>
        </is>
      </c>
      <c r="F586" s="14" t="inlineStr">
        <is>
          <t>Prime letture (6-8)</t>
        </is>
      </c>
      <c r="G586" s="14" t="inlineStr">
        <is>
          <t>Narrativa</t>
        </is>
      </c>
      <c r="H586" s="14" t="inlineStr"/>
      <c r="I586" s="14" t="inlineStr">
        <is>
          <t>No</t>
        </is>
      </c>
      <c r="J586" s="14" t="inlineStr">
        <is>
          <t>Catalogo</t>
        </is>
      </c>
      <c r="K586" s="14" t="inlineStr">
        <is>
          <t>prime letture, narrativa</t>
        </is>
      </c>
      <c r="L586" s="14" t="inlineStr">
        <is>
          <t>Catalogo Pelledoca 2025 (ISBN 9788832790634)</t>
        </is>
      </c>
      <c r="M586" s="16" t="n">
        <v>12</v>
      </c>
      <c r="N586" s="14" t="inlineStr">
        <is>
          <t>Catalogo Pelledoca 2025</t>
        </is>
      </c>
      <c r="O586" s="16">
        <f>IF(ISNUMBER(M586),ROUND(M586*(1-Condizioni!$B$2),2),"")</f>
        <v/>
      </c>
      <c r="P586" s="17" t="inlineStr">
        <is>
          <t>No</t>
        </is>
      </c>
    </row>
    <row r="587">
      <c r="A587" s="14" t="inlineStr">
        <is>
          <t>Pelledoca</t>
        </is>
      </c>
      <c r="B587" s="14" t="inlineStr">
        <is>
          <t>Susan Duckling e il Caso del Gioiello Rubato</t>
        </is>
      </c>
      <c r="C587" s="14" t="inlineStr">
        <is>
          <t>Maddalena Schiavo; ill. Veronica Truttero</t>
        </is>
      </c>
      <c r="D587" s="14" t="inlineStr">
        <is>
          <t>Piccole Piume (font ad alta leggibilità)</t>
        </is>
      </c>
      <c r="E587" s="14" t="inlineStr">
        <is>
          <t>Dai 6 anni</t>
        </is>
      </c>
      <c r="F587" s="14" t="inlineStr">
        <is>
          <t>Prime letture (6-8)</t>
        </is>
      </c>
      <c r="G587" s="14" t="inlineStr">
        <is>
          <t>Narrativa</t>
        </is>
      </c>
      <c r="H587" s="14" t="inlineStr"/>
      <c r="I587" s="14" t="inlineStr">
        <is>
          <t>No</t>
        </is>
      </c>
      <c r="J587" s="14" t="inlineStr">
        <is>
          <t>Catalogo</t>
        </is>
      </c>
      <c r="K587" s="14" t="inlineStr">
        <is>
          <t>prime letture, narrativa</t>
        </is>
      </c>
      <c r="L587" s="14" t="inlineStr">
        <is>
          <t>Catalogo Pelledoca 2025 (ISBN 9788832790795)</t>
        </is>
      </c>
      <c r="M587" s="16" t="n">
        <v>12</v>
      </c>
      <c r="N587" s="14" t="inlineStr">
        <is>
          <t>Catalogo Pelledoca 2025</t>
        </is>
      </c>
      <c r="O587" s="16">
        <f>IF(ISNUMBER(M587),ROUND(M587*(1-Condizioni!$B$2),2),"")</f>
        <v/>
      </c>
      <c r="P587" s="17" t="inlineStr">
        <is>
          <t>No</t>
        </is>
      </c>
    </row>
    <row r="588">
      <c r="A588" s="14" t="inlineStr">
        <is>
          <t>Pelledoca</t>
        </is>
      </c>
      <c r="B588" s="14" t="inlineStr">
        <is>
          <t>Susan Duckling e il Caso del Raffreddore Scomparso</t>
        </is>
      </c>
      <c r="C588" s="14" t="inlineStr">
        <is>
          <t>Maddalena Schiavo; ill. Laura Zani</t>
        </is>
      </c>
      <c r="D588" s="14" t="inlineStr">
        <is>
          <t>Piccole Piume (font ad alta leggibilità)</t>
        </is>
      </c>
      <c r="E588" s="14" t="inlineStr">
        <is>
          <t>Dai 6 anni</t>
        </is>
      </c>
      <c r="F588" s="14" t="inlineStr">
        <is>
          <t>Prime letture (6-8)</t>
        </is>
      </c>
      <c r="G588" s="14" t="inlineStr">
        <is>
          <t>Narrativa</t>
        </is>
      </c>
      <c r="H588" s="14" t="inlineStr"/>
      <c r="I588" s="14" t="inlineStr">
        <is>
          <t>No</t>
        </is>
      </c>
      <c r="J588" s="14" t="inlineStr">
        <is>
          <t>Catalogo</t>
        </is>
      </c>
      <c r="K588" s="14" t="inlineStr">
        <is>
          <t>prime letture, narrativa</t>
        </is>
      </c>
      <c r="L588" s="14" t="inlineStr">
        <is>
          <t>Catalogo Pelledoca 2025 (ISBN 9788832790412)</t>
        </is>
      </c>
      <c r="M588" s="16" t="n">
        <v>11</v>
      </c>
      <c r="N588" s="14" t="inlineStr">
        <is>
          <t>Catalogo Pelledoca 2025</t>
        </is>
      </c>
      <c r="O588" s="16">
        <f>IF(ISNUMBER(M588),ROUND(M588*(1-Condizioni!$B$2),2),"")</f>
        <v/>
      </c>
      <c r="P588" s="17" t="inlineStr">
        <is>
          <t>No</t>
        </is>
      </c>
    </row>
    <row r="589">
      <c r="A589" s="14" t="inlineStr">
        <is>
          <t>Pelledoca</t>
        </is>
      </c>
      <c r="B589" s="14" t="inlineStr">
        <is>
          <t>Susan Duckling e il Caso del Regalo di Compleanno</t>
        </is>
      </c>
      <c r="C589" s="14" t="inlineStr">
        <is>
          <t>Maddalena Schiavo; ill. Laura Zani</t>
        </is>
      </c>
      <c r="D589" s="14" t="inlineStr">
        <is>
          <t>Piccole Piume (font ad alta leggibilità)</t>
        </is>
      </c>
      <c r="E589" s="14" t="inlineStr">
        <is>
          <t>Dai 6 anni</t>
        </is>
      </c>
      <c r="F589" s="14" t="inlineStr">
        <is>
          <t>Prime letture (6-8)</t>
        </is>
      </c>
      <c r="G589" s="14" t="inlineStr">
        <is>
          <t>Narrativa</t>
        </is>
      </c>
      <c r="H589" s="14" t="inlineStr"/>
      <c r="I589" s="14" t="inlineStr">
        <is>
          <t>No</t>
        </is>
      </c>
      <c r="J589" s="14" t="inlineStr">
        <is>
          <t>Catalogo</t>
        </is>
      </c>
      <c r="K589" s="14" t="inlineStr">
        <is>
          <t>prime letture, narrativa</t>
        </is>
      </c>
      <c r="L589" s="14" t="inlineStr">
        <is>
          <t>Catalogo Pelledoca 2025 (ISBN 9788832790405)</t>
        </is>
      </c>
      <c r="M589" s="16" t="n">
        <v>11</v>
      </c>
      <c r="N589" s="14" t="inlineStr">
        <is>
          <t>Catalogo Pelledoca 2025</t>
        </is>
      </c>
      <c r="O589" s="16">
        <f>IF(ISNUMBER(M589),ROUND(M589*(1-Condizioni!$B$2),2),"")</f>
        <v/>
      </c>
      <c r="P589" s="17" t="inlineStr">
        <is>
          <t>Sì</t>
        </is>
      </c>
    </row>
    <row r="590">
      <c r="A590" s="14" t="inlineStr">
        <is>
          <t>Pelledoca</t>
        </is>
      </c>
      <c r="B590" s="14" t="inlineStr">
        <is>
          <t>Susan Duckling e il Caso della Farfalla Scomparsa</t>
        </is>
      </c>
      <c r="C590" s="14" t="inlineStr">
        <is>
          <t>Maddalena Schiavo; ill. Veronica Truttero</t>
        </is>
      </c>
      <c r="D590" s="14" t="inlineStr">
        <is>
          <t>Piccole Piume (font ad alta leggibilità)</t>
        </is>
      </c>
      <c r="E590" s="14" t="inlineStr">
        <is>
          <t>Dai 6 anni</t>
        </is>
      </c>
      <c r="F590" s="14" t="inlineStr">
        <is>
          <t>Prime letture (6-8)</t>
        </is>
      </c>
      <c r="G590" s="14" t="inlineStr">
        <is>
          <t>Narrativa</t>
        </is>
      </c>
      <c r="H590" s="14" t="inlineStr"/>
      <c r="I590" s="14" t="inlineStr">
        <is>
          <t>No</t>
        </is>
      </c>
      <c r="J590" s="14" t="inlineStr">
        <is>
          <t>Catalogo</t>
        </is>
      </c>
      <c r="K590" s="14" t="inlineStr">
        <is>
          <t>prime letture, narrativa</t>
        </is>
      </c>
      <c r="L590" s="14" t="inlineStr">
        <is>
          <t>Catalogo Pelledoca 2025 (ISBN 9788832790801)</t>
        </is>
      </c>
      <c r="M590" s="16" t="n">
        <v>12</v>
      </c>
      <c r="N590" s="14" t="inlineStr">
        <is>
          <t>Catalogo Pelledoca 2025</t>
        </is>
      </c>
      <c r="O590" s="16">
        <f>IF(ISNUMBER(M590),ROUND(M590*(1-Condizioni!$B$2),2),"")</f>
        <v/>
      </c>
      <c r="P590" s="17" t="inlineStr">
        <is>
          <t>No</t>
        </is>
      </c>
    </row>
    <row r="591">
      <c r="A591" s="14" t="inlineStr">
        <is>
          <t>Pelledoca</t>
        </is>
      </c>
      <c r="B591" s="14" t="inlineStr">
        <is>
          <t>Susan Duckling e il Caso delle Uova Scomparse</t>
        </is>
      </c>
      <c r="C591" s="14" t="inlineStr">
        <is>
          <t>Maddalena Schiavo; ill. Veronica Truttero</t>
        </is>
      </c>
      <c r="D591" s="14" t="inlineStr">
        <is>
          <t>Piccole Piume (font ad alta leggibilità)</t>
        </is>
      </c>
      <c r="E591" s="14" t="inlineStr">
        <is>
          <t>Dai 6 anni</t>
        </is>
      </c>
      <c r="F591" s="14" t="inlineStr">
        <is>
          <t>Prime letture (6-8)</t>
        </is>
      </c>
      <c r="G591" s="14" t="inlineStr">
        <is>
          <t>Narrativa</t>
        </is>
      </c>
      <c r="H591" s="14" t="inlineStr"/>
      <c r="I591" s="14" t="inlineStr">
        <is>
          <t>No</t>
        </is>
      </c>
      <c r="J591" s="14" t="inlineStr">
        <is>
          <t>Catalogo</t>
        </is>
      </c>
      <c r="K591" s="14" t="inlineStr">
        <is>
          <t>prime letture, narrativa</t>
        </is>
      </c>
      <c r="L591" s="14" t="inlineStr">
        <is>
          <t>Catalogo Pelledoca 2025 (ISBN 9788832790641)</t>
        </is>
      </c>
      <c r="M591" s="16" t="n">
        <v>12</v>
      </c>
      <c r="N591" s="14" t="inlineStr">
        <is>
          <t>Catalogo Pelledoca 2025</t>
        </is>
      </c>
      <c r="O591" s="16">
        <f>IF(ISNUMBER(M591),ROUND(M591*(1-Condizioni!$B$2),2),"")</f>
        <v/>
      </c>
      <c r="P591" s="17" t="inlineStr">
        <is>
          <t>No</t>
        </is>
      </c>
    </row>
    <row r="592">
      <c r="A592" s="14" t="inlineStr">
        <is>
          <t>Pelledoca</t>
        </is>
      </c>
      <c r="B592" s="14" t="inlineStr">
        <is>
          <t>Tutta Colpa del Buio</t>
        </is>
      </c>
      <c r="C592" s="14" t="inlineStr">
        <is>
          <t>Matteo Grimaldi; ill. Ilaria Perversi</t>
        </is>
      </c>
      <c r="D592" s="14" t="inlineStr">
        <is>
          <t>Piccole Piume (font ad alta leggibilità)</t>
        </is>
      </c>
      <c r="E592" s="14" t="inlineStr">
        <is>
          <t>Dai 7 anni</t>
        </is>
      </c>
      <c r="F592" s="14" t="inlineStr">
        <is>
          <t>Prime letture (6-8)</t>
        </is>
      </c>
      <c r="G592" s="14" t="inlineStr">
        <is>
          <t>Narrativa</t>
        </is>
      </c>
      <c r="H592" s="14" t="inlineStr"/>
      <c r="I592" s="14" t="inlineStr">
        <is>
          <t>No</t>
        </is>
      </c>
      <c r="J592" s="14" t="inlineStr">
        <is>
          <t>Catalogo</t>
        </is>
      </c>
      <c r="K592" s="14" t="inlineStr">
        <is>
          <t>prime letture, narrativa</t>
        </is>
      </c>
      <c r="L592" s="14" t="inlineStr">
        <is>
          <t>Catalogo Pelledoca 2025 (ISBN 9788832790788)</t>
        </is>
      </c>
      <c r="M592" s="16" t="n">
        <v>12</v>
      </c>
      <c r="N592" s="14" t="inlineStr">
        <is>
          <t>Catalogo Pelledoca 2025</t>
        </is>
      </c>
      <c r="O592" s="16">
        <f>IF(ISNUMBER(M592),ROUND(M592*(1-Condizioni!$B$2),2),"")</f>
        <v/>
      </c>
      <c r="P592" s="17" t="inlineStr">
        <is>
          <t>No</t>
        </is>
      </c>
    </row>
    <row r="593">
      <c r="A593" s="14" t="inlineStr">
        <is>
          <t>Pelledoca</t>
        </is>
      </c>
      <c r="B593" s="14" t="inlineStr">
        <is>
          <t>Zeffirina Dove Sei?</t>
        </is>
      </c>
      <c r="C593" s="14" t="inlineStr">
        <is>
          <t>Chiara Lorenzoni; ill. Marggherita Alleggri</t>
        </is>
      </c>
      <c r="D593" s="14" t="inlineStr">
        <is>
          <t>Piccole Piume (font ad alta leggibilità)</t>
        </is>
      </c>
      <c r="E593" s="14" t="inlineStr">
        <is>
          <t>Dai 7 anni</t>
        </is>
      </c>
      <c r="F593" s="14" t="inlineStr">
        <is>
          <t>Prime letture (6-8)</t>
        </is>
      </c>
      <c r="G593" s="14" t="inlineStr">
        <is>
          <t>Narrativa</t>
        </is>
      </c>
      <c r="H593" s="14" t="inlineStr"/>
      <c r="I593" s="14" t="inlineStr">
        <is>
          <t>No</t>
        </is>
      </c>
      <c r="J593" s="14" t="inlineStr">
        <is>
          <t>Catalogo</t>
        </is>
      </c>
      <c r="K593" s="14" t="inlineStr">
        <is>
          <t>prime letture, narrativa</t>
        </is>
      </c>
      <c r="L593" s="14" t="inlineStr">
        <is>
          <t>Catalogo Pelledoca 2025 (ISBN 9788832790542)</t>
        </is>
      </c>
      <c r="M593" s="16" t="n">
        <v>11</v>
      </c>
      <c r="N593" s="14" t="inlineStr">
        <is>
          <t>Catalogo Pelledoca 2025</t>
        </is>
      </c>
      <c r="O593" s="16">
        <f>IF(ISNUMBER(M593),ROUND(M593*(1-Condizioni!$B$2),2),"")</f>
        <v/>
      </c>
      <c r="P593" s="17" t="inlineStr">
        <is>
          <t>No</t>
        </is>
      </c>
    </row>
    <row r="594">
      <c r="A594" s="14" t="inlineStr">
        <is>
          <t>Pelledoca</t>
        </is>
      </c>
      <c r="B594" s="14" t="inlineStr">
        <is>
          <t>Casapelledoca</t>
        </is>
      </c>
      <c r="C594" s="14" t="inlineStr">
        <is>
          <t>Beatrice Masini; ill. Lorenzo Conti</t>
        </is>
      </c>
      <c r="D594" s="14" t="inlineStr">
        <is>
          <t>OcchiAperti</t>
        </is>
      </c>
      <c r="E594" s="14" t="inlineStr">
        <is>
          <t>Dagli 8 anni</t>
        </is>
      </c>
      <c r="F594" s="14" t="inlineStr">
        <is>
          <t>8+</t>
        </is>
      </c>
      <c r="G594" s="14" t="inlineStr">
        <is>
          <t>Narrativa</t>
        </is>
      </c>
      <c r="H594" s="14" t="inlineStr"/>
      <c r="I594" s="14" t="inlineStr">
        <is>
          <t>No</t>
        </is>
      </c>
      <c r="J594" s="14" t="inlineStr">
        <is>
          <t>Catalogo</t>
        </is>
      </c>
      <c r="K594" s="14" t="inlineStr">
        <is>
          <t>8+, narrativa</t>
        </is>
      </c>
      <c r="L594" s="14" t="inlineStr">
        <is>
          <t>Catalogo Pelledoca 2025 (ISBN 9788832790191)</t>
        </is>
      </c>
      <c r="M594" s="16" t="n">
        <v>18</v>
      </c>
      <c r="N594" s="14" t="inlineStr">
        <is>
          <t>Catalogo Pelledoca 2025</t>
        </is>
      </c>
      <c r="O594" s="16">
        <f>IF(ISNUMBER(M594),ROUND(M594*(1-Condizioni!$B$2),2),"")</f>
        <v/>
      </c>
      <c r="P594" s="17" t="inlineStr">
        <is>
          <t>No</t>
        </is>
      </c>
    </row>
    <row r="595">
      <c r="A595" s="14" t="inlineStr">
        <is>
          <t>Pelledoca</t>
        </is>
      </c>
      <c r="B595" s="14" t="inlineStr">
        <is>
          <t>Piccola Mappa delle Paure</t>
        </is>
      </c>
      <c r="C595" s="14" t="inlineStr">
        <is>
          <t>Andrea Valente; ill. Sonia Zucchini</t>
        </is>
      </c>
      <c r="D595" s="14" t="inlineStr">
        <is>
          <t>OcchiAperti</t>
        </is>
      </c>
      <c r="E595" s="14" t="inlineStr">
        <is>
          <t>Dai 9 anni</t>
        </is>
      </c>
      <c r="F595" s="14" t="inlineStr">
        <is>
          <t>9+</t>
        </is>
      </c>
      <c r="G595" s="14" t="inlineStr">
        <is>
          <t>Narrativa</t>
        </is>
      </c>
      <c r="H595" s="14" t="inlineStr"/>
      <c r="I595" s="14" t="inlineStr">
        <is>
          <t>No</t>
        </is>
      </c>
      <c r="J595" s="14" t="inlineStr">
        <is>
          <t>Catalogo</t>
        </is>
      </c>
      <c r="K595" s="14" t="inlineStr">
        <is>
          <t>9+, narrativa</t>
        </is>
      </c>
      <c r="L595" s="14" t="inlineStr">
        <is>
          <t>Catalogo Pelledoca 2025 (ISBN 9788832790047)</t>
        </is>
      </c>
      <c r="M595" s="16" t="n">
        <v>18</v>
      </c>
      <c r="N595" s="14" t="inlineStr">
        <is>
          <t>Catalogo Pelledoca 2025</t>
        </is>
      </c>
      <c r="O595" s="16">
        <f>IF(ISNUMBER(M595),ROUND(M595*(1-Condizioni!$B$2),2),"")</f>
        <v/>
      </c>
      <c r="P595" s="17" t="inlineStr">
        <is>
          <t>No</t>
        </is>
      </c>
    </row>
    <row r="596">
      <c r="A596" s="14" t="inlineStr">
        <is>
          <t>Pelledoca</t>
        </is>
      </c>
      <c r="B596" s="14" t="inlineStr">
        <is>
          <t>Vedo Nero</t>
        </is>
      </c>
      <c r="C596" s="14" t="inlineStr">
        <is>
          <t>Andrea Valente; ill. Anna Pini</t>
        </is>
      </c>
      <c r="D596" s="14" t="inlineStr">
        <is>
          <t>OcchiAperti</t>
        </is>
      </c>
      <c r="E596" s="14" t="inlineStr">
        <is>
          <t>Dai 9 anni</t>
        </is>
      </c>
      <c r="F596" s="14" t="inlineStr">
        <is>
          <t>9+</t>
        </is>
      </c>
      <c r="G596" s="14" t="inlineStr">
        <is>
          <t>Narrativa</t>
        </is>
      </c>
      <c r="H596" s="14" t="inlineStr"/>
      <c r="I596" s="14" t="inlineStr">
        <is>
          <t>No</t>
        </is>
      </c>
      <c r="J596" s="14" t="inlineStr">
        <is>
          <t>Catalogo</t>
        </is>
      </c>
      <c r="K596" s="14" t="inlineStr">
        <is>
          <t>9+, narrativa</t>
        </is>
      </c>
      <c r="L596" s="14" t="inlineStr">
        <is>
          <t>Catalogo Pelledoca 2025 (ISBN 9788832790245)</t>
        </is>
      </c>
      <c r="M596" s="16" t="n">
        <v>18</v>
      </c>
      <c r="N596" s="14" t="inlineStr">
        <is>
          <t>Catalogo Pelledoca 2025</t>
        </is>
      </c>
      <c r="O596" s="16">
        <f>IF(ISNUMBER(M596),ROUND(M596*(1-Condizioni!$B$2),2),"")</f>
        <v/>
      </c>
      <c r="P596" s="17" t="inlineStr">
        <is>
          <t>No</t>
        </is>
      </c>
    </row>
    <row r="597">
      <c r="A597" s="14" t="inlineStr">
        <is>
          <t>Pelledoca</t>
        </is>
      </c>
      <c r="B597" s="14" t="inlineStr">
        <is>
          <t>Due Hotel e un Delitto</t>
        </is>
      </c>
      <c r="C597" s="14" t="inlineStr">
        <is>
          <t>Erika Torre</t>
        </is>
      </c>
      <c r="D597" s="14" t="inlineStr">
        <is>
          <t>NeroInchiostro</t>
        </is>
      </c>
      <c r="E597" s="14" t="inlineStr">
        <is>
          <t>Dai 10 anni</t>
        </is>
      </c>
      <c r="F597" s="14" t="inlineStr">
        <is>
          <t>10+</t>
        </is>
      </c>
      <c r="G597" s="14" t="inlineStr">
        <is>
          <t>Romanzo</t>
        </is>
      </c>
      <c r="H597" s="14" t="inlineStr"/>
      <c r="I597" s="14" t="inlineStr">
        <is>
          <t>No</t>
        </is>
      </c>
      <c r="J597" s="14" t="inlineStr">
        <is>
          <t>Catalogo</t>
        </is>
      </c>
      <c r="K597" s="14" t="inlineStr">
        <is>
          <t>10+, romanzo, narrativa</t>
        </is>
      </c>
      <c r="L597" s="14" t="inlineStr">
        <is>
          <t>Catalogo Pelledoca 2025 (ISBN 9788832790443)</t>
        </is>
      </c>
      <c r="M597" s="16" t="n">
        <v>16</v>
      </c>
      <c r="N597" s="14" t="inlineStr">
        <is>
          <t>Catalogo Pelledoca 2025</t>
        </is>
      </c>
      <c r="O597" s="16">
        <f>IF(ISNUMBER(M597),ROUND(M597*(1-Condizioni!$B$2),2),"")</f>
        <v/>
      </c>
      <c r="P597" s="17" t="inlineStr">
        <is>
          <t>No</t>
        </is>
      </c>
    </row>
    <row r="598">
      <c r="A598" s="14" t="inlineStr">
        <is>
          <t>Pelledoca</t>
        </is>
      </c>
      <c r="B598" s="14" t="inlineStr">
        <is>
          <t>Emma e i Fantini Detective</t>
        </is>
      </c>
      <c r="C598" s="14" t="inlineStr">
        <is>
          <t>Laura Orsolini</t>
        </is>
      </c>
      <c r="D598" s="14" t="inlineStr">
        <is>
          <t>NeroInchiostro</t>
        </is>
      </c>
      <c r="E598" s="14" t="inlineStr">
        <is>
          <t>Dai 10 anni</t>
        </is>
      </c>
      <c r="F598" s="14" t="inlineStr">
        <is>
          <t>10+</t>
        </is>
      </c>
      <c r="G598" s="14" t="inlineStr">
        <is>
          <t>Romanzo</t>
        </is>
      </c>
      <c r="H598" s="14" t="inlineStr"/>
      <c r="I598" s="14" t="inlineStr">
        <is>
          <t>No</t>
        </is>
      </c>
      <c r="J598" s="14" t="inlineStr">
        <is>
          <t>Catalogo</t>
        </is>
      </c>
      <c r="K598" s="14" t="inlineStr">
        <is>
          <t>10+, romanzo, narrativa</t>
        </is>
      </c>
      <c r="L598" s="14" t="inlineStr">
        <is>
          <t>Catalogo Pelledoca 2025 (ISBN 9788832790757)</t>
        </is>
      </c>
      <c r="M598" s="16" t="n">
        <v>16</v>
      </c>
      <c r="N598" s="14" t="inlineStr">
        <is>
          <t>Catalogo Pelledoca 2025</t>
        </is>
      </c>
      <c r="O598" s="16">
        <f>IF(ISNUMBER(M598),ROUND(M598*(1-Condizioni!$B$2),2),"")</f>
        <v/>
      </c>
      <c r="P598" s="17" t="inlineStr">
        <is>
          <t>No</t>
        </is>
      </c>
    </row>
    <row r="599">
      <c r="A599" s="14" t="inlineStr">
        <is>
          <t>Pelledoca</t>
        </is>
      </c>
      <c r="B599" s="14" t="inlineStr">
        <is>
          <t>Il Mistero del Cadavere Senza Testa</t>
        </is>
      </c>
      <c r="C599" s="14" t="inlineStr">
        <is>
          <t>Luca Occhi</t>
        </is>
      </c>
      <c r="D599" s="14" t="inlineStr">
        <is>
          <t>NeroInchiostro</t>
        </is>
      </c>
      <c r="E599" s="14" t="inlineStr">
        <is>
          <t>Dai 10 anni</t>
        </is>
      </c>
      <c r="F599" s="14" t="inlineStr">
        <is>
          <t>10+</t>
        </is>
      </c>
      <c r="G599" s="14" t="inlineStr">
        <is>
          <t>Romanzo</t>
        </is>
      </c>
      <c r="H599" s="14" t="inlineStr"/>
      <c r="I599" s="14" t="inlineStr">
        <is>
          <t>No</t>
        </is>
      </c>
      <c r="J599" s="14" t="inlineStr">
        <is>
          <t>Catalogo</t>
        </is>
      </c>
      <c r="K599" s="14" t="inlineStr">
        <is>
          <t>10+, romanzo, narrativa</t>
        </is>
      </c>
      <c r="L599" s="14" t="inlineStr">
        <is>
          <t>Catalogo Pelledoca 2025 (ISBN 9788832790733)</t>
        </is>
      </c>
      <c r="M599" s="16" t="n">
        <v>16</v>
      </c>
      <c r="N599" s="14" t="inlineStr">
        <is>
          <t>Catalogo Pelledoca 2025</t>
        </is>
      </c>
      <c r="O599" s="16">
        <f>IF(ISNUMBER(M599),ROUND(M599*(1-Condizioni!$B$2),2),"")</f>
        <v/>
      </c>
      <c r="P599" s="17" t="inlineStr">
        <is>
          <t>Sì</t>
        </is>
      </c>
    </row>
    <row r="600">
      <c r="A600" s="14" t="inlineStr">
        <is>
          <t>Pelledoca</t>
        </is>
      </c>
      <c r="B600" s="14" t="inlineStr">
        <is>
          <t>Il Ponte dei Cani Suicidi</t>
        </is>
      </c>
      <c r="C600" s="14" t="inlineStr">
        <is>
          <t>Daniele Nicastro</t>
        </is>
      </c>
      <c r="D600" s="14" t="inlineStr">
        <is>
          <t>NeroInchiostro</t>
        </is>
      </c>
      <c r="E600" s="14" t="inlineStr">
        <is>
          <t>Dai 10 anni</t>
        </is>
      </c>
      <c r="F600" s="14" t="inlineStr">
        <is>
          <t>10+</t>
        </is>
      </c>
      <c r="G600" s="14" t="inlineStr">
        <is>
          <t>Romanzo</t>
        </is>
      </c>
      <c r="H600" s="14" t="inlineStr"/>
      <c r="I600" s="14" t="inlineStr">
        <is>
          <t>No</t>
        </is>
      </c>
      <c r="J600" s="14" t="inlineStr">
        <is>
          <t>Catalogo</t>
        </is>
      </c>
      <c r="K600" s="14" t="inlineStr">
        <is>
          <t>10+, romanzo, narrativa</t>
        </is>
      </c>
      <c r="L600" s="14" t="inlineStr">
        <is>
          <t>Catalogo Pelledoca 2025 (ISBN 9788832790474)</t>
        </is>
      </c>
      <c r="M600" s="16" t="n">
        <v>16</v>
      </c>
      <c r="N600" s="14" t="inlineStr">
        <is>
          <t>Catalogo Pelledoca 2025</t>
        </is>
      </c>
      <c r="O600" s="16">
        <f>IF(ISNUMBER(M600),ROUND(M600*(1-Condizioni!$B$2),2),"")</f>
        <v/>
      </c>
      <c r="P600" s="17" t="inlineStr">
        <is>
          <t>No</t>
        </is>
      </c>
    </row>
    <row r="601">
      <c r="A601" s="14" t="inlineStr">
        <is>
          <t>Pelledoca</t>
        </is>
      </c>
      <c r="B601" s="14" t="inlineStr">
        <is>
          <t>Omicidio in Ricetta</t>
        </is>
      </c>
      <c r="C601" s="14" t="inlineStr">
        <is>
          <t>Fabrizio Altieri</t>
        </is>
      </c>
      <c r="D601" s="14" t="inlineStr">
        <is>
          <t>NeroInchiostro</t>
        </is>
      </c>
      <c r="E601" s="14" t="inlineStr">
        <is>
          <t>Dai 10 anni</t>
        </is>
      </c>
      <c r="F601" s="14" t="inlineStr">
        <is>
          <t>10+</t>
        </is>
      </c>
      <c r="G601" s="14" t="inlineStr">
        <is>
          <t>Romanzo</t>
        </is>
      </c>
      <c r="H601" s="14" t="inlineStr"/>
      <c r="I601" s="14" t="inlineStr">
        <is>
          <t>No</t>
        </is>
      </c>
      <c r="J601" s="14" t="inlineStr">
        <is>
          <t>Catalogo</t>
        </is>
      </c>
      <c r="K601" s="14" t="inlineStr">
        <is>
          <t>10+, romanzo, narrativa</t>
        </is>
      </c>
      <c r="L601" s="14" t="inlineStr">
        <is>
          <t>Catalogo Pelledoca 2025 (ISBN 9788832790672)</t>
        </is>
      </c>
      <c r="M601" s="16" t="n">
        <v>16</v>
      </c>
      <c r="N601" s="14" t="inlineStr">
        <is>
          <t>Catalogo Pelledoca 2025</t>
        </is>
      </c>
      <c r="O601" s="16">
        <f>IF(ISNUMBER(M601),ROUND(M601*(1-Condizioni!$B$2),2),"")</f>
        <v/>
      </c>
      <c r="P601" s="17" t="inlineStr">
        <is>
          <t>No</t>
        </is>
      </c>
    </row>
    <row r="602">
      <c r="A602" s="14" t="inlineStr">
        <is>
          <t>Pelledoca</t>
        </is>
      </c>
      <c r="B602" s="14" t="inlineStr">
        <is>
          <t>Uno Scrigno a Doppio Segreto</t>
        </is>
      </c>
      <c r="C602" s="14" t="inlineStr">
        <is>
          <t>Guido Quarzo e Anna Vivarelli</t>
        </is>
      </c>
      <c r="D602" s="14" t="inlineStr">
        <is>
          <t>NeroInchiostro</t>
        </is>
      </c>
      <c r="E602" s="14" t="inlineStr">
        <is>
          <t>Dai 10 anni</t>
        </is>
      </c>
      <c r="F602" s="14" t="inlineStr">
        <is>
          <t>10+</t>
        </is>
      </c>
      <c r="G602" s="14" t="inlineStr">
        <is>
          <t>Romanzo</t>
        </is>
      </c>
      <c r="H602" s="14" t="inlineStr"/>
      <c r="I602" s="14" t="inlineStr">
        <is>
          <t>No</t>
        </is>
      </c>
      <c r="J602" s="14" t="inlineStr">
        <is>
          <t>Catalogo</t>
        </is>
      </c>
      <c r="K602" s="14" t="inlineStr">
        <is>
          <t>10+, romanzo, narrativa</t>
        </is>
      </c>
      <c r="L602" s="14" t="inlineStr">
        <is>
          <t>Catalogo Pelledoca 2025 (ISBN 9788832791099)</t>
        </is>
      </c>
      <c r="M602" s="16" t="n">
        <v>16</v>
      </c>
      <c r="N602" s="14" t="inlineStr">
        <is>
          <t>Catalogo Pelledoca 2025</t>
        </is>
      </c>
      <c r="O602" s="16">
        <f>IF(ISNUMBER(M602),ROUND(M602*(1-Condizioni!$B$2),2),"")</f>
        <v/>
      </c>
      <c r="P602" s="17" t="inlineStr">
        <is>
          <t>Sì</t>
        </is>
      </c>
    </row>
    <row r="603">
      <c r="A603" s="14" t="inlineStr">
        <is>
          <t>Pelledoca</t>
        </is>
      </c>
      <c r="B603" s="14" t="inlineStr">
        <is>
          <t>Uscita di Sicurezza</t>
        </is>
      </c>
      <c r="C603" s="14" t="inlineStr">
        <is>
          <t>Carla Anzile</t>
        </is>
      </c>
      <c r="D603" s="14" t="inlineStr">
        <is>
          <t>NeroInchiostro</t>
        </is>
      </c>
      <c r="E603" s="14" t="inlineStr">
        <is>
          <t>Dai 10 anni</t>
        </is>
      </c>
      <c r="F603" s="14" t="inlineStr">
        <is>
          <t>10+</t>
        </is>
      </c>
      <c r="G603" s="14" t="inlineStr">
        <is>
          <t>Romanzo</t>
        </is>
      </c>
      <c r="H603" s="14" t="inlineStr">
        <is>
          <t>Autismo</t>
        </is>
      </c>
      <c r="I603" s="14" t="inlineStr">
        <is>
          <t>No</t>
        </is>
      </c>
      <c r="J603" s="14" t="inlineStr">
        <is>
          <t>Catalogo</t>
        </is>
      </c>
      <c r="K603" s="14" t="inlineStr">
        <is>
          <t>10+, romanzo, narrativa</t>
        </is>
      </c>
      <c r="L603" s="14" t="inlineStr">
        <is>
          <t>Catalogo Pelledoca 2025 (ISBN 9788832790238)</t>
        </is>
      </c>
      <c r="M603" s="16" t="n">
        <v>16</v>
      </c>
      <c r="N603" s="14" t="inlineStr">
        <is>
          <t>Catalogo Pelledoca 2025</t>
        </is>
      </c>
      <c r="O603" s="16">
        <f>IF(ISNUMBER(M603),ROUND(M603*(1-Condizioni!$B$2),2),"")</f>
        <v/>
      </c>
      <c r="P603" s="17" t="inlineStr">
        <is>
          <t>Sì</t>
        </is>
      </c>
    </row>
    <row r="604">
      <c r="A604" s="14" t="inlineStr">
        <is>
          <t>Pelledoca</t>
        </is>
      </c>
      <c r="B604" s="14" t="inlineStr">
        <is>
          <t>Villa Mannara</t>
        </is>
      </c>
      <c r="C604" s="14" t="inlineStr">
        <is>
          <t>Laura Orsolini</t>
        </is>
      </c>
      <c r="D604" s="14" t="inlineStr">
        <is>
          <t>NeroInchiostro</t>
        </is>
      </c>
      <c r="E604" s="14" t="inlineStr">
        <is>
          <t>Dai 10 anni</t>
        </is>
      </c>
      <c r="F604" s="14" t="inlineStr">
        <is>
          <t>10+</t>
        </is>
      </c>
      <c r="G604" s="14" t="inlineStr">
        <is>
          <t>Romanzo</t>
        </is>
      </c>
      <c r="H604" s="14" t="inlineStr"/>
      <c r="I604" s="14" t="inlineStr">
        <is>
          <t>No</t>
        </is>
      </c>
      <c r="J604" s="14" t="inlineStr">
        <is>
          <t>Catalogo</t>
        </is>
      </c>
      <c r="K604" s="14" t="inlineStr">
        <is>
          <t>10+, romanzo, narrativa</t>
        </is>
      </c>
      <c r="L604" s="14" t="inlineStr">
        <is>
          <t>Catalogo Pelledoca 2025 (ISBN 9788832790252)</t>
        </is>
      </c>
      <c r="M604" s="16" t="n">
        <v>16</v>
      </c>
      <c r="N604" s="14" t="inlineStr">
        <is>
          <t>Catalogo Pelledoca 2025</t>
        </is>
      </c>
      <c r="O604" s="16">
        <f>IF(ISNUMBER(M604),ROUND(M604*(1-Condizioni!$B$2),2),"")</f>
        <v/>
      </c>
      <c r="P604" s="17" t="inlineStr">
        <is>
          <t>Sì</t>
        </is>
      </c>
    </row>
    <row r="605">
      <c r="A605" s="14" t="inlineStr">
        <is>
          <t>Pelledoca</t>
        </is>
      </c>
      <c r="B605" s="14" t="inlineStr">
        <is>
          <t>10 Indizi per Agatha</t>
        </is>
      </c>
      <c r="C605" s="14" t="inlineStr">
        <is>
          <t>Gigliola Alvisi</t>
        </is>
      </c>
      <c r="D605" s="14" t="inlineStr">
        <is>
          <t>NeroInchiostro</t>
        </is>
      </c>
      <c r="E605" s="14" t="inlineStr">
        <is>
          <t>Dagli 11 anni</t>
        </is>
      </c>
      <c r="F605" s="14" t="inlineStr">
        <is>
          <t>Scuola media (11-13)</t>
        </is>
      </c>
      <c r="G605" s="14" t="inlineStr">
        <is>
          <t>Romanzo</t>
        </is>
      </c>
      <c r="H605" s="14" t="inlineStr"/>
      <c r="I605" s="14" t="inlineStr">
        <is>
          <t>No</t>
        </is>
      </c>
      <c r="J605" s="14" t="inlineStr">
        <is>
          <t>Catalogo</t>
        </is>
      </c>
      <c r="K605" s="14" t="inlineStr">
        <is>
          <t>prima/seconda/terza media, romanzo, narrativa</t>
        </is>
      </c>
      <c r="L605" s="14" t="inlineStr">
        <is>
          <t>Catalogo Pelledoca 2025 (ISBN 9788832790276)</t>
        </is>
      </c>
      <c r="M605" s="16" t="n">
        <v>16</v>
      </c>
      <c r="N605" s="14" t="inlineStr">
        <is>
          <t>Catalogo Pelledoca 2025</t>
        </is>
      </c>
      <c r="O605" s="16">
        <f>IF(ISNUMBER(M605),ROUND(M605*(1-Condizioni!$B$2),2),"")</f>
        <v/>
      </c>
      <c r="P605" s="17" t="inlineStr">
        <is>
          <t>No</t>
        </is>
      </c>
    </row>
    <row r="606">
      <c r="A606" s="14" t="inlineStr">
        <is>
          <t>Pelledoca</t>
        </is>
      </c>
      <c r="B606" s="14" t="inlineStr">
        <is>
          <t>Alive</t>
        </is>
      </c>
      <c r="C606" s="14" t="inlineStr">
        <is>
          <t>Alessandro Pasquinucci</t>
        </is>
      </c>
      <c r="D606" s="14" t="inlineStr">
        <is>
          <t>NeroInchiostro</t>
        </is>
      </c>
      <c r="E606" s="14" t="inlineStr">
        <is>
          <t>Dai 12 anni</t>
        </is>
      </c>
      <c r="F606" s="14" t="inlineStr">
        <is>
          <t>Scuola media (11-13)</t>
        </is>
      </c>
      <c r="G606" s="14" t="inlineStr">
        <is>
          <t>Romanzo</t>
        </is>
      </c>
      <c r="H606" s="14" t="inlineStr"/>
      <c r="I606" s="14" t="inlineStr">
        <is>
          <t>No</t>
        </is>
      </c>
      <c r="J606" s="14" t="inlineStr">
        <is>
          <t>Catalogo</t>
        </is>
      </c>
      <c r="K606" s="14" t="inlineStr">
        <is>
          <t>prima/seconda/terza media, romanzo, narrativa</t>
        </is>
      </c>
      <c r="L606" s="14" t="inlineStr">
        <is>
          <t>Catalogo Pelledoca 2025 (ISBN 9788832790467)</t>
        </is>
      </c>
      <c r="M606" s="16" t="n">
        <v>16</v>
      </c>
      <c r="N606" s="14" t="inlineStr">
        <is>
          <t>Catalogo Pelledoca 2025</t>
        </is>
      </c>
      <c r="O606" s="16">
        <f>IF(ISNUMBER(M606),ROUND(M606*(1-Condizioni!$B$2),2),"")</f>
        <v/>
      </c>
      <c r="P606" s="17" t="inlineStr">
        <is>
          <t>Sì</t>
        </is>
      </c>
    </row>
    <row r="607">
      <c r="A607" s="14" t="inlineStr">
        <is>
          <t>Pelledoca</t>
        </is>
      </c>
      <c r="B607" s="14" t="inlineStr">
        <is>
          <t>Anselmo e Greta</t>
        </is>
      </c>
      <c r="C607" s="14" t="inlineStr">
        <is>
          <t>Francesco Formaggi; ill. Marino Neri</t>
        </is>
      </c>
      <c r="D607" s="14" t="inlineStr">
        <is>
          <t>OcchiAperti</t>
        </is>
      </c>
      <c r="E607" s="14" t="inlineStr">
        <is>
          <t>Dagli 11 anni</t>
        </is>
      </c>
      <c r="F607" s="14" t="inlineStr">
        <is>
          <t>Scuola media (11-13)</t>
        </is>
      </c>
      <c r="G607" s="14" t="inlineStr">
        <is>
          <t>Narrativa</t>
        </is>
      </c>
      <c r="H607" s="14" t="inlineStr"/>
      <c r="I607" s="14" t="inlineStr">
        <is>
          <t>No</t>
        </is>
      </c>
      <c r="J607" s="14" t="inlineStr">
        <is>
          <t>Catalogo</t>
        </is>
      </c>
      <c r="K607" s="14" t="inlineStr">
        <is>
          <t>prima/seconda/terza media, narrativa</t>
        </is>
      </c>
      <c r="L607" s="14" t="inlineStr">
        <is>
          <t>Catalogo Pelledoca 2025 (ISBN 9788832790290)</t>
        </is>
      </c>
      <c r="M607" s="16" t="n">
        <v>18</v>
      </c>
      <c r="N607" s="14" t="inlineStr">
        <is>
          <t>Catalogo Pelledoca 2025</t>
        </is>
      </c>
      <c r="O607" s="16">
        <f>IF(ISNUMBER(M607),ROUND(M607*(1-Condizioni!$B$2),2),"")</f>
        <v/>
      </c>
      <c r="P607" s="17" t="inlineStr">
        <is>
          <t>No</t>
        </is>
      </c>
    </row>
    <row r="608">
      <c r="A608" s="14" t="inlineStr">
        <is>
          <t>Pelledoca</t>
        </is>
      </c>
      <c r="B608" s="14" t="inlineStr">
        <is>
          <t>Ari e il Maestro di Veleni</t>
        </is>
      </c>
      <c r="C608" s="14" t="inlineStr">
        <is>
          <t>Paolo Roversi; ill. Andrea Franchini</t>
        </is>
      </c>
      <c r="D608" s="14" t="inlineStr">
        <is>
          <t>OcchiAperti</t>
        </is>
      </c>
      <c r="E608" s="14" t="inlineStr">
        <is>
          <t>Dagli 11 anni</t>
        </is>
      </c>
      <c r="F608" s="14" t="inlineStr">
        <is>
          <t>Scuola media (11-13)</t>
        </is>
      </c>
      <c r="G608" s="14" t="inlineStr">
        <is>
          <t>Narrativa</t>
        </is>
      </c>
      <c r="H608" s="14" t="inlineStr"/>
      <c r="I608" s="14" t="inlineStr">
        <is>
          <t>No</t>
        </is>
      </c>
      <c r="J608" s="14" t="inlineStr">
        <is>
          <t>Catalogo</t>
        </is>
      </c>
      <c r="K608" s="14" t="inlineStr">
        <is>
          <t>prima/seconda/terza media, narrativa</t>
        </is>
      </c>
      <c r="L608" s="14" t="inlineStr">
        <is>
          <t>Catalogo Pelledoca 2025 (ISBN 9788832790337)</t>
        </is>
      </c>
      <c r="M608" s="16" t="n">
        <v>18</v>
      </c>
      <c r="N608" s="14" t="inlineStr">
        <is>
          <t>Catalogo Pelledoca 2025</t>
        </is>
      </c>
      <c r="O608" s="16">
        <f>IF(ISNUMBER(M608),ROUND(M608*(1-Condizioni!$B$2),2),"")</f>
        <v/>
      </c>
      <c r="P608" s="17" t="inlineStr">
        <is>
          <t>No</t>
        </is>
      </c>
    </row>
    <row r="609">
      <c r="A609" s="14" t="inlineStr">
        <is>
          <t>Pelledoca</t>
        </is>
      </c>
      <c r="B609" s="14" t="inlineStr">
        <is>
          <t>Bambina d’Ombra</t>
        </is>
      </c>
      <c r="C609" s="14" t="inlineStr">
        <is>
          <t>Brian Freschi; ill. Giulia Pianiggiani</t>
        </is>
      </c>
      <c r="D609" s="14" t="inlineStr">
        <is>
          <t>OcchiAperti</t>
        </is>
      </c>
      <c r="E609" s="14" t="inlineStr">
        <is>
          <t>Dai 13 anni</t>
        </is>
      </c>
      <c r="F609" s="14" t="inlineStr">
        <is>
          <t>Scuola media (11-13)</t>
        </is>
      </c>
      <c r="G609" s="14" t="inlineStr">
        <is>
          <t>Narrativa</t>
        </is>
      </c>
      <c r="H609" s="14" t="inlineStr"/>
      <c r="I609" s="14" t="inlineStr">
        <is>
          <t>No</t>
        </is>
      </c>
      <c r="J609" s="14" t="inlineStr">
        <is>
          <t>Catalogo</t>
        </is>
      </c>
      <c r="K609" s="14" t="inlineStr">
        <is>
          <t>prima/seconda/terza media, narrativa</t>
        </is>
      </c>
      <c r="L609" s="14" t="inlineStr">
        <is>
          <t>Catalogo Pelledoca 2025 (ISBN 9788832791181)</t>
        </is>
      </c>
      <c r="M609" s="16" t="n">
        <v>18</v>
      </c>
      <c r="N609" s="14" t="inlineStr">
        <is>
          <t>Catalogo Pelledoca 2025</t>
        </is>
      </c>
      <c r="O609" s="16">
        <f>IF(ISNUMBER(M609),ROUND(M609*(1-Condizioni!$B$2),2),"")</f>
        <v/>
      </c>
      <c r="P609" s="17" t="inlineStr">
        <is>
          <t>Sì</t>
        </is>
      </c>
    </row>
    <row r="610">
      <c r="A610" s="14" t="inlineStr">
        <is>
          <t>Pelledoca</t>
        </is>
      </c>
      <c r="B610" s="14" t="inlineStr">
        <is>
          <t>Blu</t>
        </is>
      </c>
      <c r="C610" s="14" t="inlineStr">
        <is>
          <t>Beatrice Masini; ill. Virginia Mori</t>
        </is>
      </c>
      <c r="D610" s="14" t="inlineStr">
        <is>
          <t>OcchiAperti</t>
        </is>
      </c>
      <c r="E610" s="14" t="inlineStr">
        <is>
          <t>Dai 12 anni</t>
        </is>
      </c>
      <c r="F610" s="14" t="inlineStr">
        <is>
          <t>Scuola media (11-13)</t>
        </is>
      </c>
      <c r="G610" s="14" t="inlineStr">
        <is>
          <t>Narrativa</t>
        </is>
      </c>
      <c r="H610" s="14" t="inlineStr"/>
      <c r="I610" s="14" t="inlineStr">
        <is>
          <t>No</t>
        </is>
      </c>
      <c r="J610" s="14" t="inlineStr">
        <is>
          <t>Catalogo</t>
        </is>
      </c>
      <c r="K610" s="14" t="inlineStr">
        <is>
          <t>prima/seconda/terza media, narrativa</t>
        </is>
      </c>
      <c r="L610" s="14" t="inlineStr">
        <is>
          <t>Catalogo Pelledoca 2025 (ISBN 9788832790030)</t>
        </is>
      </c>
      <c r="M610" s="16" t="n">
        <v>18</v>
      </c>
      <c r="N610" s="14" t="inlineStr">
        <is>
          <t>Catalogo Pelledoca 2025</t>
        </is>
      </c>
      <c r="O610" s="16">
        <f>IF(ISNUMBER(M610),ROUND(M610*(1-Condizioni!$B$2),2),"")</f>
        <v/>
      </c>
      <c r="P610" s="17" t="inlineStr">
        <is>
          <t>No</t>
        </is>
      </c>
    </row>
    <row r="611">
      <c r="A611" s="14" t="inlineStr">
        <is>
          <t>Pelledoca</t>
        </is>
      </c>
      <c r="B611" s="14" t="inlineStr">
        <is>
          <t>Blue Tattoo</t>
        </is>
      </c>
      <c r="C611" s="14" t="inlineStr">
        <is>
          <t>Laura Orsolini</t>
        </is>
      </c>
      <c r="D611" s="14" t="inlineStr">
        <is>
          <t>NeroInchiostro</t>
        </is>
      </c>
      <c r="E611" s="14" t="inlineStr">
        <is>
          <t>Dai 13 anni</t>
        </is>
      </c>
      <c r="F611" s="14" t="inlineStr">
        <is>
          <t>Scuola media (11-13)</t>
        </is>
      </c>
      <c r="G611" s="14" t="inlineStr">
        <is>
          <t>Romanzo</t>
        </is>
      </c>
      <c r="H611" s="14" t="inlineStr"/>
      <c r="I611" s="14" t="inlineStr">
        <is>
          <t>No</t>
        </is>
      </c>
      <c r="J611" s="14" t="inlineStr">
        <is>
          <t>Catalogo</t>
        </is>
      </c>
      <c r="K611" s="14" t="inlineStr">
        <is>
          <t>prima/seconda/terza media, romanzo, narrativa</t>
        </is>
      </c>
      <c r="L611" s="14" t="inlineStr">
        <is>
          <t>Catalogo Pelledoca 2025 (ISBN 9788832791211)</t>
        </is>
      </c>
      <c r="M611" s="16" t="n">
        <v>16</v>
      </c>
      <c r="N611" s="14" t="inlineStr">
        <is>
          <t>Catalogo Pelledoca 2025</t>
        </is>
      </c>
      <c r="O611" s="16">
        <f>IF(ISNUMBER(M611),ROUND(M611*(1-Condizioni!$B$2),2),"")</f>
        <v/>
      </c>
      <c r="P611" s="17" t="inlineStr">
        <is>
          <t>No</t>
        </is>
      </c>
    </row>
    <row r="612">
      <c r="A612" s="14" t="inlineStr">
        <is>
          <t>Pelledoca</t>
        </is>
      </c>
      <c r="B612" s="14" t="inlineStr">
        <is>
          <t>Brucia la Strega</t>
        </is>
      </c>
      <c r="C612" s="14" t="inlineStr">
        <is>
          <t>Teo Benedetti</t>
        </is>
      </c>
      <c r="D612" s="14" t="inlineStr">
        <is>
          <t>NeroInchiostro</t>
        </is>
      </c>
      <c r="E612" s="14" t="inlineStr">
        <is>
          <t>Dagli 11 anni</t>
        </is>
      </c>
      <c r="F612" s="14" t="inlineStr">
        <is>
          <t>Scuola media (11-13)</t>
        </is>
      </c>
      <c r="G612" s="14" t="inlineStr">
        <is>
          <t>Romanzo</t>
        </is>
      </c>
      <c r="H612" s="14" t="inlineStr"/>
      <c r="I612" s="14" t="inlineStr">
        <is>
          <t>No</t>
        </is>
      </c>
      <c r="J612" s="14" t="inlineStr">
        <is>
          <t>Catalogo</t>
        </is>
      </c>
      <c r="K612" s="14" t="inlineStr">
        <is>
          <t>prima/seconda/terza media, romanzo, narrativa</t>
        </is>
      </c>
      <c r="L612" s="14" t="inlineStr">
        <is>
          <t>Catalogo Pelledoca 2025 (ISBN 9788832790689)</t>
        </is>
      </c>
      <c r="M612" s="16" t="n">
        <v>16</v>
      </c>
      <c r="N612" s="14" t="inlineStr">
        <is>
          <t>Catalogo Pelledoca 2025</t>
        </is>
      </c>
      <c r="O612" s="16">
        <f>IF(ISNUMBER(M612),ROUND(M612*(1-Condizioni!$B$2),2),"")</f>
        <v/>
      </c>
      <c r="P612" s="17" t="inlineStr">
        <is>
          <t>No</t>
        </is>
      </c>
    </row>
    <row r="613">
      <c r="A613" s="14" t="inlineStr">
        <is>
          <t>Pelledoca</t>
        </is>
      </c>
      <c r="B613" s="14" t="inlineStr">
        <is>
          <t>Cinque Giorni</t>
        </is>
      </c>
      <c r="C613" s="14" t="inlineStr">
        <is>
          <t>Lucia Giustini</t>
        </is>
      </c>
      <c r="D613" s="14" t="inlineStr">
        <is>
          <t>NeroInchiostro</t>
        </is>
      </c>
      <c r="E613" s="14" t="inlineStr">
        <is>
          <t>Dai 12 anni</t>
        </is>
      </c>
      <c r="F613" s="14" t="inlineStr">
        <is>
          <t>Scuola media (11-13)</t>
        </is>
      </c>
      <c r="G613" s="14" t="inlineStr">
        <is>
          <t>Romanzo</t>
        </is>
      </c>
      <c r="H613" s="14" t="inlineStr"/>
      <c r="I613" s="14" t="inlineStr">
        <is>
          <t>No</t>
        </is>
      </c>
      <c r="J613" s="14" t="inlineStr">
        <is>
          <t>Catalogo</t>
        </is>
      </c>
      <c r="K613" s="14" t="inlineStr">
        <is>
          <t>prima/seconda/terza media, romanzo, narrativa</t>
        </is>
      </c>
      <c r="L613" s="14" t="inlineStr">
        <is>
          <t>Catalogo Pelledoca 2025 (ISBN 9788832790726)</t>
        </is>
      </c>
      <c r="M613" s="16" t="n">
        <v>16</v>
      </c>
      <c r="N613" s="14" t="inlineStr">
        <is>
          <t>Catalogo Pelledoca 2025</t>
        </is>
      </c>
      <c r="O613" s="16">
        <f>IF(ISNUMBER(M613),ROUND(M613*(1-Condizioni!$B$2),2),"")</f>
        <v/>
      </c>
      <c r="P613" s="17" t="inlineStr">
        <is>
          <t>No</t>
        </is>
      </c>
    </row>
    <row r="614">
      <c r="A614" s="14" t="inlineStr">
        <is>
          <t>Pelledoca</t>
        </is>
      </c>
      <c r="B614" s="14" t="inlineStr">
        <is>
          <t>Comanda, Comanda, Comanda</t>
        </is>
      </c>
      <c r="C614" s="14" t="inlineStr">
        <is>
          <t>Teo Benedetti</t>
        </is>
      </c>
      <c r="D614" s="14" t="inlineStr">
        <is>
          <t>NeroInchiostro</t>
        </is>
      </c>
      <c r="E614" s="14" t="inlineStr">
        <is>
          <t>Dagli 11 anni</t>
        </is>
      </c>
      <c r="F614" s="14" t="inlineStr">
        <is>
          <t>Scuola media (11-13)</t>
        </is>
      </c>
      <c r="G614" s="14" t="inlineStr">
        <is>
          <t>Romanzo</t>
        </is>
      </c>
      <c r="H614" s="14" t="inlineStr"/>
      <c r="I614" s="14" t="inlineStr">
        <is>
          <t>No</t>
        </is>
      </c>
      <c r="J614" s="14" t="inlineStr">
        <is>
          <t>Catalogo</t>
        </is>
      </c>
      <c r="K614" s="14" t="inlineStr">
        <is>
          <t>prima/seconda/terza media, romanzo, narrativa</t>
        </is>
      </c>
      <c r="L614" s="14" t="inlineStr">
        <is>
          <t>Catalogo Pelledoca 2025 (ISBN 9788832791204)</t>
        </is>
      </c>
      <c r="M614" s="16" t="n">
        <v>16</v>
      </c>
      <c r="N614" s="14" t="inlineStr">
        <is>
          <t>Catalogo Pelledoca 2025</t>
        </is>
      </c>
      <c r="O614" s="16">
        <f>IF(ISNUMBER(M614),ROUND(M614*(1-Condizioni!$B$2),2),"")</f>
        <v/>
      </c>
      <c r="P614" s="17" t="inlineStr">
        <is>
          <t>No</t>
        </is>
      </c>
    </row>
    <row r="615">
      <c r="A615" s="14" t="inlineStr">
        <is>
          <t>Pelledoca</t>
        </is>
      </c>
      <c r="B615" s="14" t="inlineStr">
        <is>
          <t>Complici del Vento</t>
        </is>
      </c>
      <c r="C615" s="14" t="inlineStr">
        <is>
          <t>Otto Gabos; ill. Otto Gabos</t>
        </is>
      </c>
      <c r="D615" s="14" t="inlineStr">
        <is>
          <t>OcchiAperti</t>
        </is>
      </c>
      <c r="E615" s="14" t="inlineStr">
        <is>
          <t>Dagli 11 anni</t>
        </is>
      </c>
      <c r="F615" s="14" t="inlineStr">
        <is>
          <t>Scuola media (11-13)</t>
        </is>
      </c>
      <c r="G615" s="14" t="inlineStr">
        <is>
          <t>Narrativa</t>
        </is>
      </c>
      <c r="H615" s="14" t="inlineStr"/>
      <c r="I615" s="14" t="inlineStr">
        <is>
          <t>No</t>
        </is>
      </c>
      <c r="J615" s="14" t="inlineStr">
        <is>
          <t>Catalogo</t>
        </is>
      </c>
      <c r="K615" s="14" t="inlineStr">
        <is>
          <t>prima/seconda/terza media, narrativa</t>
        </is>
      </c>
      <c r="L615" s="14" t="inlineStr">
        <is>
          <t>Catalogo Pelledoca 2025 (ISBN 9788832790108)</t>
        </is>
      </c>
      <c r="M615" s="16" t="n">
        <v>18</v>
      </c>
      <c r="N615" s="14" t="inlineStr">
        <is>
          <t>Catalogo Pelledoca 2025</t>
        </is>
      </c>
      <c r="O615" s="16">
        <f>IF(ISNUMBER(M615),ROUND(M615*(1-Condizioni!$B$2),2),"")</f>
        <v/>
      </c>
      <c r="P615" s="17" t="inlineStr">
        <is>
          <t>No</t>
        </is>
      </c>
    </row>
    <row r="616">
      <c r="A616" s="14" t="inlineStr">
        <is>
          <t>Pelledoca</t>
        </is>
      </c>
      <c r="B616" s="14" t="inlineStr">
        <is>
          <t>Cuore d’Animale</t>
        </is>
      </c>
      <c r="C616" s="14" t="inlineStr">
        <is>
          <t>Davide Sarti</t>
        </is>
      </c>
      <c r="D616" s="14" t="inlineStr">
        <is>
          <t>NeroInchiostro</t>
        </is>
      </c>
      <c r="E616" s="14" t="inlineStr">
        <is>
          <t>Dagli 11 anni</t>
        </is>
      </c>
      <c r="F616" s="14" t="inlineStr">
        <is>
          <t>Scuola media (11-13)</t>
        </is>
      </c>
      <c r="G616" s="14" t="inlineStr">
        <is>
          <t>Romanzo</t>
        </is>
      </c>
      <c r="H616" s="14" t="inlineStr"/>
      <c r="I616" s="14" t="inlineStr">
        <is>
          <t>No</t>
        </is>
      </c>
      <c r="J616" s="14" t="inlineStr">
        <is>
          <t>Catalogo</t>
        </is>
      </c>
      <c r="K616" s="14" t="inlineStr">
        <is>
          <t>prima/seconda/terza media, romanzo, narrativa</t>
        </is>
      </c>
      <c r="L616" s="14" t="inlineStr">
        <is>
          <t>Catalogo Pelledoca 2025 (ISBN 9788832790658)</t>
        </is>
      </c>
      <c r="M616" s="16" t="n">
        <v>16</v>
      </c>
      <c r="N616" s="14" t="inlineStr">
        <is>
          <t>Catalogo Pelledoca 2025</t>
        </is>
      </c>
      <c r="O616" s="16">
        <f>IF(ISNUMBER(M616),ROUND(M616*(1-Condizioni!$B$2),2),"")</f>
        <v/>
      </c>
      <c r="P616" s="17" t="inlineStr">
        <is>
          <t>No</t>
        </is>
      </c>
    </row>
    <row r="617">
      <c r="A617" s="14" t="inlineStr">
        <is>
          <t>Pelledoca</t>
        </is>
      </c>
      <c r="B617" s="14" t="inlineStr">
        <is>
          <t>Dark Web</t>
        </is>
      </c>
      <c r="C617" s="14" t="inlineStr">
        <is>
          <t>Sara Magnoli</t>
        </is>
      </c>
      <c r="D617" s="14" t="inlineStr">
        <is>
          <t>NeroInchiostro</t>
        </is>
      </c>
      <c r="E617" s="14" t="inlineStr">
        <is>
          <t>Dai 12 anni</t>
        </is>
      </c>
      <c r="F617" s="14" t="inlineStr">
        <is>
          <t>Scuola media (11-13)</t>
        </is>
      </c>
      <c r="G617" s="14" t="inlineStr">
        <is>
          <t>Romanzo</t>
        </is>
      </c>
      <c r="H617" s="14" t="inlineStr">
        <is>
          <t>Social network e influencer</t>
        </is>
      </c>
      <c r="I617" s="14" t="inlineStr">
        <is>
          <t>No</t>
        </is>
      </c>
      <c r="J617" s="14" t="inlineStr">
        <is>
          <t>Catalogo</t>
        </is>
      </c>
      <c r="K617" s="14" t="inlineStr">
        <is>
          <t>prima/seconda/terza media, romanzo, narrativa</t>
        </is>
      </c>
      <c r="L617" s="14" t="inlineStr">
        <is>
          <t>Catalogo Pelledoca 2025 (ISBN 9788832790207)</t>
        </is>
      </c>
      <c r="M617" s="16" t="n">
        <v>16</v>
      </c>
      <c r="N617" s="14" t="inlineStr">
        <is>
          <t>Catalogo Pelledoca 2025</t>
        </is>
      </c>
      <c r="O617" s="16">
        <f>IF(ISNUMBER(M617),ROUND(M617*(1-Condizioni!$B$2),2),"")</f>
        <v/>
      </c>
      <c r="P617" s="17" t="inlineStr">
        <is>
          <t>Sì</t>
        </is>
      </c>
    </row>
    <row r="618">
      <c r="A618" s="14" t="inlineStr">
        <is>
          <t>Pelledoca</t>
        </is>
      </c>
      <c r="B618" s="14" t="inlineStr">
        <is>
          <t>Doppia Indagine per Morte Sospetta</t>
        </is>
      </c>
      <c r="C618" s="14" t="inlineStr">
        <is>
          <t>David Moitet</t>
        </is>
      </c>
      <c r="D618" s="14" t="inlineStr">
        <is>
          <t>NeroInchiostro</t>
        </is>
      </c>
      <c r="E618" s="14" t="inlineStr">
        <is>
          <t>Dagli 11 anni</t>
        </is>
      </c>
      <c r="F618" s="14" t="inlineStr">
        <is>
          <t>Scuola media (11-13)</t>
        </is>
      </c>
      <c r="G618" s="14" t="inlineStr">
        <is>
          <t>Romanzo</t>
        </is>
      </c>
      <c r="H618" s="14" t="inlineStr"/>
      <c r="I618" s="14" t="inlineStr">
        <is>
          <t>No</t>
        </is>
      </c>
      <c r="J618" s="14" t="inlineStr">
        <is>
          <t>Catalogo</t>
        </is>
      </c>
      <c r="K618" s="14" t="inlineStr">
        <is>
          <t>prima/seconda/terza media, romanzo, narrativa</t>
        </is>
      </c>
      <c r="L618" s="14" t="inlineStr">
        <is>
          <t>Catalogo Pelledoca 2025 (ISBN 9788832791129)</t>
        </is>
      </c>
      <c r="M618" s="16" t="n">
        <v>16</v>
      </c>
      <c r="N618" s="14" t="inlineStr">
        <is>
          <t>Catalogo Pelledoca 2025</t>
        </is>
      </c>
      <c r="O618" s="16">
        <f>IF(ISNUMBER(M618),ROUND(M618*(1-Condizioni!$B$2),2),"")</f>
        <v/>
      </c>
      <c r="P618" s="17" t="inlineStr">
        <is>
          <t>No</t>
        </is>
      </c>
    </row>
    <row r="619">
      <c r="A619" s="14" t="inlineStr">
        <is>
          <t>Pelledoca</t>
        </is>
      </c>
      <c r="B619" s="14" t="inlineStr">
        <is>
          <t>Dove Abitano i Mostri</t>
        </is>
      </c>
      <c r="C619" s="14" t="inlineStr">
        <is>
          <t>Benedetta Bonfiglioli</t>
        </is>
      </c>
      <c r="D619" s="14" t="inlineStr">
        <is>
          <t>NeroInchiostro</t>
        </is>
      </c>
      <c r="E619" s="14" t="inlineStr">
        <is>
          <t>Dai 13 anni</t>
        </is>
      </c>
      <c r="F619" s="14" t="inlineStr">
        <is>
          <t>Scuola media (11-13)</t>
        </is>
      </c>
      <c r="G619" s="14" t="inlineStr">
        <is>
          <t>Romanzo</t>
        </is>
      </c>
      <c r="H619" s="14" t="inlineStr"/>
      <c r="I619" s="14" t="inlineStr">
        <is>
          <t>No</t>
        </is>
      </c>
      <c r="J619" s="14" t="inlineStr">
        <is>
          <t>Catalogo</t>
        </is>
      </c>
      <c r="K619" s="14" t="inlineStr">
        <is>
          <t>prima/seconda/terza media, romanzo, narrativa</t>
        </is>
      </c>
      <c r="L619" s="14" t="inlineStr">
        <is>
          <t>Catalogo Pelledoca 2025 (ISBN 9788832790764)</t>
        </is>
      </c>
      <c r="M619" s="16" t="n">
        <v>16</v>
      </c>
      <c r="N619" s="14" t="inlineStr">
        <is>
          <t>Catalogo Pelledoca 2025</t>
        </is>
      </c>
      <c r="O619" s="16">
        <f>IF(ISNUMBER(M619),ROUND(M619*(1-Condizioni!$B$2),2),"")</f>
        <v/>
      </c>
      <c r="P619" s="17" t="inlineStr">
        <is>
          <t>No</t>
        </is>
      </c>
    </row>
    <row r="620">
      <c r="A620" s="14" t="inlineStr">
        <is>
          <t>Pelledoca</t>
        </is>
      </c>
      <c r="B620" s="14" t="inlineStr">
        <is>
          <t>Fino a Vedere il Mare</t>
        </is>
      </c>
      <c r="C620" s="14" t="inlineStr">
        <is>
          <t>Milvia</t>
        </is>
      </c>
      <c r="D620" s="14" t="inlineStr">
        <is>
          <t>NeroInchiostro</t>
        </is>
      </c>
      <c r="E620" s="14" t="inlineStr">
        <is>
          <t>Dai 12 anni</t>
        </is>
      </c>
      <c r="F620" s="14" t="inlineStr">
        <is>
          <t>Scuola media (11-13)</t>
        </is>
      </c>
      <c r="G620" s="14" t="inlineStr">
        <is>
          <t>Romanzo</t>
        </is>
      </c>
      <c r="H620" s="14" t="inlineStr"/>
      <c r="I620" s="14" t="inlineStr">
        <is>
          <t>No</t>
        </is>
      </c>
      <c r="J620" s="14" t="inlineStr">
        <is>
          <t>Catalogo</t>
        </is>
      </c>
      <c r="K620" s="14" t="inlineStr">
        <is>
          <t>prima/seconda/terza media, romanzo, narrativa</t>
        </is>
      </c>
      <c r="L620" s="14" t="inlineStr">
        <is>
          <t>Catalogo Pelledoca 2025 (ISBN 9788832790481)</t>
        </is>
      </c>
      <c r="M620" s="16" t="n">
        <v>16</v>
      </c>
      <c r="N620" s="14" t="inlineStr">
        <is>
          <t>Catalogo Pelledoca 2025</t>
        </is>
      </c>
      <c r="O620" s="16">
        <f>IF(ISNUMBER(M620),ROUND(M620*(1-Condizioni!$B$2),2),"")</f>
        <v/>
      </c>
      <c r="P620" s="17" t="inlineStr">
        <is>
          <t>No</t>
        </is>
      </c>
    </row>
    <row r="621">
      <c r="A621" s="14" t="inlineStr">
        <is>
          <t>Pelledoca</t>
        </is>
      </c>
      <c r="B621" s="14" t="inlineStr">
        <is>
          <t>Fiori Mortali</t>
        </is>
      </c>
      <c r="C621" s="14" t="inlineStr">
        <is>
          <t>Cristina Brambilla; ill. Francesco</t>
        </is>
      </c>
      <c r="D621" s="14" t="inlineStr">
        <is>
          <t>OcchiAperti</t>
        </is>
      </c>
      <c r="E621" s="14" t="inlineStr">
        <is>
          <t>Dagli 11 anni</t>
        </is>
      </c>
      <c r="F621" s="14" t="inlineStr">
        <is>
          <t>Scuola media (11-13)</t>
        </is>
      </c>
      <c r="G621" s="14" t="inlineStr">
        <is>
          <t>Narrativa</t>
        </is>
      </c>
      <c r="H621" s="14" t="inlineStr"/>
      <c r="I621" s="14" t="inlineStr">
        <is>
          <t>No</t>
        </is>
      </c>
      <c r="J621" s="14" t="inlineStr">
        <is>
          <t>Catalogo</t>
        </is>
      </c>
      <c r="K621" s="14" t="inlineStr">
        <is>
          <t>prima/seconda/terza media, narrativa</t>
        </is>
      </c>
      <c r="L621" s="14" t="inlineStr">
        <is>
          <t>Catalogo Pelledoca 2025 (ISBN 9788832790627)</t>
        </is>
      </c>
      <c r="M621" s="16" t="n">
        <v>18</v>
      </c>
      <c r="N621" s="14" t="inlineStr">
        <is>
          <t>Catalogo Pelledoca 2025</t>
        </is>
      </c>
      <c r="O621" s="16">
        <f>IF(ISNUMBER(M621),ROUND(M621*(1-Condizioni!$B$2),2),"")</f>
        <v/>
      </c>
      <c r="P621" s="17" t="inlineStr">
        <is>
          <t>No</t>
        </is>
      </c>
    </row>
    <row r="622">
      <c r="A622" s="14" t="inlineStr">
        <is>
          <t>Pelledoca</t>
        </is>
      </c>
      <c r="B622" s="14" t="inlineStr">
        <is>
          <t>Frammenti di Oscurità</t>
        </is>
      </c>
      <c r="C622" s="14" t="inlineStr">
        <is>
          <t>Stefano Cornago</t>
        </is>
      </c>
      <c r="D622" s="14" t="inlineStr">
        <is>
          <t>NeroInchiostro</t>
        </is>
      </c>
      <c r="E622" s="14" t="inlineStr">
        <is>
          <t>Dai 12 anni</t>
        </is>
      </c>
      <c r="F622" s="14" t="inlineStr">
        <is>
          <t>Scuola media (11-13)</t>
        </is>
      </c>
      <c r="G622" s="14" t="inlineStr">
        <is>
          <t>Romanzo</t>
        </is>
      </c>
      <c r="H622" s="14" t="inlineStr"/>
      <c r="I622" s="14" t="inlineStr">
        <is>
          <t>No</t>
        </is>
      </c>
      <c r="J622" s="14" t="inlineStr">
        <is>
          <t>Catalogo</t>
        </is>
      </c>
      <c r="K622" s="14" t="inlineStr">
        <is>
          <t>prima/seconda/terza media, romanzo, narrativa</t>
        </is>
      </c>
      <c r="L622" s="14" t="inlineStr">
        <is>
          <t>Catalogo Pelledoca 2025 (ISBN 9788832790900)</t>
        </is>
      </c>
      <c r="M622" s="16" t="n">
        <v>16</v>
      </c>
      <c r="N622" s="14" t="inlineStr">
        <is>
          <t>Catalogo Pelledoca 2025</t>
        </is>
      </c>
      <c r="O622" s="16">
        <f>IF(ISNUMBER(M622),ROUND(M622*(1-Condizioni!$B$2),2),"")</f>
        <v/>
      </c>
      <c r="P622" s="17" t="inlineStr">
        <is>
          <t>No</t>
        </is>
      </c>
    </row>
    <row r="623">
      <c r="A623" s="14" t="inlineStr">
        <is>
          <t>Pelledoca</t>
        </is>
      </c>
      <c r="B623" s="14" t="inlineStr">
        <is>
          <t>Fuori Dal Branco</t>
        </is>
      </c>
      <c r="C623" s="14" t="inlineStr">
        <is>
          <t>Sara Magnoli</t>
        </is>
      </c>
      <c r="D623" s="14" t="inlineStr">
        <is>
          <t>NeroInchiostro</t>
        </is>
      </c>
      <c r="E623" s="14" t="inlineStr">
        <is>
          <t>Dai 12 anni</t>
        </is>
      </c>
      <c r="F623" s="14" t="inlineStr">
        <is>
          <t>Scuola media (11-13)</t>
        </is>
      </c>
      <c r="G623" s="14" t="inlineStr">
        <is>
          <t>Romanzo</t>
        </is>
      </c>
      <c r="H623" s="14" t="inlineStr">
        <is>
          <t>Baby gang e pressione del gruppo</t>
        </is>
      </c>
      <c r="I623" s="14" t="inlineStr">
        <is>
          <t>No</t>
        </is>
      </c>
      <c r="J623" s="14" t="inlineStr">
        <is>
          <t>Catalogo</t>
        </is>
      </c>
      <c r="K623" s="14" t="inlineStr">
        <is>
          <t>prima/seconda/terza media, romanzo, narrativa</t>
        </is>
      </c>
      <c r="L623" s="14" t="inlineStr">
        <is>
          <t>Catalogo Pelledoca 2025 (ISBN 9788832790450)</t>
        </is>
      </c>
      <c r="M623" s="16" t="n">
        <v>16</v>
      </c>
      <c r="N623" s="14" t="inlineStr">
        <is>
          <t>Catalogo Pelledoca 2025</t>
        </is>
      </c>
      <c r="O623" s="16">
        <f>IF(ISNUMBER(M623),ROUND(M623*(1-Condizioni!$B$2),2),"")</f>
        <v/>
      </c>
      <c r="P623" s="17" t="inlineStr">
        <is>
          <t>Sì</t>
        </is>
      </c>
    </row>
    <row r="624">
      <c r="A624" s="14" t="inlineStr">
        <is>
          <t>Pelledoca</t>
        </is>
      </c>
      <c r="B624" s="14" t="inlineStr">
        <is>
          <t>I Bambini di Baltimore House</t>
        </is>
      </c>
      <c r="C624" s="14" t="inlineStr">
        <is>
          <t>Davide Calì; ill. Riccardo Renzi</t>
        </is>
      </c>
      <c r="D624" s="14" t="inlineStr">
        <is>
          <t>OcchiAperti</t>
        </is>
      </c>
      <c r="E624" s="14" t="inlineStr">
        <is>
          <t>Dai 12 anni</t>
        </is>
      </c>
      <c r="F624" s="14" t="inlineStr">
        <is>
          <t>Scuola media (11-13)</t>
        </is>
      </c>
      <c r="G624" s="14" t="inlineStr">
        <is>
          <t>Narrativa</t>
        </is>
      </c>
      <c r="H624" s="14" t="inlineStr"/>
      <c r="I624" s="14" t="inlineStr">
        <is>
          <t>No</t>
        </is>
      </c>
      <c r="J624" s="14" t="inlineStr">
        <is>
          <t>Catalogo</t>
        </is>
      </c>
      <c r="K624" s="14" t="inlineStr">
        <is>
          <t>prima/seconda/terza media, narrativa</t>
        </is>
      </c>
      <c r="L624" s="14" t="inlineStr">
        <is>
          <t>Catalogo Pelledoca 2025 (ISBN 9788832790313)</t>
        </is>
      </c>
      <c r="M624" s="16" t="n">
        <v>18</v>
      </c>
      <c r="N624" s="14" t="inlineStr">
        <is>
          <t>Catalogo Pelledoca 2025</t>
        </is>
      </c>
      <c r="O624" s="16">
        <f>IF(ISNUMBER(M624),ROUND(M624*(1-Condizioni!$B$2),2),"")</f>
        <v/>
      </c>
      <c r="P624" s="17" t="inlineStr">
        <is>
          <t>No</t>
        </is>
      </c>
    </row>
    <row r="625">
      <c r="A625" s="14" t="inlineStr">
        <is>
          <t>Pelledoca</t>
        </is>
      </c>
      <c r="B625" s="14" t="inlineStr">
        <is>
          <t>I Delitti delle Malebolge</t>
        </is>
      </c>
      <c r="C625" s="14" t="inlineStr">
        <is>
          <t>Antonino Fiore</t>
        </is>
      </c>
      <c r="D625" s="14" t="inlineStr">
        <is>
          <t>NeroInchiostro</t>
        </is>
      </c>
      <c r="E625" s="14" t="inlineStr">
        <is>
          <t>Dai 12 anni</t>
        </is>
      </c>
      <c r="F625" s="14" t="inlineStr">
        <is>
          <t>Scuola media (11-13)</t>
        </is>
      </c>
      <c r="G625" s="14" t="inlineStr">
        <is>
          <t>Romanzo</t>
        </is>
      </c>
      <c r="H625" s="14" t="inlineStr"/>
      <c r="I625" s="14" t="inlineStr">
        <is>
          <t>No</t>
        </is>
      </c>
      <c r="J625" s="14" t="inlineStr">
        <is>
          <t>Catalogo</t>
        </is>
      </c>
      <c r="K625" s="14" t="inlineStr">
        <is>
          <t>prima/seconda/terza media, romanzo, narrativa</t>
        </is>
      </c>
      <c r="L625" s="14" t="inlineStr">
        <is>
          <t>Catalogo Pelledoca 2025 (ISBN 9788832791310)</t>
        </is>
      </c>
      <c r="M625" s="16" t="n">
        <v>16</v>
      </c>
      <c r="N625" s="14" t="inlineStr">
        <is>
          <t>Catalogo Pelledoca 2025</t>
        </is>
      </c>
      <c r="O625" s="16">
        <f>IF(ISNUMBER(M625),ROUND(M625*(1-Condizioni!$B$2),2),"")</f>
        <v/>
      </c>
      <c r="P625" s="17" t="inlineStr">
        <is>
          <t>No</t>
        </is>
      </c>
    </row>
    <row r="626">
      <c r="A626" s="14" t="inlineStr">
        <is>
          <t>Pelledoca</t>
        </is>
      </c>
      <c r="B626" s="14" t="inlineStr">
        <is>
          <t>I Misteri del Circo Trepidini</t>
        </is>
      </c>
      <c r="C626" s="14" t="inlineStr">
        <is>
          <t>Chiara Lorenzoni; ill. Laura Re</t>
        </is>
      </c>
      <c r="D626" s="14" t="inlineStr">
        <is>
          <t>OcchiAperti</t>
        </is>
      </c>
      <c r="E626" s="14" t="inlineStr">
        <is>
          <t>Dagli 11 anni</t>
        </is>
      </c>
      <c r="F626" s="14" t="inlineStr">
        <is>
          <t>Scuola media (11-13)</t>
        </is>
      </c>
      <c r="G626" s="14" t="inlineStr">
        <is>
          <t>Narrativa</t>
        </is>
      </c>
      <c r="H626" s="14" t="inlineStr"/>
      <c r="I626" s="14" t="inlineStr">
        <is>
          <t>No</t>
        </is>
      </c>
      <c r="J626" s="14" t="inlineStr">
        <is>
          <t>Catalogo</t>
        </is>
      </c>
      <c r="K626" s="14" t="inlineStr">
        <is>
          <t>prima/seconda/terza media, narrativa</t>
        </is>
      </c>
      <c r="L626" s="14" t="inlineStr">
        <is>
          <t>Catalogo Pelledoca 2025 (ISBN 9788832790092)</t>
        </is>
      </c>
      <c r="M626" s="16" t="n">
        <v>18</v>
      </c>
      <c r="N626" s="14" t="inlineStr">
        <is>
          <t>Catalogo Pelledoca 2025</t>
        </is>
      </c>
      <c r="O626" s="16">
        <f>IF(ISNUMBER(M626),ROUND(M626*(1-Condizioni!$B$2),2),"")</f>
        <v/>
      </c>
      <c r="P626" s="17" t="inlineStr">
        <is>
          <t>No</t>
        </is>
      </c>
    </row>
    <row r="627">
      <c r="A627" s="14" t="inlineStr">
        <is>
          <t>Pelledoca</t>
        </is>
      </c>
      <c r="B627" s="14" t="inlineStr">
        <is>
          <t>I Misteri del Lago Nero</t>
        </is>
      </c>
      <c r="C627" s="14" t="inlineStr">
        <is>
          <t>Luca Occhi</t>
        </is>
      </c>
      <c r="D627" s="14" t="inlineStr">
        <is>
          <t>NeroInchiostro</t>
        </is>
      </c>
      <c r="E627" s="14" t="inlineStr">
        <is>
          <t>Dagli 11 anni</t>
        </is>
      </c>
      <c r="F627" s="14" t="inlineStr">
        <is>
          <t>Scuola media (11-13)</t>
        </is>
      </c>
      <c r="G627" s="14" t="inlineStr">
        <is>
          <t>Romanzo</t>
        </is>
      </c>
      <c r="H627" s="14" t="inlineStr"/>
      <c r="I627" s="14" t="inlineStr">
        <is>
          <t>No</t>
        </is>
      </c>
      <c r="J627" s="14" t="inlineStr">
        <is>
          <t>Catalogo</t>
        </is>
      </c>
      <c r="K627" s="14" t="inlineStr">
        <is>
          <t>prima/seconda/terza media, romanzo, narrativa</t>
        </is>
      </c>
      <c r="L627" s="14" t="inlineStr">
        <is>
          <t>Catalogo Pelledoca 2025 (ISBN 9788832790320)</t>
        </is>
      </c>
      <c r="M627" s="16" t="n">
        <v>16</v>
      </c>
      <c r="N627" s="14" t="inlineStr">
        <is>
          <t>Catalogo Pelledoca 2025</t>
        </is>
      </c>
      <c r="O627" s="16">
        <f>IF(ISNUMBER(M627),ROUND(M627*(1-Condizioni!$B$2),2),"")</f>
        <v/>
      </c>
      <c r="P627" s="17" t="inlineStr">
        <is>
          <t>No</t>
        </is>
      </c>
    </row>
    <row r="628">
      <c r="A628" s="14" t="inlineStr">
        <is>
          <t>Pelledoca</t>
        </is>
      </c>
      <c r="B628" s="14" t="inlineStr">
        <is>
          <t>I Ragazzi della Fossa</t>
        </is>
      </c>
      <c r="C628" s="14" t="inlineStr">
        <is>
          <t>Cristina Brambilla</t>
        </is>
      </c>
      <c r="D628" s="14" t="inlineStr">
        <is>
          <t>NeroInchiostro</t>
        </is>
      </c>
      <c r="E628" s="14" t="inlineStr">
        <is>
          <t>Dagli 11 anni</t>
        </is>
      </c>
      <c r="F628" s="14" t="inlineStr">
        <is>
          <t>Scuola media (11-13)</t>
        </is>
      </c>
      <c r="G628" s="14" t="inlineStr">
        <is>
          <t>Romanzo</t>
        </is>
      </c>
      <c r="H628" s="14" t="inlineStr"/>
      <c r="I628" s="14" t="inlineStr">
        <is>
          <t>No</t>
        </is>
      </c>
      <c r="J628" s="14" t="inlineStr">
        <is>
          <t>Catalogo</t>
        </is>
      </c>
      <c r="K628" s="14" t="inlineStr">
        <is>
          <t>prima/seconda/terza media, romanzo, narrativa</t>
        </is>
      </c>
      <c r="L628" s="14" t="inlineStr">
        <is>
          <t>Catalogo Pelledoca 2025 (ISBN 9788832790894)</t>
        </is>
      </c>
      <c r="M628" s="16" t="n">
        <v>16</v>
      </c>
      <c r="N628" s="14" t="inlineStr">
        <is>
          <t>Catalogo Pelledoca 2025</t>
        </is>
      </c>
      <c r="O628" s="16">
        <f>IF(ISNUMBER(M628),ROUND(M628*(1-Condizioni!$B$2),2),"")</f>
        <v/>
      </c>
      <c r="P628" s="17" t="inlineStr">
        <is>
          <t>No</t>
        </is>
      </c>
    </row>
    <row r="629">
      <c r="A629" s="14" t="inlineStr">
        <is>
          <t>Pelledoca</t>
        </is>
      </c>
      <c r="B629" s="14" t="inlineStr">
        <is>
          <t>Il Caso Elisa P.</t>
        </is>
      </c>
      <c r="C629" s="14" t="inlineStr">
        <is>
          <t>Chiara Cacco</t>
        </is>
      </c>
      <c r="D629" s="14" t="inlineStr">
        <is>
          <t>NeroInchiostro</t>
        </is>
      </c>
      <c r="E629" s="14" t="inlineStr">
        <is>
          <t>Dai 12 anni</t>
        </is>
      </c>
      <c r="F629" s="14" t="inlineStr">
        <is>
          <t>Scuola media (11-13)</t>
        </is>
      </c>
      <c r="G629" s="14" t="inlineStr">
        <is>
          <t>Romanzo</t>
        </is>
      </c>
      <c r="H629" s="14" t="inlineStr">
        <is>
          <t>Bullismo ed emarginazione</t>
        </is>
      </c>
      <c r="I629" s="14" t="inlineStr">
        <is>
          <t>No</t>
        </is>
      </c>
      <c r="J629" s="14" t="inlineStr">
        <is>
          <t>Catalogo</t>
        </is>
      </c>
      <c r="K629" s="14" t="inlineStr">
        <is>
          <t>prima/seconda/terza media, romanzo, narrativa, bullismo</t>
        </is>
      </c>
      <c r="L629" s="14" t="inlineStr">
        <is>
          <t>Catalogo Pelledoca 2025 (ISBN 9788832790863)</t>
        </is>
      </c>
      <c r="M629" s="16" t="n">
        <v>16</v>
      </c>
      <c r="N629" s="14" t="inlineStr">
        <is>
          <t>Catalogo Pelledoca 2025</t>
        </is>
      </c>
      <c r="O629" s="16">
        <f>IF(ISNUMBER(M629),ROUND(M629*(1-Condizioni!$B$2),2),"")</f>
        <v/>
      </c>
      <c r="P629" s="17" t="inlineStr">
        <is>
          <t>Sì</t>
        </is>
      </c>
    </row>
    <row r="630">
      <c r="A630" s="14" t="inlineStr">
        <is>
          <t>Pelledoca</t>
        </is>
      </c>
      <c r="B630" s="14" t="inlineStr">
        <is>
          <t>Il Cuore in Guerra</t>
        </is>
      </c>
      <c r="C630" s="14" t="inlineStr">
        <is>
          <t>Sara Magnoli; ill. Riccardo Ambrosi</t>
        </is>
      </c>
      <c r="D630" s="14" t="inlineStr">
        <is>
          <t>OcchiAperti</t>
        </is>
      </c>
      <c r="E630" s="14" t="inlineStr">
        <is>
          <t>Dai 12 anni</t>
        </is>
      </c>
      <c r="F630" s="14" t="inlineStr">
        <is>
          <t>Scuola media (11-13)</t>
        </is>
      </c>
      <c r="G630" s="14" t="inlineStr">
        <is>
          <t>Narrativa</t>
        </is>
      </c>
      <c r="H630" s="14" t="inlineStr"/>
      <c r="I630" s="14" t="inlineStr">
        <is>
          <t>No</t>
        </is>
      </c>
      <c r="J630" s="14" t="inlineStr">
        <is>
          <t>Catalogo</t>
        </is>
      </c>
      <c r="K630" s="14" t="inlineStr">
        <is>
          <t>prima/seconda/terza media, narrativa</t>
        </is>
      </c>
      <c r="L630" s="14" t="inlineStr">
        <is>
          <t>Catalogo Pelledoca 2025 (ISBN 9788832790818)</t>
        </is>
      </c>
      <c r="M630" s="16" t="n">
        <v>18</v>
      </c>
      <c r="N630" s="14" t="inlineStr">
        <is>
          <t>Catalogo Pelledoca 2025</t>
        </is>
      </c>
      <c r="O630" s="16">
        <f>IF(ISNUMBER(M630),ROUND(M630*(1-Condizioni!$B$2),2),"")</f>
        <v/>
      </c>
      <c r="P630" s="17" t="inlineStr">
        <is>
          <t>No</t>
        </is>
      </c>
    </row>
    <row r="631">
      <c r="A631" s="14" t="inlineStr">
        <is>
          <t>Pelledoca</t>
        </is>
      </c>
      <c r="B631" s="14" t="inlineStr">
        <is>
          <t>Il Gemello Maledetto</t>
        </is>
      </c>
      <c r="C631" s="14" t="inlineStr">
        <is>
          <t>Fulvia Degl'Innocenti</t>
        </is>
      </c>
      <c r="D631" s="14" t="inlineStr">
        <is>
          <t>NeroInchiostro</t>
        </is>
      </c>
      <c r="E631" s="14" t="inlineStr">
        <is>
          <t>Dagli 11 anni</t>
        </is>
      </c>
      <c r="F631" s="14" t="inlineStr">
        <is>
          <t>Scuola media (11-13)</t>
        </is>
      </c>
      <c r="G631" s="14" t="inlineStr">
        <is>
          <t>Romanzo</t>
        </is>
      </c>
      <c r="H631" s="14" t="inlineStr">
        <is>
          <t>Affido</t>
        </is>
      </c>
      <c r="I631" s="14" t="inlineStr">
        <is>
          <t>No</t>
        </is>
      </c>
      <c r="J631" s="14" t="inlineStr">
        <is>
          <t>Catalogo</t>
        </is>
      </c>
      <c r="K631" s="14" t="inlineStr">
        <is>
          <t>prima/seconda/terza media, romanzo, narrativa</t>
        </is>
      </c>
      <c r="L631" s="14" t="inlineStr">
        <is>
          <t>Catalogo Pelledoca 2025 (ISBN 9788832790535)</t>
        </is>
      </c>
      <c r="M631" s="16" t="n">
        <v>16</v>
      </c>
      <c r="N631" s="14" t="inlineStr">
        <is>
          <t>Catalogo Pelledoca 2025</t>
        </is>
      </c>
      <c r="O631" s="16">
        <f>IF(ISNUMBER(M631),ROUND(M631*(1-Condizioni!$B$2),2),"")</f>
        <v/>
      </c>
      <c r="P631" s="17" t="inlineStr">
        <is>
          <t>No</t>
        </is>
      </c>
    </row>
    <row r="632">
      <c r="A632" s="14" t="inlineStr">
        <is>
          <t>Pelledoca</t>
        </is>
      </c>
      <c r="B632" s="14" t="inlineStr">
        <is>
          <t>Il Gioco della Paura</t>
        </is>
      </c>
      <c r="C632" s="14" t="inlineStr">
        <is>
          <t>Maren Stoffels; trad. Anna Becchi</t>
        </is>
      </c>
      <c r="D632" s="14" t="inlineStr">
        <is>
          <t>NeroInchiostro</t>
        </is>
      </c>
      <c r="E632" s="14" t="inlineStr">
        <is>
          <t>Dai 13 anni</t>
        </is>
      </c>
      <c r="F632" s="14" t="inlineStr">
        <is>
          <t>Scuola media (11-13)</t>
        </is>
      </c>
      <c r="G632" s="14" t="inlineStr">
        <is>
          <t>Romanzo</t>
        </is>
      </c>
      <c r="H632" s="14" t="inlineStr"/>
      <c r="I632" s="14" t="inlineStr">
        <is>
          <t>No</t>
        </is>
      </c>
      <c r="J632" s="14" t="inlineStr">
        <is>
          <t>Catalogo</t>
        </is>
      </c>
      <c r="K632" s="14" t="inlineStr">
        <is>
          <t>prima/seconda/terza media, romanzo, narrativa</t>
        </is>
      </c>
      <c r="L632" s="14" t="inlineStr">
        <is>
          <t>Catalogo Pelledoca 2025 (ISBN 9788832790177)</t>
        </is>
      </c>
      <c r="M632" s="16" t="n">
        <v>16</v>
      </c>
      <c r="N632" s="14" t="inlineStr">
        <is>
          <t>Catalogo Pelledoca 2025</t>
        </is>
      </c>
      <c r="O632" s="16">
        <f>IF(ISNUMBER(M632),ROUND(M632*(1-Condizioni!$B$2),2),"")</f>
        <v/>
      </c>
      <c r="P632" s="17" t="inlineStr">
        <is>
          <t>No</t>
        </is>
      </c>
    </row>
    <row r="633">
      <c r="A633" s="14" t="inlineStr">
        <is>
          <t>Pelledoca</t>
        </is>
      </c>
      <c r="B633" s="14" t="inlineStr">
        <is>
          <t>Il Libro dei Morti</t>
        </is>
      </c>
      <c r="C633" s="14" t="inlineStr">
        <is>
          <t>Annalisa Strada</t>
        </is>
      </c>
      <c r="D633" s="14" t="inlineStr">
        <is>
          <t>NeroInchiostro</t>
        </is>
      </c>
      <c r="E633" s="14" t="inlineStr">
        <is>
          <t>Dai 12 anni</t>
        </is>
      </c>
      <c r="F633" s="14" t="inlineStr">
        <is>
          <t>Scuola media (11-13)</t>
        </is>
      </c>
      <c r="G633" s="14" t="inlineStr">
        <is>
          <t>Romanzo</t>
        </is>
      </c>
      <c r="H633" s="14" t="inlineStr"/>
      <c r="I633" s="14" t="inlineStr">
        <is>
          <t>No</t>
        </is>
      </c>
      <c r="J633" s="14" t="inlineStr">
        <is>
          <t>Catalogo</t>
        </is>
      </c>
      <c r="K633" s="14" t="inlineStr">
        <is>
          <t>prima/seconda/terza media, romanzo, narrativa</t>
        </is>
      </c>
      <c r="L633" s="14" t="inlineStr">
        <is>
          <t>Catalogo Pelledoca 2025 (ISBN 9788832790382)</t>
        </is>
      </c>
      <c r="M633" s="16" t="n">
        <v>16</v>
      </c>
      <c r="N633" s="14" t="inlineStr">
        <is>
          <t>Catalogo Pelledoca 2025</t>
        </is>
      </c>
      <c r="O633" s="16">
        <f>IF(ISNUMBER(M633),ROUND(M633*(1-Condizioni!$B$2),2),"")</f>
        <v/>
      </c>
      <c r="P633" s="17" t="inlineStr">
        <is>
          <t>No</t>
        </is>
      </c>
    </row>
    <row r="634">
      <c r="A634" s="14" t="inlineStr">
        <is>
          <t>Pelledoca</t>
        </is>
      </c>
      <c r="B634" s="14" t="inlineStr">
        <is>
          <t>Il Mistero delle Stelle Scomparse</t>
        </is>
      </c>
      <c r="C634" s="14" t="inlineStr">
        <is>
          <t>Luca Occhi</t>
        </is>
      </c>
      <c r="D634" s="14" t="inlineStr">
        <is>
          <t>NeroInchiostro</t>
        </is>
      </c>
      <c r="E634" s="14" t="inlineStr">
        <is>
          <t>Dagli 11 anni</t>
        </is>
      </c>
      <c r="F634" s="14" t="inlineStr">
        <is>
          <t>Scuola media (11-13)</t>
        </is>
      </c>
      <c r="G634" s="14" t="inlineStr">
        <is>
          <t>Romanzo</t>
        </is>
      </c>
      <c r="H634" s="14" t="inlineStr"/>
      <c r="I634" s="14" t="inlineStr">
        <is>
          <t>No</t>
        </is>
      </c>
      <c r="J634" s="14" t="inlineStr">
        <is>
          <t>Catalogo</t>
        </is>
      </c>
      <c r="K634" s="14" t="inlineStr">
        <is>
          <t>prima/seconda/terza media, romanzo, narrativa</t>
        </is>
      </c>
      <c r="L634" s="14" t="inlineStr">
        <is>
          <t>Catalogo Pelledoca 2025 (ISBN 9788832791228)</t>
        </is>
      </c>
      <c r="M634" s="16" t="n">
        <v>16</v>
      </c>
      <c r="N634" s="14" t="inlineStr">
        <is>
          <t>Catalogo Pelledoca 2025</t>
        </is>
      </c>
      <c r="O634" s="16">
        <f>IF(ISNUMBER(M634),ROUND(M634*(1-Condizioni!$B$2),2),"")</f>
        <v/>
      </c>
      <c r="P634" s="17" t="inlineStr">
        <is>
          <t>No</t>
        </is>
      </c>
    </row>
    <row r="635">
      <c r="A635" s="14" t="inlineStr">
        <is>
          <t>Pelledoca</t>
        </is>
      </c>
      <c r="B635" s="14" t="inlineStr">
        <is>
          <t>Il Racconto di Dracula</t>
        </is>
      </c>
      <c r="C635" s="14" t="inlineStr">
        <is>
          <t>Serenella Quarello; ill. Fabiana Bocchi</t>
        </is>
      </c>
      <c r="D635" s="14" t="inlineStr">
        <is>
          <t>OcchiAperti</t>
        </is>
      </c>
      <c r="E635" s="14" t="inlineStr">
        <is>
          <t>Dai 12 anni</t>
        </is>
      </c>
      <c r="F635" s="14" t="inlineStr">
        <is>
          <t>Scuola media (11-13)</t>
        </is>
      </c>
      <c r="G635" s="14" t="inlineStr">
        <is>
          <t>Narrativa</t>
        </is>
      </c>
      <c r="H635" s="14" t="inlineStr"/>
      <c r="I635" s="14" t="inlineStr">
        <is>
          <t>No</t>
        </is>
      </c>
      <c r="J635" s="14" t="inlineStr">
        <is>
          <t>Catalogo</t>
        </is>
      </c>
      <c r="K635" s="14" t="inlineStr">
        <is>
          <t>prima/seconda/terza media, narrativa</t>
        </is>
      </c>
      <c r="L635" s="14" t="inlineStr">
        <is>
          <t>Catalogo Pelledoca 2025 (ISBN 9788832790269)</t>
        </is>
      </c>
      <c r="M635" s="16" t="n">
        <v>18</v>
      </c>
      <c r="N635" s="14" t="inlineStr">
        <is>
          <t>Catalogo Pelledoca 2025</t>
        </is>
      </c>
      <c r="O635" s="16">
        <f>IF(ISNUMBER(M635),ROUND(M635*(1-Condizioni!$B$2),2),"")</f>
        <v/>
      </c>
      <c r="P635" s="17" t="inlineStr">
        <is>
          <t>No</t>
        </is>
      </c>
    </row>
    <row r="636">
      <c r="A636" s="14" t="inlineStr">
        <is>
          <t>Pelledoca</t>
        </is>
      </c>
      <c r="B636" s="14" t="inlineStr">
        <is>
          <t>In Fondo al Buio</t>
        </is>
      </c>
      <c r="C636" s="14" t="inlineStr">
        <is>
          <t>Raffaella Romagnolo</t>
        </is>
      </c>
      <c r="D636" s="14" t="inlineStr">
        <is>
          <t>NeroInchiostro</t>
        </is>
      </c>
      <c r="E636" s="14" t="inlineStr">
        <is>
          <t>Dagli 11 anni</t>
        </is>
      </c>
      <c r="F636" s="14" t="inlineStr">
        <is>
          <t>Scuola media (11-13)</t>
        </is>
      </c>
      <c r="G636" s="14" t="inlineStr">
        <is>
          <t>Romanzo</t>
        </is>
      </c>
      <c r="H636" s="14" t="inlineStr">
        <is>
          <t>Memoria della Shoah</t>
        </is>
      </c>
      <c r="I636" s="14" t="inlineStr">
        <is>
          <t>No</t>
        </is>
      </c>
      <c r="J636" s="14" t="inlineStr">
        <is>
          <t>Catalogo</t>
        </is>
      </c>
      <c r="K636" s="14" t="inlineStr">
        <is>
          <t>prima/seconda/terza media, romanzo, narrativa</t>
        </is>
      </c>
      <c r="L636" s="14" t="inlineStr">
        <is>
          <t>Catalogo Pelledoca 2025 (ISBN 9788832791112)</t>
        </is>
      </c>
      <c r="M636" s="16" t="n">
        <v>16</v>
      </c>
      <c r="N636" s="14" t="inlineStr">
        <is>
          <t>Catalogo Pelledoca 2025</t>
        </is>
      </c>
      <c r="O636" s="16">
        <f>IF(ISNUMBER(M636),ROUND(M636*(1-Condizioni!$B$2),2),"")</f>
        <v/>
      </c>
      <c r="P636" s="17" t="inlineStr">
        <is>
          <t>No</t>
        </is>
      </c>
    </row>
    <row r="637">
      <c r="A637" s="14" t="inlineStr">
        <is>
          <t>Pelledoca</t>
        </is>
      </c>
      <c r="B637" s="14" t="inlineStr">
        <is>
          <t>Indizi per Posta</t>
        </is>
      </c>
      <c r="C637" s="14" t="inlineStr">
        <is>
          <t>Mariapaola Pesce</t>
        </is>
      </c>
      <c r="D637" s="14" t="inlineStr">
        <is>
          <t>NeroInchiostro</t>
        </is>
      </c>
      <c r="E637" s="14" t="inlineStr">
        <is>
          <t>Dagli 11 anni</t>
        </is>
      </c>
      <c r="F637" s="14" t="inlineStr">
        <is>
          <t>Scuola media (11-13)</t>
        </is>
      </c>
      <c r="G637" s="14" t="inlineStr">
        <is>
          <t>Romanzo</t>
        </is>
      </c>
      <c r="H637" s="14" t="inlineStr"/>
      <c r="I637" s="14" t="inlineStr">
        <is>
          <t>No</t>
        </is>
      </c>
      <c r="J637" s="14" t="inlineStr">
        <is>
          <t>Catalogo</t>
        </is>
      </c>
      <c r="K637" s="14" t="inlineStr">
        <is>
          <t>prima/seconda/terza media, romanzo, narrativa</t>
        </is>
      </c>
      <c r="L637" s="14" t="inlineStr">
        <is>
          <t>Catalogo Pelledoca 2025 (ISBN 9788832791242)</t>
        </is>
      </c>
      <c r="M637" s="16" t="n">
        <v>16</v>
      </c>
      <c r="N637" s="14" t="inlineStr">
        <is>
          <t>Catalogo Pelledoca 2025</t>
        </is>
      </c>
      <c r="O637" s="16">
        <f>IF(ISNUMBER(M637),ROUND(M637*(1-Condizioni!$B$2),2),"")</f>
        <v/>
      </c>
      <c r="P637" s="17" t="inlineStr">
        <is>
          <t>No</t>
        </is>
      </c>
    </row>
    <row r="638">
      <c r="A638" s="14" t="inlineStr">
        <is>
          <t>Pelledoca</t>
        </is>
      </c>
      <c r="B638" s="14" t="inlineStr">
        <is>
          <t>Jackpot</t>
        </is>
      </c>
      <c r="C638" s="14" t="inlineStr">
        <is>
          <t>Stephan Knösel</t>
        </is>
      </c>
      <c r="D638" s="14" t="inlineStr">
        <is>
          <t>NeroInchiostro</t>
        </is>
      </c>
      <c r="E638" s="14" t="inlineStr">
        <is>
          <t>Dagli 11 anni</t>
        </is>
      </c>
      <c r="F638" s="14" t="inlineStr">
        <is>
          <t>Scuola media (11-13)</t>
        </is>
      </c>
      <c r="G638" s="14" t="inlineStr">
        <is>
          <t>Romanzo</t>
        </is>
      </c>
      <c r="H638" s="14" t="inlineStr"/>
      <c r="I638" s="14" t="inlineStr">
        <is>
          <t>No</t>
        </is>
      </c>
      <c r="J638" s="14" t="inlineStr">
        <is>
          <t>Catalogo</t>
        </is>
      </c>
      <c r="K638" s="14" t="inlineStr">
        <is>
          <t>prima/seconda/terza media, romanzo, narrativa</t>
        </is>
      </c>
      <c r="L638" s="14" t="inlineStr">
        <is>
          <t>Catalogo Pelledoca 2025 (ISBN 9788832790115)</t>
        </is>
      </c>
      <c r="M638" s="16" t="n">
        <v>15</v>
      </c>
      <c r="N638" s="14" t="inlineStr">
        <is>
          <t>Catalogo Pelledoca 2025</t>
        </is>
      </c>
      <c r="O638" s="16">
        <f>IF(ISNUMBER(M638),ROUND(M638*(1-Condizioni!$B$2),2),"")</f>
        <v/>
      </c>
      <c r="P638" s="17" t="inlineStr">
        <is>
          <t>No</t>
        </is>
      </c>
    </row>
    <row r="639">
      <c r="A639" s="14" t="inlineStr">
        <is>
          <t>Pelledoca</t>
        </is>
      </c>
      <c r="B639" s="14" t="inlineStr">
        <is>
          <t>La Barabuia</t>
        </is>
      </c>
      <c r="C639" s="14" t="inlineStr">
        <is>
          <t>Gabriele Nanni</t>
        </is>
      </c>
      <c r="D639" s="14" t="inlineStr">
        <is>
          <t>NeroInchiostro</t>
        </is>
      </c>
      <c r="E639" s="14" t="inlineStr">
        <is>
          <t>Dai 12 anni</t>
        </is>
      </c>
      <c r="F639" s="14" t="inlineStr">
        <is>
          <t>Scuola media (11-13)</t>
        </is>
      </c>
      <c r="G639" s="14" t="inlineStr">
        <is>
          <t>Romanzo</t>
        </is>
      </c>
      <c r="H639" s="14" t="inlineStr"/>
      <c r="I639" s="14" t="inlineStr">
        <is>
          <t>No</t>
        </is>
      </c>
      <c r="J639" s="14" t="inlineStr">
        <is>
          <t>Catalogo</t>
        </is>
      </c>
      <c r="K639" s="14" t="inlineStr">
        <is>
          <t>prima/seconda/terza media, romanzo, narrativa</t>
        </is>
      </c>
      <c r="L639" s="14" t="inlineStr">
        <is>
          <t>Catalogo Pelledoca 2025 (ISBN 9788832791013)</t>
        </is>
      </c>
      <c r="M639" s="16" t="n">
        <v>16</v>
      </c>
      <c r="N639" s="14" t="inlineStr">
        <is>
          <t>Catalogo Pelledoca 2025</t>
        </is>
      </c>
      <c r="O639" s="16">
        <f>IF(ISNUMBER(M639),ROUND(M639*(1-Condizioni!$B$2),2),"")</f>
        <v/>
      </c>
      <c r="P639" s="17" t="inlineStr">
        <is>
          <t>Sì</t>
        </is>
      </c>
    </row>
    <row r="640">
      <c r="A640" s="14" t="inlineStr">
        <is>
          <t>Pelledoca</t>
        </is>
      </c>
      <c r="B640" s="14" t="inlineStr">
        <is>
          <t>La Bestia di Waltanna</t>
        </is>
      </c>
      <c r="C640" s="14" t="inlineStr">
        <is>
          <t>Nicola Cinquetti</t>
        </is>
      </c>
      <c r="D640" s="14" t="inlineStr">
        <is>
          <t>NeroInchiostro</t>
        </is>
      </c>
      <c r="E640" s="14" t="inlineStr">
        <is>
          <t>Dagli 11 anni</t>
        </is>
      </c>
      <c r="F640" s="14" t="inlineStr">
        <is>
          <t>Scuola media (11-13)</t>
        </is>
      </c>
      <c r="G640" s="14" t="inlineStr">
        <is>
          <t>Romanzo</t>
        </is>
      </c>
      <c r="H640" s="14" t="inlineStr"/>
      <c r="I640" s="14" t="inlineStr">
        <is>
          <t>No</t>
        </is>
      </c>
      <c r="J640" s="14" t="inlineStr">
        <is>
          <t>Catalogo</t>
        </is>
      </c>
      <c r="K640" s="14" t="inlineStr">
        <is>
          <t>prima/seconda/terza media, romanzo, narrativa</t>
        </is>
      </c>
      <c r="L640" s="14" t="inlineStr">
        <is>
          <t>Catalogo Pelledoca 2025 (ISBN 9788832791372)</t>
        </is>
      </c>
      <c r="M640" s="16" t="n">
        <v>16</v>
      </c>
      <c r="N640" s="14" t="inlineStr">
        <is>
          <t>Catalogo Pelledoca 2025</t>
        </is>
      </c>
      <c r="O640" s="16">
        <f>IF(ISNUMBER(M640),ROUND(M640*(1-Condizioni!$B$2),2),"")</f>
        <v/>
      </c>
      <c r="P640" s="17" t="inlineStr">
        <is>
          <t>No</t>
        </is>
      </c>
    </row>
    <row r="641">
      <c r="A641" s="14" t="inlineStr">
        <is>
          <t>Pelledoca</t>
        </is>
      </c>
      <c r="B641" s="14" t="inlineStr">
        <is>
          <t>La Canzone che Uccide</t>
        </is>
      </c>
      <c r="C641" s="14" t="inlineStr">
        <is>
          <t>Gianluca Barbera</t>
        </is>
      </c>
      <c r="D641" s="14" t="inlineStr">
        <is>
          <t>NeroInchiostro</t>
        </is>
      </c>
      <c r="E641" s="14" t="inlineStr">
        <is>
          <t>Dai 13 anni</t>
        </is>
      </c>
      <c r="F641" s="14" t="inlineStr">
        <is>
          <t>Scuola media (11-13)</t>
        </is>
      </c>
      <c r="G641" s="14" t="inlineStr">
        <is>
          <t>Romanzo</t>
        </is>
      </c>
      <c r="H641" s="14" t="inlineStr"/>
      <c r="I641" s="14" t="inlineStr">
        <is>
          <t>No</t>
        </is>
      </c>
      <c r="J641" s="14" t="inlineStr">
        <is>
          <t>Catalogo</t>
        </is>
      </c>
      <c r="K641" s="14" t="inlineStr">
        <is>
          <t>prima/seconda/terza media, romanzo, narrativa</t>
        </is>
      </c>
      <c r="L641" s="14" t="inlineStr">
        <is>
          <t>Catalogo Pelledoca 2025 (ISBN 9788832791020)</t>
        </is>
      </c>
      <c r="M641" s="16" t="n">
        <v>16</v>
      </c>
      <c r="N641" s="14" t="inlineStr">
        <is>
          <t>Catalogo Pelledoca 2025</t>
        </is>
      </c>
      <c r="O641" s="16">
        <f>IF(ISNUMBER(M641),ROUND(M641*(1-Condizioni!$B$2),2),"")</f>
        <v/>
      </c>
      <c r="P641" s="17" t="inlineStr">
        <is>
          <t>No</t>
        </is>
      </c>
    </row>
    <row r="642">
      <c r="A642" s="14" t="inlineStr">
        <is>
          <t>Pelledoca</t>
        </is>
      </c>
      <c r="B642" s="14" t="inlineStr">
        <is>
          <t>La Fuga di Pat</t>
        </is>
      </c>
      <c r="C642" s="14" t="inlineStr">
        <is>
          <t>Roberto Piumini</t>
        </is>
      </c>
      <c r="D642" s="14" t="inlineStr">
        <is>
          <t>NeroInchiostro</t>
        </is>
      </c>
      <c r="E642" s="14" t="inlineStr">
        <is>
          <t>Dagli 11 anni</t>
        </is>
      </c>
      <c r="F642" s="14" t="inlineStr">
        <is>
          <t>Scuola media (11-13)</t>
        </is>
      </c>
      <c r="G642" s="14" t="inlineStr">
        <is>
          <t>Romanzo</t>
        </is>
      </c>
      <c r="H642" s="14" t="inlineStr"/>
      <c r="I642" s="14" t="inlineStr">
        <is>
          <t>No</t>
        </is>
      </c>
      <c r="J642" s="14" t="inlineStr">
        <is>
          <t>Catalogo</t>
        </is>
      </c>
      <c r="K642" s="14" t="inlineStr">
        <is>
          <t>prima/seconda/terza media, romanzo, narrativa</t>
        </is>
      </c>
      <c r="L642" s="14" t="inlineStr">
        <is>
          <t>Catalogo Pelledoca 2025 (ISBN 9788832790696)</t>
        </is>
      </c>
      <c r="M642" s="16" t="n">
        <v>16</v>
      </c>
      <c r="N642" s="14" t="inlineStr">
        <is>
          <t>Catalogo Pelledoca 2025</t>
        </is>
      </c>
      <c r="O642" s="16">
        <f>IF(ISNUMBER(M642),ROUND(M642*(1-Condizioni!$B$2),2),"")</f>
        <v/>
      </c>
      <c r="P642" s="17" t="inlineStr">
        <is>
          <t>Sì</t>
        </is>
      </c>
    </row>
    <row r="643">
      <c r="A643" s="14" t="inlineStr">
        <is>
          <t>Pelledoca</t>
        </is>
      </c>
      <c r="B643" s="14" t="inlineStr">
        <is>
          <t>La Macchina Tigre</t>
        </is>
      </c>
      <c r="C643" s="14" t="inlineStr">
        <is>
          <t>Laura Pariani e Nicola Fantini</t>
        </is>
      </c>
      <c r="D643" s="14" t="inlineStr">
        <is>
          <t>NeroInchiostro</t>
        </is>
      </c>
      <c r="E643" s="14" t="inlineStr">
        <is>
          <t>Dagli 11 anni</t>
        </is>
      </c>
      <c r="F643" s="14" t="inlineStr">
        <is>
          <t>Scuola media (11-13)</t>
        </is>
      </c>
      <c r="G643" s="14" t="inlineStr">
        <is>
          <t>Romanzo</t>
        </is>
      </c>
      <c r="H643" s="14" t="inlineStr"/>
      <c r="I643" s="14" t="inlineStr">
        <is>
          <t>No</t>
        </is>
      </c>
      <c r="J643" s="14" t="inlineStr">
        <is>
          <t>Catalogo</t>
        </is>
      </c>
      <c r="K643" s="14" t="inlineStr">
        <is>
          <t>prima/seconda/terza media, romanzo, narrativa</t>
        </is>
      </c>
      <c r="L643" s="14" t="inlineStr">
        <is>
          <t>Catalogo Pelledoca 2025 (ISBN 9788832790078)</t>
        </is>
      </c>
      <c r="M643" s="16" t="n">
        <v>16</v>
      </c>
      <c r="N643" s="14" t="inlineStr">
        <is>
          <t>Catalogo Pelledoca 2025</t>
        </is>
      </c>
      <c r="O643" s="16">
        <f>IF(ISNUMBER(M643),ROUND(M643*(1-Condizioni!$B$2),2),"")</f>
        <v/>
      </c>
      <c r="P643" s="17" t="inlineStr">
        <is>
          <t>No</t>
        </is>
      </c>
    </row>
    <row r="644">
      <c r="A644" s="14" t="inlineStr">
        <is>
          <t>Pelledoca</t>
        </is>
      </c>
      <c r="B644" s="14" t="inlineStr">
        <is>
          <t>La Principessa Senza Pelle</t>
        </is>
      </c>
      <c r="C644" s="14" t="inlineStr">
        <is>
          <t>Lorenzo Piccolo; ill. Silvia Pertile</t>
        </is>
      </c>
      <c r="D644" s="14" t="inlineStr">
        <is>
          <t>OcchiAperti</t>
        </is>
      </c>
      <c r="E644" s="14" t="inlineStr">
        <is>
          <t>Dagli 11 anni</t>
        </is>
      </c>
      <c r="F644" s="14" t="inlineStr">
        <is>
          <t>Scuola media (11-13)</t>
        </is>
      </c>
      <c r="G644" s="14" t="inlineStr">
        <is>
          <t>Narrativa</t>
        </is>
      </c>
      <c r="H644" s="14" t="inlineStr"/>
      <c r="I644" s="14" t="inlineStr">
        <is>
          <t>No</t>
        </is>
      </c>
      <c r="J644" s="14" t="inlineStr">
        <is>
          <t>Catalogo</t>
        </is>
      </c>
      <c r="K644" s="14" t="inlineStr">
        <is>
          <t>prima/seconda/terza media, narrativa</t>
        </is>
      </c>
      <c r="L644" s="14" t="inlineStr">
        <is>
          <t>Catalogo Pelledoca 2025 (ISBN 9788832790825)</t>
        </is>
      </c>
      <c r="M644" s="16" t="n">
        <v>18</v>
      </c>
      <c r="N644" s="14" t="inlineStr">
        <is>
          <t>Catalogo Pelledoca 2025</t>
        </is>
      </c>
      <c r="O644" s="16">
        <f>IF(ISNUMBER(M644),ROUND(M644*(1-Condizioni!$B$2),2),"")</f>
        <v/>
      </c>
      <c r="P644" s="17" t="inlineStr">
        <is>
          <t>No</t>
        </is>
      </c>
    </row>
    <row r="645">
      <c r="A645" s="14" t="inlineStr">
        <is>
          <t>Pelledoca</t>
        </is>
      </c>
      <c r="B645" s="14" t="inlineStr">
        <is>
          <t>La Prova</t>
        </is>
      </c>
      <c r="C645" s="14" t="inlineStr">
        <is>
          <t>Luisa Mattia</t>
        </is>
      </c>
      <c r="D645" s="14" t="inlineStr">
        <is>
          <t>NeroInchiostro</t>
        </is>
      </c>
      <c r="E645" s="14" t="inlineStr">
        <is>
          <t>Dai 12 anni</t>
        </is>
      </c>
      <c r="F645" s="14" t="inlineStr">
        <is>
          <t>Scuola media (11-13)</t>
        </is>
      </c>
      <c r="G645" s="14" t="inlineStr">
        <is>
          <t>Romanzo</t>
        </is>
      </c>
      <c r="H645" s="14" t="inlineStr"/>
      <c r="I645" s="14" t="inlineStr">
        <is>
          <t>No</t>
        </is>
      </c>
      <c r="J645" s="14" t="inlineStr">
        <is>
          <t>Catalogo</t>
        </is>
      </c>
      <c r="K645" s="14" t="inlineStr">
        <is>
          <t>prima/seconda/terza media, romanzo, narrativa</t>
        </is>
      </c>
      <c r="L645" s="14" t="inlineStr">
        <is>
          <t>Catalogo Pelledoca 2025 (ISBN 9788832790597)</t>
        </is>
      </c>
      <c r="M645" s="16" t="n">
        <v>16</v>
      </c>
      <c r="N645" s="14" t="inlineStr">
        <is>
          <t>Catalogo Pelledoca 2025</t>
        </is>
      </c>
      <c r="O645" s="16">
        <f>IF(ISNUMBER(M645),ROUND(M645*(1-Condizioni!$B$2),2),"")</f>
        <v/>
      </c>
      <c r="P645" s="17" t="inlineStr">
        <is>
          <t>No</t>
        </is>
      </c>
    </row>
    <row r="646">
      <c r="A646" s="14" t="inlineStr">
        <is>
          <t>Pelledoca</t>
        </is>
      </c>
      <c r="B646" s="14" t="inlineStr">
        <is>
          <t>La Regina delle Api</t>
        </is>
      </c>
      <c r="C646" s="14" t="inlineStr">
        <is>
          <t>Beatrice Sesino</t>
        </is>
      </c>
      <c r="D646" s="14" t="inlineStr">
        <is>
          <t>NeroInchiostro</t>
        </is>
      </c>
      <c r="E646" s="14" t="inlineStr">
        <is>
          <t>Dagli 11 anni</t>
        </is>
      </c>
      <c r="F646" s="14" t="inlineStr">
        <is>
          <t>Scuola media (11-13)</t>
        </is>
      </c>
      <c r="G646" s="14" t="inlineStr">
        <is>
          <t>Romanzo</t>
        </is>
      </c>
      <c r="H646" s="14" t="inlineStr"/>
      <c r="I646" s="14" t="inlineStr">
        <is>
          <t>No</t>
        </is>
      </c>
      <c r="J646" s="14" t="inlineStr">
        <is>
          <t>Catalogo</t>
        </is>
      </c>
      <c r="K646" s="14" t="inlineStr">
        <is>
          <t>prima/seconda/terza media, romanzo, narrativa</t>
        </is>
      </c>
      <c r="L646" s="14" t="inlineStr">
        <is>
          <t>Catalogo Pelledoca 2025 (ISBN 9788832791419)</t>
        </is>
      </c>
      <c r="M646" s="16" t="n">
        <v>16</v>
      </c>
      <c r="N646" s="14" t="inlineStr">
        <is>
          <t>Catalogo Pelledoca 2025</t>
        </is>
      </c>
      <c r="O646" s="16">
        <f>IF(ISNUMBER(M646),ROUND(M646*(1-Condizioni!$B$2),2),"")</f>
        <v/>
      </c>
      <c r="P646" s="17" t="inlineStr">
        <is>
          <t>No</t>
        </is>
      </c>
    </row>
    <row r="647">
      <c r="A647" s="14" t="inlineStr">
        <is>
          <t>Pelledoca</t>
        </is>
      </c>
      <c r="B647" s="14" t="inlineStr">
        <is>
          <t>La Spada non Mi Ha Salvata</t>
        </is>
      </c>
      <c r="C647" s="14" t="inlineStr">
        <is>
          <t>Matteo Corradini</t>
        </is>
      </c>
      <c r="D647" s="14" t="inlineStr">
        <is>
          <t>NeroInchiostro</t>
        </is>
      </c>
      <c r="E647" s="14" t="inlineStr">
        <is>
          <t>Dai 12 anni</t>
        </is>
      </c>
      <c r="F647" s="14" t="inlineStr">
        <is>
          <t>Scuola media (11-13)</t>
        </is>
      </c>
      <c r="G647" s="14" t="inlineStr">
        <is>
          <t>Romanzo</t>
        </is>
      </c>
      <c r="H647" s="14" t="inlineStr">
        <is>
          <t>Memoria (Helene Mayer)</t>
        </is>
      </c>
      <c r="I647" s="14" t="inlineStr">
        <is>
          <t>No</t>
        </is>
      </c>
      <c r="J647" s="14" t="inlineStr">
        <is>
          <t>Catalogo</t>
        </is>
      </c>
      <c r="K647" s="14" t="inlineStr">
        <is>
          <t>prima/seconda/terza media, romanzo, narrativa</t>
        </is>
      </c>
      <c r="L647" s="14" t="inlineStr">
        <is>
          <t>Catalogo Pelledoca 2025 (ISBN 9788832791198)</t>
        </is>
      </c>
      <c r="M647" s="16" t="n">
        <v>16</v>
      </c>
      <c r="N647" s="14" t="inlineStr">
        <is>
          <t>Catalogo Pelledoca 2025</t>
        </is>
      </c>
      <c r="O647" s="16">
        <f>IF(ISNUMBER(M647),ROUND(M647*(1-Condizioni!$B$2),2),"")</f>
        <v/>
      </c>
      <c r="P647" s="17" t="inlineStr">
        <is>
          <t>No</t>
        </is>
      </c>
    </row>
    <row r="648">
      <c r="A648" s="14" t="inlineStr">
        <is>
          <t>Pelledoca</t>
        </is>
      </c>
      <c r="B648" s="14" t="inlineStr">
        <is>
          <t>La Trappola del Tempo</t>
        </is>
      </c>
      <c r="C648" s="14" t="inlineStr">
        <is>
          <t>Valeria Corciolani</t>
        </is>
      </c>
      <c r="D648" s="14" t="inlineStr">
        <is>
          <t>NeroInchiostro</t>
        </is>
      </c>
      <c r="E648" s="14" t="inlineStr">
        <is>
          <t>Dai 12 anni</t>
        </is>
      </c>
      <c r="F648" s="14" t="inlineStr">
        <is>
          <t>Scuola media (11-13)</t>
        </is>
      </c>
      <c r="G648" s="14" t="inlineStr">
        <is>
          <t>Romanzo</t>
        </is>
      </c>
      <c r="H648" s="14" t="inlineStr"/>
      <c r="I648" s="14" t="inlineStr">
        <is>
          <t>No</t>
        </is>
      </c>
      <c r="J648" s="14" t="inlineStr">
        <is>
          <t>Catalogo</t>
        </is>
      </c>
      <c r="K648" s="14" t="inlineStr">
        <is>
          <t>prima/seconda/terza media, romanzo, narrativa</t>
        </is>
      </c>
      <c r="L648" s="14" t="inlineStr">
        <is>
          <t>Catalogo Pelledoca 2025 (ISBN 9788832791426)</t>
        </is>
      </c>
      <c r="M648" s="16" t="n">
        <v>16</v>
      </c>
      <c r="N648" s="14" t="inlineStr">
        <is>
          <t>Catalogo Pelledoca 2025</t>
        </is>
      </c>
      <c r="O648" s="16">
        <f>IF(ISNUMBER(M648),ROUND(M648*(1-Condizioni!$B$2),2),"")</f>
        <v/>
      </c>
      <c r="P648" s="17" t="inlineStr">
        <is>
          <t>No</t>
        </is>
      </c>
    </row>
    <row r="649">
      <c r="A649" s="14" t="inlineStr">
        <is>
          <t>Pelledoca</t>
        </is>
      </c>
      <c r="B649" s="14" t="inlineStr">
        <is>
          <t>La Vendetta del Bosco</t>
        </is>
      </c>
      <c r="C649" s="14" t="inlineStr">
        <is>
          <t>Teo Benedetti</t>
        </is>
      </c>
      <c r="D649" s="14" t="inlineStr">
        <is>
          <t>NeroInchiostro</t>
        </is>
      </c>
      <c r="E649" s="14" t="inlineStr">
        <is>
          <t>Dagli 11 anni</t>
        </is>
      </c>
      <c r="F649" s="14" t="inlineStr">
        <is>
          <t>Scuola media (11-13)</t>
        </is>
      </c>
      <c r="G649" s="14" t="inlineStr">
        <is>
          <t>Romanzo</t>
        </is>
      </c>
      <c r="H649" s="14" t="inlineStr"/>
      <c r="I649" s="14" t="inlineStr">
        <is>
          <t>No</t>
        </is>
      </c>
      <c r="J649" s="14" t="inlineStr">
        <is>
          <t>Catalogo</t>
        </is>
      </c>
      <c r="K649" s="14" t="inlineStr">
        <is>
          <t>prima/seconda/terza media, romanzo, narrativa</t>
        </is>
      </c>
      <c r="L649" s="14" t="inlineStr">
        <is>
          <t>Catalogo Pelledoca 2025 (ISBN 9788832790399)</t>
        </is>
      </c>
      <c r="M649" s="16" t="n">
        <v>16</v>
      </c>
      <c r="N649" s="14" t="inlineStr">
        <is>
          <t>Catalogo Pelledoca 2025</t>
        </is>
      </c>
      <c r="O649" s="16">
        <f>IF(ISNUMBER(M649),ROUND(M649*(1-Condizioni!$B$2),2),"")</f>
        <v/>
      </c>
      <c r="P649" s="17" t="inlineStr">
        <is>
          <t>No</t>
        </is>
      </c>
    </row>
    <row r="650">
      <c r="A650" s="14" t="inlineStr">
        <is>
          <t>Pelledoca</t>
        </is>
      </c>
      <c r="B650" s="14" t="inlineStr">
        <is>
          <t>Le Avventure del Giovane Lovecraft</t>
        </is>
      </c>
      <c r="C650" s="14" t="inlineStr">
        <is>
          <t>Miriam Palombi; ill. Andrea Oberosler</t>
        </is>
      </c>
      <c r="D650" s="14" t="inlineStr">
        <is>
          <t>OcchiAperti</t>
        </is>
      </c>
      <c r="E650" s="14" t="inlineStr">
        <is>
          <t>Dagli 11 anni</t>
        </is>
      </c>
      <c r="F650" s="14" t="inlineStr">
        <is>
          <t>Scuola media (11-13)</t>
        </is>
      </c>
      <c r="G650" s="14" t="inlineStr">
        <is>
          <t>Narrativa</t>
        </is>
      </c>
      <c r="H650" s="14" t="inlineStr"/>
      <c r="I650" s="14" t="inlineStr">
        <is>
          <t>No</t>
        </is>
      </c>
      <c r="J650" s="14" t="inlineStr">
        <is>
          <t>Catalogo</t>
        </is>
      </c>
      <c r="K650" s="14" t="inlineStr">
        <is>
          <t>prima/seconda/terza media, narrativa</t>
        </is>
      </c>
      <c r="L650" s="14" t="inlineStr">
        <is>
          <t>Catalogo Pelledoca 2025 (ISBN 9788832791174)</t>
        </is>
      </c>
      <c r="M650" s="16" t="n">
        <v>18</v>
      </c>
      <c r="N650" s="14" t="inlineStr">
        <is>
          <t>Catalogo Pelledoca 2025</t>
        </is>
      </c>
      <c r="O650" s="16">
        <f>IF(ISNUMBER(M650),ROUND(M650*(1-Condizioni!$B$2),2),"")</f>
        <v/>
      </c>
      <c r="P650" s="17" t="inlineStr">
        <is>
          <t>No</t>
        </is>
      </c>
    </row>
    <row r="651">
      <c r="A651" s="14" t="inlineStr">
        <is>
          <t>Pelledoca</t>
        </is>
      </c>
      <c r="B651" s="14" t="inlineStr">
        <is>
          <t>Le Regole della Rabbia</t>
        </is>
      </c>
      <c r="C651" s="14" t="inlineStr">
        <is>
          <t>Mariapaola Pesce</t>
        </is>
      </c>
      <c r="D651" s="14" t="inlineStr">
        <is>
          <t>NeroInchiostro</t>
        </is>
      </c>
      <c r="E651" s="14" t="inlineStr">
        <is>
          <t>Dai 12 anni</t>
        </is>
      </c>
      <c r="F651" s="14" t="inlineStr">
        <is>
          <t>Scuola media (11-13)</t>
        </is>
      </c>
      <c r="G651" s="14" t="inlineStr">
        <is>
          <t>Romanzo</t>
        </is>
      </c>
      <c r="H651" s="14" t="inlineStr">
        <is>
          <t>Perdita e rabbia</t>
        </is>
      </c>
      <c r="I651" s="14" t="inlineStr">
        <is>
          <t>No</t>
        </is>
      </c>
      <c r="J651" s="14" t="inlineStr">
        <is>
          <t>Catalogo</t>
        </is>
      </c>
      <c r="K651" s="14" t="inlineStr">
        <is>
          <t>prima/seconda/terza media, romanzo, narrativa</t>
        </is>
      </c>
      <c r="L651" s="14" t="inlineStr">
        <is>
          <t>Catalogo Pelledoca 2025 (ISBN 9788832790498)</t>
        </is>
      </c>
      <c r="M651" s="16" t="n">
        <v>16</v>
      </c>
      <c r="N651" s="14" t="inlineStr">
        <is>
          <t>Catalogo Pelledoca 2025</t>
        </is>
      </c>
      <c r="O651" s="16">
        <f>IF(ISNUMBER(M651),ROUND(M651*(1-Condizioni!$B$2),2),"")</f>
        <v/>
      </c>
      <c r="P651" s="17" t="inlineStr">
        <is>
          <t>No</t>
        </is>
      </c>
    </row>
    <row r="652">
      <c r="A652" s="14" t="inlineStr">
        <is>
          <t>Pelledoca</t>
        </is>
      </c>
      <c r="B652" s="14" t="inlineStr">
        <is>
          <t>Lo Scheletro del Pozzo</t>
        </is>
      </c>
      <c r="C652" s="14" t="inlineStr">
        <is>
          <t>Chiara Valentina Segré</t>
        </is>
      </c>
      <c r="D652" s="14" t="inlineStr">
        <is>
          <t>NeroInchiostro</t>
        </is>
      </c>
      <c r="E652" s="14" t="inlineStr">
        <is>
          <t>Dagli 11 anni</t>
        </is>
      </c>
      <c r="F652" s="14" t="inlineStr">
        <is>
          <t>Scuola media (11-13)</t>
        </is>
      </c>
      <c r="G652" s="14" t="inlineStr">
        <is>
          <t>Romanzo</t>
        </is>
      </c>
      <c r="H652" s="14" t="inlineStr"/>
      <c r="I652" s="14" t="inlineStr">
        <is>
          <t>No</t>
        </is>
      </c>
      <c r="J652" s="14" t="inlineStr">
        <is>
          <t>Catalogo</t>
        </is>
      </c>
      <c r="K652" s="14" t="inlineStr">
        <is>
          <t>prima/seconda/terza media, romanzo, narrativa</t>
        </is>
      </c>
      <c r="L652" s="14" t="inlineStr">
        <is>
          <t>Catalogo Pelledoca 2025 (ISBN 9788832791303)</t>
        </is>
      </c>
      <c r="M652" s="16" t="n">
        <v>16</v>
      </c>
      <c r="N652" s="14" t="inlineStr">
        <is>
          <t>Catalogo Pelledoca 2025</t>
        </is>
      </c>
      <c r="O652" s="16">
        <f>IF(ISNUMBER(M652),ROUND(M652*(1-Condizioni!$B$2),2),"")</f>
        <v/>
      </c>
      <c r="P652" s="17" t="inlineStr">
        <is>
          <t>No</t>
        </is>
      </c>
    </row>
    <row r="653">
      <c r="A653" s="14" t="inlineStr">
        <is>
          <t>Pelledoca</t>
        </is>
      </c>
      <c r="B653" s="14" t="inlineStr">
        <is>
          <t>Lo Spettro del Tunnel</t>
        </is>
      </c>
      <c r="C653" s="14" t="inlineStr">
        <is>
          <t>Paolo d’Altan</t>
        </is>
      </c>
      <c r="D653" s="14" t="inlineStr">
        <is>
          <t>OcchiAperti</t>
        </is>
      </c>
      <c r="E653" s="14" t="inlineStr">
        <is>
          <t>Dai 13 anni</t>
        </is>
      </c>
      <c r="F653" s="14" t="inlineStr">
        <is>
          <t>Scuola media (11-13)</t>
        </is>
      </c>
      <c r="G653" s="14" t="inlineStr">
        <is>
          <t>Silent book</t>
        </is>
      </c>
      <c r="H653" s="14" t="inlineStr"/>
      <c r="I653" s="14" t="inlineStr">
        <is>
          <t>No</t>
        </is>
      </c>
      <c r="J653" s="14" t="inlineStr">
        <is>
          <t>Catalogo</t>
        </is>
      </c>
      <c r="K653" s="14" t="inlineStr">
        <is>
          <t>prima/seconda/terza media</t>
        </is>
      </c>
      <c r="L653" s="14" t="inlineStr">
        <is>
          <t>Catalogo Pelledoca 2025 (ISBN 9788832790832)</t>
        </is>
      </c>
      <c r="M653" s="16" t="n">
        <v>18</v>
      </c>
      <c r="N653" s="14" t="inlineStr">
        <is>
          <t>Catalogo Pelledoca 2025</t>
        </is>
      </c>
      <c r="O653" s="16">
        <f>IF(ISNUMBER(M653),ROUND(M653*(1-Condizioni!$B$2),2),"")</f>
        <v/>
      </c>
      <c r="P653" s="17" t="inlineStr">
        <is>
          <t>No</t>
        </is>
      </c>
    </row>
    <row r="654">
      <c r="A654" s="14" t="inlineStr">
        <is>
          <t>Pelledoca</t>
        </is>
      </c>
      <c r="B654" s="14" t="inlineStr">
        <is>
          <t>Lunamadre</t>
        </is>
      </c>
      <c r="C654" s="14" t="inlineStr">
        <is>
          <t>Teo Benedetti</t>
        </is>
      </c>
      <c r="D654" s="14" t="inlineStr">
        <is>
          <t>NeroInchiostro</t>
        </is>
      </c>
      <c r="E654" s="14" t="inlineStr">
        <is>
          <t>Dagli 11 anni</t>
        </is>
      </c>
      <c r="F654" s="14" t="inlineStr">
        <is>
          <t>Scuola media (11-13)</t>
        </is>
      </c>
      <c r="G654" s="14" t="inlineStr">
        <is>
          <t>Romanzo</t>
        </is>
      </c>
      <c r="H654" s="14" t="inlineStr"/>
      <c r="I654" s="14" t="inlineStr">
        <is>
          <t>No</t>
        </is>
      </c>
      <c r="J654" s="14" t="inlineStr">
        <is>
          <t>Catalogo</t>
        </is>
      </c>
      <c r="K654" s="14" t="inlineStr">
        <is>
          <t>prima/seconda/terza media, romanzo, narrativa</t>
        </is>
      </c>
      <c r="L654" s="14" t="inlineStr">
        <is>
          <t>Catalogo Pelledoca 2025 (ISBN 9788832790221)</t>
        </is>
      </c>
      <c r="M654" s="16" t="n">
        <v>16</v>
      </c>
      <c r="N654" s="14" t="inlineStr">
        <is>
          <t>Catalogo Pelledoca 2025</t>
        </is>
      </c>
      <c r="O654" s="16">
        <f>IF(ISNUMBER(M654),ROUND(M654*(1-Condizioni!$B$2),2),"")</f>
        <v/>
      </c>
      <c r="P654" s="17" t="inlineStr">
        <is>
          <t>Sì</t>
        </is>
      </c>
    </row>
    <row r="655">
      <c r="A655" s="14" t="inlineStr">
        <is>
          <t>Pelledoca</t>
        </is>
      </c>
      <c r="B655" s="14" t="inlineStr">
        <is>
          <t>L’Amica Fantasma</t>
        </is>
      </c>
      <c r="C655" s="14" t="inlineStr">
        <is>
          <t>Sabrina Rondinelli; ill. Andrea Calisi</t>
        </is>
      </c>
      <c r="D655" s="14" t="inlineStr">
        <is>
          <t>OcchiAperti</t>
        </is>
      </c>
      <c r="E655" s="14" t="inlineStr">
        <is>
          <t>Dai 12 anni</t>
        </is>
      </c>
      <c r="F655" s="14" t="inlineStr">
        <is>
          <t>Scuola media (11-13)</t>
        </is>
      </c>
      <c r="G655" s="14" t="inlineStr">
        <is>
          <t>Narrativa</t>
        </is>
      </c>
      <c r="H655" s="14" t="inlineStr"/>
      <c r="I655" s="14" t="inlineStr">
        <is>
          <t>No</t>
        </is>
      </c>
      <c r="J655" s="14" t="inlineStr">
        <is>
          <t>Catalogo</t>
        </is>
      </c>
      <c r="K655" s="14" t="inlineStr">
        <is>
          <t>prima/seconda/terza media, narrativa</t>
        </is>
      </c>
      <c r="L655" s="14" t="inlineStr">
        <is>
          <t>Catalogo Pelledoca 2025 (ISBN 9788832790344)</t>
        </is>
      </c>
      <c r="M655" s="16" t="n">
        <v>18</v>
      </c>
      <c r="N655" s="14" t="inlineStr">
        <is>
          <t>Catalogo Pelledoca 2025</t>
        </is>
      </c>
      <c r="O655" s="16">
        <f>IF(ISNUMBER(M655),ROUND(M655*(1-Condizioni!$B$2),2),"")</f>
        <v/>
      </c>
      <c r="P655" s="17" t="inlineStr">
        <is>
          <t>No</t>
        </is>
      </c>
    </row>
    <row r="656">
      <c r="A656" s="14" t="inlineStr">
        <is>
          <t>Pelledoca</t>
        </is>
      </c>
      <c r="B656" s="14" t="inlineStr">
        <is>
          <t>L’Emporio della Paura</t>
        </is>
      </c>
      <c r="C656" s="14" t="inlineStr">
        <is>
          <t>Chiara Cacco; ill. Benedetta Baraldi</t>
        </is>
      </c>
      <c r="D656" s="14" t="inlineStr">
        <is>
          <t>OcchiAperti</t>
        </is>
      </c>
      <c r="E656" s="14" t="inlineStr">
        <is>
          <t>Dagli 11 anni</t>
        </is>
      </c>
      <c r="F656" s="14" t="inlineStr">
        <is>
          <t>Scuola media (11-13)</t>
        </is>
      </c>
      <c r="G656" s="14" t="inlineStr">
        <is>
          <t>Narrativa</t>
        </is>
      </c>
      <c r="H656" s="14" t="inlineStr"/>
      <c r="I656" s="14" t="inlineStr">
        <is>
          <t>No</t>
        </is>
      </c>
      <c r="J656" s="14" t="inlineStr">
        <is>
          <t>Catalogo</t>
        </is>
      </c>
      <c r="K656" s="14" t="inlineStr">
        <is>
          <t>prima/seconda/terza media, narrativa</t>
        </is>
      </c>
      <c r="L656" s="14" t="inlineStr">
        <is>
          <t>Catalogo Pelledoca 2025 (ISBN 9788832790610)</t>
        </is>
      </c>
      <c r="M656" s="16" t="n">
        <v>18</v>
      </c>
      <c r="N656" s="14" t="inlineStr">
        <is>
          <t>Catalogo Pelledoca 2025</t>
        </is>
      </c>
      <c r="O656" s="16">
        <f>IF(ISNUMBER(M656),ROUND(M656*(1-Condizioni!$B$2),2),"")</f>
        <v/>
      </c>
      <c r="P656" s="17" t="inlineStr">
        <is>
          <t>No</t>
        </is>
      </c>
    </row>
    <row r="657">
      <c r="A657" s="14" t="inlineStr">
        <is>
          <t>Pelledoca</t>
        </is>
      </c>
      <c r="B657" s="14" t="inlineStr">
        <is>
          <t>L’Impero Invisibile</t>
        </is>
      </c>
      <c r="C657" s="14" t="inlineStr">
        <is>
          <t>Gabriele Nanni</t>
        </is>
      </c>
      <c r="D657" s="14" t="inlineStr">
        <is>
          <t>NeroInchiostro</t>
        </is>
      </c>
      <c r="E657" s="14" t="inlineStr">
        <is>
          <t>Dagli 11 anni</t>
        </is>
      </c>
      <c r="F657" s="14" t="inlineStr">
        <is>
          <t>Scuola media (11-13)</t>
        </is>
      </c>
      <c r="G657" s="14" t="inlineStr">
        <is>
          <t>Romanzo</t>
        </is>
      </c>
      <c r="H657" s="14" t="inlineStr"/>
      <c r="I657" s="14" t="inlineStr">
        <is>
          <t>No</t>
        </is>
      </c>
      <c r="J657" s="14" t="inlineStr">
        <is>
          <t>Catalogo</t>
        </is>
      </c>
      <c r="K657" s="14" t="inlineStr">
        <is>
          <t>prima/seconda/terza media, romanzo, narrativa</t>
        </is>
      </c>
      <c r="L657" s="14" t="inlineStr">
        <is>
          <t>Catalogo Pelledoca 2025 (ISBN 9788832790160)</t>
        </is>
      </c>
      <c r="M657" s="16" t="n">
        <v>16</v>
      </c>
      <c r="N657" s="14" t="inlineStr">
        <is>
          <t>Catalogo Pelledoca 2025</t>
        </is>
      </c>
      <c r="O657" s="16">
        <f>IF(ISNUMBER(M657),ROUND(M657*(1-Condizioni!$B$2),2),"")</f>
        <v/>
      </c>
      <c r="P657" s="17" t="inlineStr">
        <is>
          <t>No</t>
        </is>
      </c>
    </row>
    <row r="658">
      <c r="A658" s="14" t="inlineStr">
        <is>
          <t>Pelledoca</t>
        </is>
      </c>
      <c r="B658" s="14" t="inlineStr">
        <is>
          <t>Maledetto Shakespeare</t>
        </is>
      </c>
      <c r="C658" s="14" t="inlineStr">
        <is>
          <t>Francesco Bedini</t>
        </is>
      </c>
      <c r="D658" s="14" t="inlineStr">
        <is>
          <t>NeroInchiostro</t>
        </is>
      </c>
      <c r="E658" s="14" t="inlineStr">
        <is>
          <t>Dai 13 anni</t>
        </is>
      </c>
      <c r="F658" s="14" t="inlineStr">
        <is>
          <t>Scuola media (11-13)</t>
        </is>
      </c>
      <c r="G658" s="14" t="inlineStr">
        <is>
          <t>Romanzo</t>
        </is>
      </c>
      <c r="H658" s="14" t="inlineStr"/>
      <c r="I658" s="14" t="inlineStr">
        <is>
          <t>No</t>
        </is>
      </c>
      <c r="J658" s="14" t="inlineStr">
        <is>
          <t>Catalogo</t>
        </is>
      </c>
      <c r="K658" s="14" t="inlineStr">
        <is>
          <t>prima/seconda/terza media, romanzo, narrativa</t>
        </is>
      </c>
      <c r="L658" s="14" t="inlineStr">
        <is>
          <t>Catalogo Pelledoca 2025 (ISBN 9788832790665)</t>
        </is>
      </c>
      <c r="M658" s="16" t="n">
        <v>16</v>
      </c>
      <c r="N658" s="14" t="inlineStr">
        <is>
          <t>Catalogo Pelledoca 2025</t>
        </is>
      </c>
      <c r="O658" s="16">
        <f>IF(ISNUMBER(M658),ROUND(M658*(1-Condizioni!$B$2),2),"")</f>
        <v/>
      </c>
      <c r="P658" s="17" t="inlineStr">
        <is>
          <t>No</t>
        </is>
      </c>
    </row>
    <row r="659">
      <c r="A659" s="14" t="inlineStr">
        <is>
          <t>Pelledoca</t>
        </is>
      </c>
      <c r="B659" s="14" t="inlineStr">
        <is>
          <t>Mondo Cane</t>
        </is>
      </c>
      <c r="C659" s="14" t="inlineStr">
        <is>
          <t>Juliane Pickel; trad. Francesco M. A. Becchi</t>
        </is>
      </c>
      <c r="D659" s="14" t="inlineStr">
        <is>
          <t>NeroInchiostro</t>
        </is>
      </c>
      <c r="E659" s="14" t="inlineStr">
        <is>
          <t>Dai 13 anni</t>
        </is>
      </c>
      <c r="F659" s="14" t="inlineStr">
        <is>
          <t>Scuola media (11-13)</t>
        </is>
      </c>
      <c r="G659" s="14" t="inlineStr">
        <is>
          <t>Romanzo</t>
        </is>
      </c>
      <c r="H659" s="14" t="inlineStr"/>
      <c r="I659" s="14" t="inlineStr">
        <is>
          <t>No</t>
        </is>
      </c>
      <c r="J659" s="14" t="inlineStr">
        <is>
          <t>Catalogo</t>
        </is>
      </c>
      <c r="K659" s="14" t="inlineStr">
        <is>
          <t>prima/seconda/terza media, romanzo, narrativa</t>
        </is>
      </c>
      <c r="L659" s="14" t="inlineStr">
        <is>
          <t>Catalogo Pelledoca 2025 (ISBN 9788832790528)</t>
        </is>
      </c>
      <c r="M659" s="16" t="n">
        <v>16</v>
      </c>
      <c r="N659" s="14" t="inlineStr">
        <is>
          <t>Catalogo Pelledoca 2025</t>
        </is>
      </c>
      <c r="O659" s="16">
        <f>IF(ISNUMBER(M659),ROUND(M659*(1-Condizioni!$B$2),2),"")</f>
        <v/>
      </c>
      <c r="P659" s="17" t="inlineStr">
        <is>
          <t>No</t>
        </is>
      </c>
    </row>
    <row r="660">
      <c r="A660" s="14" t="inlineStr">
        <is>
          <t>Pelledoca</t>
        </is>
      </c>
      <c r="B660" s="14" t="inlineStr">
        <is>
          <t>Nanu e il Mistero di Cartesio</t>
        </is>
      </c>
      <c r="C660" s="14" t="inlineStr">
        <is>
          <t>Rodolfo Rossi</t>
        </is>
      </c>
      <c r="D660" s="14" t="inlineStr">
        <is>
          <t>NeroInchiostro</t>
        </is>
      </c>
      <c r="E660" s="14" t="inlineStr">
        <is>
          <t>Dai 12 anni</t>
        </is>
      </c>
      <c r="F660" s="14" t="inlineStr">
        <is>
          <t>Scuola media (11-13)</t>
        </is>
      </c>
      <c r="G660" s="14" t="inlineStr">
        <is>
          <t>Romanzo</t>
        </is>
      </c>
      <c r="H660" s="14" t="inlineStr"/>
      <c r="I660" s="14" t="inlineStr">
        <is>
          <t>No</t>
        </is>
      </c>
      <c r="J660" s="14" t="inlineStr">
        <is>
          <t>Catalogo</t>
        </is>
      </c>
      <c r="K660" s="14" t="inlineStr">
        <is>
          <t>prima/seconda/terza media, romanzo, narrativa</t>
        </is>
      </c>
      <c r="L660" s="14" t="inlineStr">
        <is>
          <t>Catalogo Pelledoca 2025 (ISBN 9788832791327)</t>
        </is>
      </c>
      <c r="M660" s="16" t="n">
        <v>16</v>
      </c>
      <c r="N660" s="14" t="inlineStr">
        <is>
          <t>Catalogo Pelledoca 2025</t>
        </is>
      </c>
      <c r="O660" s="16">
        <f>IF(ISNUMBER(M660),ROUND(M660*(1-Condizioni!$B$2),2),"")</f>
        <v/>
      </c>
      <c r="P660" s="17" t="inlineStr">
        <is>
          <t>No</t>
        </is>
      </c>
    </row>
    <row r="661">
      <c r="A661" s="14" t="inlineStr">
        <is>
          <t>Pelledoca</t>
        </is>
      </c>
      <c r="B661" s="14" t="inlineStr">
        <is>
          <t>Ombre Sulla Neve</t>
        </is>
      </c>
      <c r="C661" s="14" t="inlineStr">
        <is>
          <t>Serenella Quarello</t>
        </is>
      </c>
      <c r="D661" s="14" t="inlineStr">
        <is>
          <t>NeroInchiostro</t>
        </is>
      </c>
      <c r="E661" s="14" t="inlineStr">
        <is>
          <t>Dagli 11 anni</t>
        </is>
      </c>
      <c r="F661" s="14" t="inlineStr">
        <is>
          <t>Scuola media (11-13)</t>
        </is>
      </c>
      <c r="G661" s="14" t="inlineStr">
        <is>
          <t>Romanzo</t>
        </is>
      </c>
      <c r="H661" s="14" t="inlineStr"/>
      <c r="I661" s="14" t="inlineStr">
        <is>
          <t>No</t>
        </is>
      </c>
      <c r="J661" s="14" t="inlineStr">
        <is>
          <t>Catalogo</t>
        </is>
      </c>
      <c r="K661" s="14" t="inlineStr">
        <is>
          <t>prima/seconda/terza media, romanzo, narrativa</t>
        </is>
      </c>
      <c r="L661" s="14" t="inlineStr">
        <is>
          <t>Catalogo Pelledoca 2025 (ISBN 9788832790740)</t>
        </is>
      </c>
      <c r="M661" s="16" t="n">
        <v>16</v>
      </c>
      <c r="N661" s="14" t="inlineStr">
        <is>
          <t>Catalogo Pelledoca 2025</t>
        </is>
      </c>
      <c r="O661" s="16">
        <f>IF(ISNUMBER(M661),ROUND(M661*(1-Condizioni!$B$2),2),"")</f>
        <v/>
      </c>
      <c r="P661" s="17" t="inlineStr">
        <is>
          <t>No</t>
        </is>
      </c>
    </row>
    <row r="662">
      <c r="A662" s="14" t="inlineStr">
        <is>
          <t>Pelledoca</t>
        </is>
      </c>
      <c r="B662" s="14" t="inlineStr">
        <is>
          <t>Omicidio sull’Hindenburg</t>
        </is>
      </c>
      <c r="C662" s="14" t="inlineStr">
        <is>
          <t>Fabrizio Altieri</t>
        </is>
      </c>
      <c r="D662" s="14" t="inlineStr">
        <is>
          <t>NeroInchiostro</t>
        </is>
      </c>
      <c r="E662" s="14" t="inlineStr">
        <is>
          <t>Dagli 11 anni</t>
        </is>
      </c>
      <c r="F662" s="14" t="inlineStr">
        <is>
          <t>Scuola media (11-13)</t>
        </is>
      </c>
      <c r="G662" s="14" t="inlineStr">
        <is>
          <t>Romanzo</t>
        </is>
      </c>
      <c r="H662" s="14" t="inlineStr"/>
      <c r="I662" s="14" t="inlineStr">
        <is>
          <t>No</t>
        </is>
      </c>
      <c r="J662" s="14" t="inlineStr">
        <is>
          <t>Catalogo</t>
        </is>
      </c>
      <c r="K662" s="14" t="inlineStr">
        <is>
          <t>prima/seconda/terza media, romanzo, narrativa</t>
        </is>
      </c>
      <c r="L662" s="14" t="inlineStr">
        <is>
          <t>Catalogo Pelledoca 2025 (ISBN 9788832791235)</t>
        </is>
      </c>
      <c r="M662" s="16" t="n">
        <v>16</v>
      </c>
      <c r="N662" s="14" t="inlineStr">
        <is>
          <t>Catalogo Pelledoca 2025</t>
        </is>
      </c>
      <c r="O662" s="16">
        <f>IF(ISNUMBER(M662),ROUND(M662*(1-Condizioni!$B$2),2),"")</f>
        <v/>
      </c>
      <c r="P662" s="17" t="inlineStr">
        <is>
          <t>No</t>
        </is>
      </c>
    </row>
    <row r="663">
      <c r="A663" s="14" t="inlineStr">
        <is>
          <t>Pelledoca</t>
        </is>
      </c>
      <c r="B663" s="14" t="inlineStr">
        <is>
          <t>Orlando</t>
        </is>
      </c>
      <c r="C663" s="14" t="inlineStr">
        <is>
          <t>Beatrice Masini; ill. Daniela Costa</t>
        </is>
      </c>
      <c r="D663" s="14" t="inlineStr">
        <is>
          <t>OcchiAperti</t>
        </is>
      </c>
      <c r="E663" s="14" t="inlineStr">
        <is>
          <t>Dai 13 anni</t>
        </is>
      </c>
      <c r="F663" s="14" t="inlineStr">
        <is>
          <t>Scuola media (11-13)</t>
        </is>
      </c>
      <c r="G663" s="14" t="inlineStr">
        <is>
          <t>Narrativa</t>
        </is>
      </c>
      <c r="H663" s="14" t="inlineStr"/>
      <c r="I663" s="14" t="inlineStr">
        <is>
          <t>No</t>
        </is>
      </c>
      <c r="J663" s="14" t="inlineStr">
        <is>
          <t>Catalogo</t>
        </is>
      </c>
      <c r="K663" s="14" t="inlineStr">
        <is>
          <t>prima/seconda/terza media, narrativa</t>
        </is>
      </c>
      <c r="L663" s="14" t="inlineStr">
        <is>
          <t>Catalogo Pelledoca 2025 (ISBN 9788832791334)</t>
        </is>
      </c>
      <c r="M663" s="16" t="n">
        <v>18</v>
      </c>
      <c r="N663" s="14" t="inlineStr">
        <is>
          <t>Catalogo Pelledoca 2025</t>
        </is>
      </c>
      <c r="O663" s="16">
        <f>IF(ISNUMBER(M663),ROUND(M663*(1-Condizioni!$B$2),2),"")</f>
        <v/>
      </c>
      <c r="P663" s="17" t="inlineStr">
        <is>
          <t>No</t>
        </is>
      </c>
    </row>
    <row r="664">
      <c r="A664" s="14" t="inlineStr">
        <is>
          <t>Pelledoca</t>
        </is>
      </c>
      <c r="B664" s="14" t="inlineStr">
        <is>
          <t>Respira con Me</t>
        </is>
      </c>
      <c r="C664" s="14" t="inlineStr">
        <is>
          <t>Raffaella Romagnolo</t>
        </is>
      </c>
      <c r="D664" s="14" t="inlineStr">
        <is>
          <t>NeroInchiostro</t>
        </is>
      </c>
      <c r="E664" s="14" t="inlineStr">
        <is>
          <t>Dai 12 anni</t>
        </is>
      </c>
      <c r="F664" s="14" t="inlineStr">
        <is>
          <t>Scuola media (11-13)</t>
        </is>
      </c>
      <c r="G664" s="14" t="inlineStr">
        <is>
          <t>Romanzo</t>
        </is>
      </c>
      <c r="H664" s="14" t="inlineStr"/>
      <c r="I664" s="14" t="inlineStr">
        <is>
          <t>No</t>
        </is>
      </c>
      <c r="J664" s="14" t="inlineStr">
        <is>
          <t>Catalogo</t>
        </is>
      </c>
      <c r="K664" s="14" t="inlineStr">
        <is>
          <t>prima/seconda/terza media, romanzo, narrativa</t>
        </is>
      </c>
      <c r="L664" s="14" t="inlineStr">
        <is>
          <t>Catalogo Pelledoca 2025 (ISBN 9788832790139)</t>
        </is>
      </c>
      <c r="M664" s="16" t="n">
        <v>15</v>
      </c>
      <c r="N664" s="14" t="inlineStr">
        <is>
          <t>Catalogo Pelledoca 2025</t>
        </is>
      </c>
      <c r="O664" s="16">
        <f>IF(ISNUMBER(M664),ROUND(M664*(1-Condizioni!$B$2),2),"")</f>
        <v/>
      </c>
      <c r="P664" s="17" t="inlineStr">
        <is>
          <t>No</t>
        </is>
      </c>
    </row>
    <row r="665">
      <c r="A665" s="14" t="inlineStr">
        <is>
          <t>Pelledoca</t>
        </is>
      </c>
      <c r="B665" s="14" t="inlineStr">
        <is>
          <t>Rifugiato Climatico 2722</t>
        </is>
      </c>
      <c r="C665" s="14" t="inlineStr">
        <is>
          <t>David Moitet; trad. Sergio Rossi</t>
        </is>
      </c>
      <c r="D665" s="14" t="inlineStr">
        <is>
          <t>NeroInchiostro</t>
        </is>
      </c>
      <c r="E665" s="14" t="inlineStr">
        <is>
          <t>Dai 12 anni</t>
        </is>
      </c>
      <c r="F665" s="14" t="inlineStr">
        <is>
          <t>Scuola media (11-13)</t>
        </is>
      </c>
      <c r="G665" s="14" t="inlineStr">
        <is>
          <t>Romanzo</t>
        </is>
      </c>
      <c r="H665" s="14" t="inlineStr">
        <is>
          <t>Cambiamento climatico</t>
        </is>
      </c>
      <c r="I665" s="14" t="inlineStr">
        <is>
          <t>No</t>
        </is>
      </c>
      <c r="J665" s="14" t="inlineStr">
        <is>
          <t>Catalogo</t>
        </is>
      </c>
      <c r="K665" s="14" t="inlineStr">
        <is>
          <t>prima/seconda/terza media, romanzo, narrativa</t>
        </is>
      </c>
      <c r="L665" s="14" t="inlineStr">
        <is>
          <t>Catalogo Pelledoca 2025 (ISBN 9788832790429)</t>
        </is>
      </c>
      <c r="M665" s="16" t="n">
        <v>18</v>
      </c>
      <c r="N665" s="14" t="inlineStr">
        <is>
          <t>Catalogo Pelledoca 2025</t>
        </is>
      </c>
      <c r="O665" s="16">
        <f>IF(ISNUMBER(M665),ROUND(M665*(1-Condizioni!$B$2),2),"")</f>
        <v/>
      </c>
      <c r="P665" s="17" t="inlineStr">
        <is>
          <t>No</t>
        </is>
      </c>
    </row>
    <row r="666">
      <c r="A666" s="14" t="inlineStr">
        <is>
          <t>Pelledoca</t>
        </is>
      </c>
      <c r="B666" s="14" t="inlineStr">
        <is>
          <t>Santa Muerte</t>
        </is>
      </c>
      <c r="C666" s="14" t="inlineStr">
        <is>
          <t>Marcus Sedgwick; trad. Giulia Guasco</t>
        </is>
      </c>
      <c r="D666" s="14" t="inlineStr">
        <is>
          <t>NeroInchiostro</t>
        </is>
      </c>
      <c r="E666" s="14" t="inlineStr">
        <is>
          <t>Dai 13 anni</t>
        </is>
      </c>
      <c r="F666" s="14" t="inlineStr">
        <is>
          <t>Scuola media (11-13)</t>
        </is>
      </c>
      <c r="G666" s="14" t="inlineStr">
        <is>
          <t>Romanzo</t>
        </is>
      </c>
      <c r="H666" s="14" t="inlineStr"/>
      <c r="I666" s="14" t="inlineStr">
        <is>
          <t>No</t>
        </is>
      </c>
      <c r="J666" s="14" t="inlineStr">
        <is>
          <t>Catalogo</t>
        </is>
      </c>
      <c r="K666" s="14" t="inlineStr">
        <is>
          <t>prima/seconda/terza media, romanzo, narrativa</t>
        </is>
      </c>
      <c r="L666" s="14" t="inlineStr">
        <is>
          <t>Catalogo Pelledoca 2025 (ISBN 9788832790153)</t>
        </is>
      </c>
      <c r="M666" s="16" t="n">
        <v>16</v>
      </c>
      <c r="N666" s="14" t="inlineStr">
        <is>
          <t>Catalogo Pelledoca 2025</t>
        </is>
      </c>
      <c r="O666" s="16">
        <f>IF(ISNUMBER(M666),ROUND(M666*(1-Condizioni!$B$2),2),"")</f>
        <v/>
      </c>
      <c r="P666" s="17" t="inlineStr">
        <is>
          <t>No</t>
        </is>
      </c>
    </row>
    <row r="667">
      <c r="A667" s="14" t="inlineStr">
        <is>
          <t>Pelledoca</t>
        </is>
      </c>
      <c r="B667" s="14" t="inlineStr">
        <is>
          <t>Sei Fuori</t>
        </is>
      </c>
      <c r="C667" s="14" t="inlineStr">
        <is>
          <t>Antonio Ferrara</t>
        </is>
      </c>
      <c r="D667" s="14" t="inlineStr">
        <is>
          <t>NeroInchiostro</t>
        </is>
      </c>
      <c r="E667" s="14" t="inlineStr">
        <is>
          <t>Dagli 11 anni</t>
        </is>
      </c>
      <c r="F667" s="14" t="inlineStr">
        <is>
          <t>Scuola media (11-13)</t>
        </is>
      </c>
      <c r="G667" s="14" t="inlineStr">
        <is>
          <t>Romanzo</t>
        </is>
      </c>
      <c r="H667" s="14" t="inlineStr">
        <is>
          <t>Malattia rara e crescita</t>
        </is>
      </c>
      <c r="I667" s="14" t="inlineStr">
        <is>
          <t>No</t>
        </is>
      </c>
      <c r="J667" s="14" t="inlineStr">
        <is>
          <t>Catalogo</t>
        </is>
      </c>
      <c r="K667" s="14" t="inlineStr">
        <is>
          <t>prima/seconda/terza media, romanzo, narrativa</t>
        </is>
      </c>
      <c r="L667" s="14" t="inlineStr">
        <is>
          <t>Catalogo Pelledoca 2025 (ISBN 9788832790603)</t>
        </is>
      </c>
      <c r="M667" s="16" t="n">
        <v>16</v>
      </c>
      <c r="N667" s="14" t="inlineStr">
        <is>
          <t>Catalogo Pelledoca 2025</t>
        </is>
      </c>
      <c r="O667" s="16">
        <f>IF(ISNUMBER(M667),ROUND(M667*(1-Condizioni!$B$2),2),"")</f>
        <v/>
      </c>
      <c r="P667" s="17" t="inlineStr">
        <is>
          <t>No</t>
        </is>
      </c>
    </row>
    <row r="668">
      <c r="A668" s="14" t="inlineStr">
        <is>
          <t>Pelledoca</t>
        </is>
      </c>
      <c r="B668" s="14" t="inlineStr">
        <is>
          <t>Senza una Buona Ragione</t>
        </is>
      </c>
      <c r="C668" s="14" t="inlineStr">
        <is>
          <t>Benedetta Bonfiglioli</t>
        </is>
      </c>
      <c r="D668" s="14" t="inlineStr">
        <is>
          <t>NeroInchiostro</t>
        </is>
      </c>
      <c r="E668" s="14" t="inlineStr">
        <is>
          <t>Dai 13 anni</t>
        </is>
      </c>
      <c r="F668" s="14" t="inlineStr">
        <is>
          <t>Scuola media (11-13)</t>
        </is>
      </c>
      <c r="G668" s="14" t="inlineStr">
        <is>
          <t>Romanzo</t>
        </is>
      </c>
      <c r="H668" s="14" t="inlineStr"/>
      <c r="I668" s="14" t="inlineStr">
        <is>
          <t>No</t>
        </is>
      </c>
      <c r="J668" s="14" t="inlineStr">
        <is>
          <t>Catalogo</t>
        </is>
      </c>
      <c r="K668" s="14" t="inlineStr">
        <is>
          <t>prima/seconda/terza media, romanzo, narrativa</t>
        </is>
      </c>
      <c r="L668" s="14" t="inlineStr">
        <is>
          <t>Catalogo Pelledoca 2025 (ISBN 9788832790306)</t>
        </is>
      </c>
      <c r="M668" s="16" t="n">
        <v>16</v>
      </c>
      <c r="N668" s="14" t="inlineStr">
        <is>
          <t>Catalogo Pelledoca 2025</t>
        </is>
      </c>
      <c r="O668" s="16">
        <f>IF(ISNUMBER(M668),ROUND(M668*(1-Condizioni!$B$2),2),"")</f>
        <v/>
      </c>
      <c r="P668" s="17" t="inlineStr">
        <is>
          <t>No</t>
        </is>
      </c>
    </row>
    <row r="669">
      <c r="A669" s="14" t="inlineStr">
        <is>
          <t>Pelledoca</t>
        </is>
      </c>
      <c r="B669" s="14" t="inlineStr">
        <is>
          <t>Sonnambuli, Maledizioni e Lumache</t>
        </is>
      </c>
      <c r="C669" s="14" t="inlineStr">
        <is>
          <t>Martina Wildner; trad. Anna Becchi</t>
        </is>
      </c>
      <c r="D669" s="14" t="inlineStr">
        <is>
          <t>NeroInchiostro</t>
        </is>
      </c>
      <c r="E669" s="14" t="inlineStr">
        <is>
          <t>Dagli 11 anni</t>
        </is>
      </c>
      <c r="F669" s="14" t="inlineStr">
        <is>
          <t>Scuola media (11-13)</t>
        </is>
      </c>
      <c r="G669" s="14" t="inlineStr">
        <is>
          <t>Romanzo</t>
        </is>
      </c>
      <c r="H669" s="14" t="inlineStr"/>
      <c r="I669" s="14" t="inlineStr">
        <is>
          <t>No</t>
        </is>
      </c>
      <c r="J669" s="14" t="inlineStr">
        <is>
          <t>Catalogo</t>
        </is>
      </c>
      <c r="K669" s="14" t="inlineStr">
        <is>
          <t>prima/seconda/terza media, romanzo, narrativa</t>
        </is>
      </c>
      <c r="L669" s="14" t="inlineStr">
        <is>
          <t>Catalogo Pelledoca 2025 (ISBN 9788832790436)</t>
        </is>
      </c>
      <c r="M669" s="16" t="n">
        <v>16</v>
      </c>
      <c r="N669" s="14" t="inlineStr">
        <is>
          <t>Catalogo Pelledoca 2025</t>
        </is>
      </c>
      <c r="O669" s="16">
        <f>IF(ISNUMBER(M669),ROUND(M669*(1-Condizioni!$B$2),2),"")</f>
        <v/>
      </c>
      <c r="P669" s="17" t="inlineStr">
        <is>
          <t>No</t>
        </is>
      </c>
    </row>
    <row r="670">
      <c r="A670" s="14" t="inlineStr">
        <is>
          <t>Pelledoca</t>
        </is>
      </c>
      <c r="B670" s="14" t="inlineStr">
        <is>
          <t>Sottovoce</t>
        </is>
      </c>
      <c r="C670" s="14" t="inlineStr">
        <is>
          <t>Fulvia Degl'Innocenti</t>
        </is>
      </c>
      <c r="D670" s="14" t="inlineStr">
        <is>
          <t>NeroInchiostro</t>
        </is>
      </c>
      <c r="E670" s="14" t="inlineStr">
        <is>
          <t>Dagli 11 anni</t>
        </is>
      </c>
      <c r="F670" s="14" t="inlineStr">
        <is>
          <t>Scuola media (11-13)</t>
        </is>
      </c>
      <c r="G670" s="14" t="inlineStr">
        <is>
          <t>Romanzo</t>
        </is>
      </c>
      <c r="H670" s="14" t="inlineStr"/>
      <c r="I670" s="14" t="inlineStr">
        <is>
          <t>No</t>
        </is>
      </c>
      <c r="J670" s="14" t="inlineStr">
        <is>
          <t>Catalogo</t>
        </is>
      </c>
      <c r="K670" s="14" t="inlineStr">
        <is>
          <t>prima/seconda/terza media, romanzo, narrativa</t>
        </is>
      </c>
      <c r="L670" s="14" t="inlineStr">
        <is>
          <t>Catalogo Pelledoca 2025 (ISBN 9788832790214)</t>
        </is>
      </c>
      <c r="M670" s="16" t="n">
        <v>16</v>
      </c>
      <c r="N670" s="14" t="inlineStr">
        <is>
          <t>Catalogo Pelledoca 2025</t>
        </is>
      </c>
      <c r="O670" s="16">
        <f>IF(ISNUMBER(M670),ROUND(M670*(1-Condizioni!$B$2),2),"")</f>
        <v/>
      </c>
      <c r="P670" s="17" t="inlineStr">
        <is>
          <t>No</t>
        </is>
      </c>
    </row>
    <row r="671">
      <c r="A671" s="14" t="inlineStr">
        <is>
          <t>Pelledoca</t>
        </is>
      </c>
      <c r="B671" s="14" t="inlineStr">
        <is>
          <t>Spiriti Dello Tsunami</t>
        </is>
      </c>
      <c r="C671" s="14" t="inlineStr">
        <is>
          <t>Daniele Nicastro</t>
        </is>
      </c>
      <c r="D671" s="14" t="inlineStr">
        <is>
          <t>NeroInchiostro</t>
        </is>
      </c>
      <c r="E671" s="14" t="inlineStr">
        <is>
          <t>Dai 12 anni</t>
        </is>
      </c>
      <c r="F671" s="14" t="inlineStr">
        <is>
          <t>Scuola media (11-13)</t>
        </is>
      </c>
      <c r="G671" s="14" t="inlineStr">
        <is>
          <t>Romanzo</t>
        </is>
      </c>
      <c r="H671" s="14" t="inlineStr"/>
      <c r="I671" s="14" t="inlineStr">
        <is>
          <t>No</t>
        </is>
      </c>
      <c r="J671" s="14" t="inlineStr">
        <is>
          <t>Catalogo</t>
        </is>
      </c>
      <c r="K671" s="14" t="inlineStr">
        <is>
          <t>prima/seconda/terza media, romanzo, narrativa</t>
        </is>
      </c>
      <c r="L671" s="14" t="inlineStr">
        <is>
          <t>Catalogo Pelledoca 2025 (ISBN 9788832790887)</t>
        </is>
      </c>
      <c r="M671" s="16" t="n">
        <v>16</v>
      </c>
      <c r="N671" s="14" t="inlineStr">
        <is>
          <t>Catalogo Pelledoca 2025</t>
        </is>
      </c>
      <c r="O671" s="16">
        <f>IF(ISNUMBER(M671),ROUND(M671*(1-Condizioni!$B$2),2),"")</f>
        <v/>
      </c>
      <c r="P671" s="17" t="inlineStr">
        <is>
          <t>No</t>
        </is>
      </c>
    </row>
    <row r="672">
      <c r="A672" s="14" t="inlineStr">
        <is>
          <t>Pelledoca</t>
        </is>
      </c>
      <c r="B672" s="14" t="inlineStr">
        <is>
          <t>Sulle Tracce della Verità</t>
        </is>
      </c>
      <c r="C672" s="14" t="inlineStr">
        <is>
          <t>Sergio Badino</t>
        </is>
      </c>
      <c r="D672" s="14" t="inlineStr">
        <is>
          <t>NeroInchiostro</t>
        </is>
      </c>
      <c r="E672" s="14" t="inlineStr">
        <is>
          <t>Dagli 11 anni</t>
        </is>
      </c>
      <c r="F672" s="14" t="inlineStr">
        <is>
          <t>Scuola media (11-13)</t>
        </is>
      </c>
      <c r="G672" s="14" t="inlineStr">
        <is>
          <t>Romanzo</t>
        </is>
      </c>
      <c r="H672" s="14" t="inlineStr"/>
      <c r="I672" s="14" t="inlineStr">
        <is>
          <t>No</t>
        </is>
      </c>
      <c r="J672" s="14" t="inlineStr">
        <is>
          <t>Catalogo</t>
        </is>
      </c>
      <c r="K672" s="14" t="inlineStr">
        <is>
          <t>prima/seconda/terza media, romanzo, narrativa</t>
        </is>
      </c>
      <c r="L672" s="14" t="inlineStr">
        <is>
          <t>Catalogo Pelledoca 2025 (ISBN 9788832791105)</t>
        </is>
      </c>
      <c r="M672" s="16" t="n">
        <v>16</v>
      </c>
      <c r="N672" s="14" t="inlineStr">
        <is>
          <t>Catalogo Pelledoca 2025</t>
        </is>
      </c>
      <c r="O672" s="16">
        <f>IF(ISNUMBER(M672),ROUND(M672*(1-Condizioni!$B$2),2),"")</f>
        <v/>
      </c>
      <c r="P672" s="17" t="inlineStr">
        <is>
          <t>No</t>
        </is>
      </c>
    </row>
    <row r="673">
      <c r="A673" s="14" t="inlineStr">
        <is>
          <t>Pelledoca</t>
        </is>
      </c>
      <c r="B673" s="14" t="inlineStr">
        <is>
          <t>The Next Level</t>
        </is>
      </c>
      <c r="C673" s="14" t="inlineStr">
        <is>
          <t>Carla Anzile</t>
        </is>
      </c>
      <c r="D673" s="14" t="inlineStr">
        <is>
          <t>NeroInchiostro</t>
        </is>
      </c>
      <c r="E673" s="14" t="inlineStr">
        <is>
          <t>Dai 12 anni</t>
        </is>
      </c>
      <c r="F673" s="14" t="inlineStr">
        <is>
          <t>Scuola media (11-13)</t>
        </is>
      </c>
      <c r="G673" s="14" t="inlineStr">
        <is>
          <t>Romanzo</t>
        </is>
      </c>
      <c r="H673" s="14" t="inlineStr">
        <is>
          <t>Videogiochi e realtà</t>
        </is>
      </c>
      <c r="I673" s="14" t="inlineStr">
        <is>
          <t>No</t>
        </is>
      </c>
      <c r="J673" s="14" t="inlineStr">
        <is>
          <t>Catalogo</t>
        </is>
      </c>
      <c r="K673" s="14" t="inlineStr">
        <is>
          <t>prima/seconda/terza media, romanzo, narrativa</t>
        </is>
      </c>
      <c r="L673" s="14" t="inlineStr">
        <is>
          <t>Catalogo Pelledoca 2025 (ISBN 9788832791044)</t>
        </is>
      </c>
      <c r="M673" s="16" t="n">
        <v>16</v>
      </c>
      <c r="N673" s="14" t="inlineStr">
        <is>
          <t>Catalogo Pelledoca 2025</t>
        </is>
      </c>
      <c r="O673" s="16">
        <f>IF(ISNUMBER(M673),ROUND(M673*(1-Condizioni!$B$2),2),"")</f>
        <v/>
      </c>
      <c r="P673" s="17" t="inlineStr">
        <is>
          <t>No</t>
        </is>
      </c>
    </row>
    <row r="674">
      <c r="A674" s="14" t="inlineStr">
        <is>
          <t>Pelledoca</t>
        </is>
      </c>
      <c r="B674" s="14" t="inlineStr">
        <is>
          <t>Ti Ho Visto</t>
        </is>
      </c>
      <c r="C674" s="14" t="inlineStr">
        <is>
          <t>Sara Colaone; ill. Sara Colaone</t>
        </is>
      </c>
      <c r="D674" s="14" t="inlineStr">
        <is>
          <t>OcchiAperti</t>
        </is>
      </c>
      <c r="E674" s="14" t="inlineStr">
        <is>
          <t>Dagli 11 anni</t>
        </is>
      </c>
      <c r="F674" s="14" t="inlineStr">
        <is>
          <t>Scuola media (11-13)</t>
        </is>
      </c>
      <c r="G674" s="14" t="inlineStr">
        <is>
          <t>Narrativa</t>
        </is>
      </c>
      <c r="H674" s="14" t="inlineStr"/>
      <c r="I674" s="14" t="inlineStr">
        <is>
          <t>No</t>
        </is>
      </c>
      <c r="J674" s="14" t="inlineStr">
        <is>
          <t>Catalogo</t>
        </is>
      </c>
      <c r="K674" s="14" t="inlineStr">
        <is>
          <t>prima/seconda/terza media, narrativa</t>
        </is>
      </c>
      <c r="L674" s="14" t="inlineStr">
        <is>
          <t>Catalogo Pelledoca 2025 (ISBN 9788832790184)</t>
        </is>
      </c>
      <c r="M674" s="16" t="n">
        <v>18</v>
      </c>
      <c r="N674" s="14" t="inlineStr">
        <is>
          <t>Catalogo Pelledoca 2025</t>
        </is>
      </c>
      <c r="O674" s="16">
        <f>IF(ISNUMBER(M674),ROUND(M674*(1-Condizioni!$B$2),2),"")</f>
        <v/>
      </c>
      <c r="P674" s="17" t="inlineStr">
        <is>
          <t>No</t>
        </is>
      </c>
    </row>
    <row r="675">
      <c r="A675" s="14" t="inlineStr">
        <is>
          <t>Pelledoca</t>
        </is>
      </c>
      <c r="B675" s="14" t="inlineStr">
        <is>
          <t>Una Lunghissima Notte</t>
        </is>
      </c>
      <c r="C675" s="14" t="inlineStr">
        <is>
          <t>Annalisa Strada</t>
        </is>
      </c>
      <c r="D675" s="14" t="inlineStr">
        <is>
          <t>NeroInchiostro</t>
        </is>
      </c>
      <c r="E675" s="14" t="inlineStr">
        <is>
          <t>Dagli 11 anni</t>
        </is>
      </c>
      <c r="F675" s="14" t="inlineStr">
        <is>
          <t>Scuola media (11-13)</t>
        </is>
      </c>
      <c r="G675" s="14" t="inlineStr">
        <is>
          <t>Romanzo</t>
        </is>
      </c>
      <c r="H675" s="14" t="inlineStr"/>
      <c r="I675" s="14" t="inlineStr">
        <is>
          <t>No</t>
        </is>
      </c>
      <c r="J675" s="14" t="inlineStr">
        <is>
          <t>Catalogo</t>
        </is>
      </c>
      <c r="K675" s="14" t="inlineStr">
        <is>
          <t>prima/seconda/terza media, romanzo, narrativa</t>
        </is>
      </c>
      <c r="L675" s="14" t="inlineStr">
        <is>
          <t>Catalogo Pelledoca 2025 (ISBN 9788832790146)</t>
        </is>
      </c>
      <c r="M675" s="16" t="n">
        <v>16</v>
      </c>
      <c r="N675" s="14" t="inlineStr">
        <is>
          <t>Catalogo Pelledoca 2025</t>
        </is>
      </c>
      <c r="O675" s="16">
        <f>IF(ISNUMBER(M675),ROUND(M675*(1-Condizioni!$B$2),2),"")</f>
        <v/>
      </c>
      <c r="P675" s="17" t="inlineStr">
        <is>
          <t>Sì</t>
        </is>
      </c>
    </row>
    <row r="676">
      <c r="A676" s="14" t="inlineStr">
        <is>
          <t>Pelledoca</t>
        </is>
      </c>
      <c r="B676" s="14" t="inlineStr">
        <is>
          <t>Via della Ratta Morta Numero 1</t>
        </is>
      </c>
      <c r="C676" s="14" t="inlineStr">
        <is>
          <t>Arianna Papini</t>
        </is>
      </c>
      <c r="D676" s="14" t="inlineStr">
        <is>
          <t>OcchiAperti</t>
        </is>
      </c>
      <c r="E676" s="14" t="inlineStr">
        <is>
          <t>Dagli 11 anni</t>
        </is>
      </c>
      <c r="F676" s="14" t="inlineStr">
        <is>
          <t>Scuola media (11-13)</t>
        </is>
      </c>
      <c r="G676" s="14" t="inlineStr">
        <is>
          <t>Narrativa</t>
        </is>
      </c>
      <c r="H676" s="14" t="inlineStr"/>
      <c r="I676" s="14" t="inlineStr">
        <is>
          <t>No</t>
        </is>
      </c>
      <c r="J676" s="14" t="inlineStr">
        <is>
          <t>Catalogo</t>
        </is>
      </c>
      <c r="K676" s="14" t="inlineStr">
        <is>
          <t>prima/seconda/terza media, narrativa</t>
        </is>
      </c>
      <c r="L676" s="14" t="inlineStr">
        <is>
          <t>Catalogo Pelledoca 2025 (ISBN 9788832791341)</t>
        </is>
      </c>
      <c r="M676" s="16" t="n">
        <v>18</v>
      </c>
      <c r="N676" s="14" t="inlineStr">
        <is>
          <t>Catalogo Pelledoca 2025</t>
        </is>
      </c>
      <c r="O676" s="16">
        <f>IF(ISNUMBER(M676),ROUND(M676*(1-Condizioni!$B$2),2),"")</f>
        <v/>
      </c>
      <c r="P676" s="17" t="inlineStr">
        <is>
          <t>No</t>
        </is>
      </c>
    </row>
    <row r="677">
      <c r="A677" s="14" t="inlineStr">
        <is>
          <t>Pelledoca</t>
        </is>
      </c>
      <c r="B677" s="14" t="inlineStr">
        <is>
          <t>The Screen - Impresso nei Miei Occhi</t>
        </is>
      </c>
      <c r="C677" s="14" t="inlineStr">
        <is>
          <t>Alessandro Pasquinucci</t>
        </is>
      </c>
      <c r="D677" s="14" t="inlineStr">
        <is>
          <t>NeroInchiostro</t>
        </is>
      </c>
      <c r="E677" s="14" t="inlineStr">
        <is>
          <t>Dai 14 anni</t>
        </is>
      </c>
      <c r="F677" s="14" t="inlineStr">
        <is>
          <t>Adolescenza (14+)</t>
        </is>
      </c>
      <c r="G677" s="14" t="inlineStr">
        <is>
          <t>Romanzo</t>
        </is>
      </c>
      <c r="H677" s="14" t="inlineStr">
        <is>
          <t>Violenza online</t>
        </is>
      </c>
      <c r="I677" s="14" t="inlineStr">
        <is>
          <t>No</t>
        </is>
      </c>
      <c r="J677" s="14" t="inlineStr">
        <is>
          <t>Catalogo</t>
        </is>
      </c>
      <c r="K677" s="14" t="inlineStr">
        <is>
          <t>adolescenza, romanzo, narrativa</t>
        </is>
      </c>
      <c r="L677" s="14" t="inlineStr">
        <is>
          <t>Catalogo Pelledoca 2025 (ISBN 9788832790870)</t>
        </is>
      </c>
      <c r="M677" s="16" t="n">
        <v>16</v>
      </c>
      <c r="N677" s="14" t="inlineStr">
        <is>
          <t>Catalogo Pelledoca 2025</t>
        </is>
      </c>
      <c r="O677" s="16">
        <f>IF(ISNUMBER(M677),ROUND(M677*(1-Condizioni!$B$2),2),"")</f>
        <v/>
      </c>
      <c r="P677" s="17" t="inlineStr">
        <is>
          <t>No</t>
        </is>
      </c>
    </row>
    <row r="678">
      <c r="A678" s="14" t="inlineStr">
        <is>
          <t>Momo Edizioni</t>
        </is>
      </c>
      <c r="B678" s="14" t="inlineStr">
        <is>
          <t>Animalia. Il mio primo bestiario</t>
        </is>
      </c>
      <c r="C678" s="14" t="inlineStr">
        <is>
          <t>Marco Iuffrida</t>
        </is>
      </c>
      <c r="D678" s="14" t="inlineStr">
        <is>
          <t>Libri Monelli</t>
        </is>
      </c>
      <c r="E678" s="14" t="inlineStr">
        <is>
          <t>da 4 anni</t>
        </is>
      </c>
      <c r="F678" s="14" t="inlineStr">
        <is>
          <t>3-6 anni</t>
        </is>
      </c>
      <c r="G678" s="14" t="inlineStr">
        <is>
          <t>Albo illustrato</t>
        </is>
      </c>
      <c r="H678" s="14" t="inlineStr">
        <is>
          <t>Rispetto per gli animali e conoscenza di sé</t>
        </is>
      </c>
      <c r="I678" s="14" t="inlineStr">
        <is>
          <t>No</t>
        </is>
      </c>
      <c r="J678" s="14" t="inlineStr">
        <is>
          <t>Catalogo</t>
        </is>
      </c>
      <c r="K678" s="14" t="inlineStr">
        <is>
          <t>3-6 anni</t>
        </is>
      </c>
      <c r="L678" s="14" t="inlineStr">
        <is>
          <t>https://momoedizioni.it/categoria/libri/libri-monelli/</t>
        </is>
      </c>
      <c r="M678" s="16" t="n">
        <v>15</v>
      </c>
      <c r="N678" s="14" t="inlineStr">
        <is>
          <t>Sito Momo Edizioni</t>
        </is>
      </c>
      <c r="O678" s="16">
        <f>IF(ISNUMBER(M678),ROUND(M678*(1-Condizioni!$B$2),2),"")</f>
        <v/>
      </c>
      <c r="P678" s="17" t="inlineStr">
        <is>
          <t>Sì</t>
        </is>
      </c>
    </row>
    <row r="679">
      <c r="A679" s="14" t="inlineStr">
        <is>
          <t>Momo Edizioni</t>
        </is>
      </c>
      <c r="B679" s="14" t="inlineStr">
        <is>
          <t>Che cos'è il sesso?</t>
        </is>
      </c>
      <c r="C679" s="14" t="inlineStr">
        <is>
          <t>Silvio Montanaro e Francesca D’Onofrio; ill. Luisa Montalto</t>
        </is>
      </c>
      <c r="D679" s="14" t="inlineStr">
        <is>
          <t>Libri Monelli</t>
        </is>
      </c>
      <c r="E679" s="14" t="inlineStr">
        <is>
          <t>6-99 anni</t>
        </is>
      </c>
      <c r="F679" s="14" t="inlineStr">
        <is>
          <t>Prime letture (6-8)</t>
        </is>
      </c>
      <c r="G679" s="14" t="inlineStr">
        <is>
          <t>Divulgazione/Saggio</t>
        </is>
      </c>
      <c r="H679" s="14" t="inlineStr">
        <is>
          <t>Educazione affettiva e sessuale</t>
        </is>
      </c>
      <c r="I679" s="14" t="inlineStr">
        <is>
          <t>No</t>
        </is>
      </c>
      <c r="J679" s="14" t="inlineStr">
        <is>
          <t>Catalogo</t>
        </is>
      </c>
      <c r="K679" s="14" t="inlineStr">
        <is>
          <t>prime letture</t>
        </is>
      </c>
      <c r="L679" s="14" t="inlineStr">
        <is>
          <t>https://www.libraccio.it/libro/9791280298102/francesca-d</t>
        </is>
      </c>
      <c r="M679" s="16" t="n">
        <v>15</v>
      </c>
      <c r="N679" s="14" t="inlineStr">
        <is>
          <t>Sito Momo Edizioni</t>
        </is>
      </c>
      <c r="O679" s="16">
        <f>IF(ISNUMBER(M679),ROUND(M679*(1-Condizioni!$B$2),2),"")</f>
        <v/>
      </c>
      <c r="P679" s="17" t="inlineStr">
        <is>
          <t>Sì</t>
        </is>
      </c>
    </row>
    <row r="680">
      <c r="A680" s="14" t="inlineStr">
        <is>
          <t>Momo Edizioni</t>
        </is>
      </c>
      <c r="B680" s="14" t="inlineStr">
        <is>
          <t>Genitori che puzzano</t>
        </is>
      </c>
      <c r="C680" s="14" t="inlineStr">
        <is>
          <t>Gina; ill. Alessio Spataro</t>
        </is>
      </c>
      <c r="D680" s="14" t="inlineStr">
        <is>
          <t>Libri Monelli</t>
        </is>
      </c>
      <c r="E680" s="14" t="inlineStr">
        <is>
          <t>7-99 anni</t>
        </is>
      </c>
      <c r="F680" s="14" t="inlineStr">
        <is>
          <t>Prime letture (6-8)</t>
        </is>
      </c>
      <c r="G680" s="14" t="inlineStr">
        <is>
          <t>Narrativa</t>
        </is>
      </c>
      <c r="H680" s="14" t="inlineStr">
        <is>
          <t>Famiglia e rapporto tra generazioni</t>
        </is>
      </c>
      <c r="I680" s="14" t="inlineStr">
        <is>
          <t>No</t>
        </is>
      </c>
      <c r="J680" s="14" t="inlineStr">
        <is>
          <t>Catalogo</t>
        </is>
      </c>
      <c r="K680" s="14" t="inlineStr">
        <is>
          <t>prime letture, narrativa</t>
        </is>
      </c>
      <c r="L680" s="14" t="inlineStr">
        <is>
          <t>https://momoedizioni.it/categoria/libri/libri-monelli/</t>
        </is>
      </c>
      <c r="M680" s="16" t="n">
        <v>11</v>
      </c>
      <c r="N680" s="14" t="inlineStr">
        <is>
          <t>Sito Momo Edizioni</t>
        </is>
      </c>
      <c r="O680" s="16">
        <f>IF(ISNUMBER(M680),ROUND(M680*(1-Condizioni!$B$2),2),"")</f>
        <v/>
      </c>
      <c r="P680" s="17" t="inlineStr">
        <is>
          <t>Sì</t>
        </is>
      </c>
    </row>
    <row r="681">
      <c r="A681" s="14" t="inlineStr">
        <is>
          <t>Momo Edizioni</t>
        </is>
      </c>
      <c r="B681" s="14" t="inlineStr">
        <is>
          <t>Gli adulti fanno schifo</t>
        </is>
      </c>
      <c r="C681" s="14" t="inlineStr">
        <is>
          <t>Gina; ill. Alessio Spataro</t>
        </is>
      </c>
      <c r="D681" s="14" t="inlineStr">
        <is>
          <t>Libri Monelli</t>
        </is>
      </c>
      <c r="E681" s="14" t="inlineStr">
        <is>
          <t>7-99 anni</t>
        </is>
      </c>
      <c r="F681" s="14" t="inlineStr">
        <is>
          <t>Prime letture (6-8)</t>
        </is>
      </c>
      <c r="G681" s="14" t="inlineStr">
        <is>
          <t>Narrativa</t>
        </is>
      </c>
      <c r="H681" s="14" t="inlineStr">
        <is>
          <t>Ambiente, pace e protagonismo dei ragazzi</t>
        </is>
      </c>
      <c r="I681" s="14" t="inlineStr">
        <is>
          <t>No</t>
        </is>
      </c>
      <c r="J681" s="14" t="inlineStr">
        <is>
          <t>Catalogo</t>
        </is>
      </c>
      <c r="K681" s="14" t="inlineStr">
        <is>
          <t>prime letture, narrativa</t>
        </is>
      </c>
      <c r="L681" s="14" t="inlineStr">
        <is>
          <t>https://momoedizioni.it/categoria/libri/libri-monelli/</t>
        </is>
      </c>
      <c r="M681" s="16" t="n">
        <v>10</v>
      </c>
      <c r="N681" s="14" t="inlineStr">
        <is>
          <t>Sito Momo Edizioni</t>
        </is>
      </c>
      <c r="O681" s="16">
        <f>IF(ISNUMBER(M681),ROUND(M681*(1-Condizioni!$B$2),2),"")</f>
        <v/>
      </c>
      <c r="P681" s="17" t="inlineStr">
        <is>
          <t>Sì</t>
        </is>
      </c>
    </row>
    <row r="682">
      <c r="A682" s="14" t="inlineStr">
        <is>
          <t>Momo Edizioni</t>
        </is>
      </c>
      <c r="B682" s="14" t="inlineStr">
        <is>
          <t>Il lago che combatte</t>
        </is>
      </c>
      <c r="C682" s="14" t="inlineStr">
        <is>
          <t>Militant A (Assalti Frontali); ill. Chiara Fazi</t>
        </is>
      </c>
      <c r="D682" s="14" t="inlineStr">
        <is>
          <t>Libri Monelli</t>
        </is>
      </c>
      <c r="E682" s="14" t="inlineStr">
        <is>
          <t>6-99 anni</t>
        </is>
      </c>
      <c r="F682" s="14" t="inlineStr">
        <is>
          <t>Prime letture (6-8)</t>
        </is>
      </c>
      <c r="G682" s="14" t="inlineStr">
        <is>
          <t>Narrativa</t>
        </is>
      </c>
      <c r="H682" s="14" t="inlineStr">
        <is>
          <t>Ambiente, natura e partecipazione dei cittadini</t>
        </is>
      </c>
      <c r="I682" s="14" t="inlineStr">
        <is>
          <t>No</t>
        </is>
      </c>
      <c r="J682" s="14" t="inlineStr">
        <is>
          <t>Catalogo</t>
        </is>
      </c>
      <c r="K682" s="14" t="inlineStr">
        <is>
          <t>prime letture, narrativa</t>
        </is>
      </c>
      <c r="L682" s="14" t="inlineStr">
        <is>
          <t>https://momoedizioni.it/categoria/libri/libri-monelli/</t>
        </is>
      </c>
      <c r="M682" s="16" t="n">
        <v>18</v>
      </c>
      <c r="N682" s="14" t="inlineStr">
        <is>
          <t>Sito Momo Edizioni</t>
        </is>
      </c>
      <c r="O682" s="16">
        <f>IF(ISNUMBER(M682),ROUND(M682*(1-Condizioni!$B$2),2),"")</f>
        <v/>
      </c>
      <c r="P682" s="17" t="inlineStr">
        <is>
          <t>Sì</t>
        </is>
      </c>
    </row>
    <row r="683">
      <c r="A683" s="14" t="inlineStr">
        <is>
          <t>Momo Edizioni</t>
        </is>
      </c>
      <c r="B683" s="14" t="inlineStr">
        <is>
          <t>Mia patria sono gli oppressi. Don Milani, la scuola, la guerra</t>
        </is>
      </c>
      <c r="C683" s="14" t="inlineStr">
        <is>
          <t>Vanessa Roghi; ill. Marco Petrella</t>
        </is>
      </c>
      <c r="D683" s="14" t="inlineStr">
        <is>
          <t>Libri Monelli</t>
        </is>
      </c>
      <c r="E683" s="14" t="inlineStr">
        <is>
          <t>6-99 anni</t>
        </is>
      </c>
      <c r="F683" s="14" t="inlineStr">
        <is>
          <t>Prime letture (6-8)</t>
        </is>
      </c>
      <c r="G683" s="14" t="inlineStr">
        <is>
          <t>Narrativa</t>
        </is>
      </c>
      <c r="H683" s="14" t="inlineStr">
        <is>
          <t>Giustizia sociale, scuola e pace (don Milani)</t>
        </is>
      </c>
      <c r="I683" s="14" t="inlineStr">
        <is>
          <t>No</t>
        </is>
      </c>
      <c r="J683" s="14" t="inlineStr">
        <is>
          <t>Catalogo</t>
        </is>
      </c>
      <c r="K683" s="14" t="inlineStr">
        <is>
          <t>prime letture, narrativa</t>
        </is>
      </c>
      <c r="L683" s="14" t="inlineStr">
        <is>
          <t>https://momoedizioni.it/categoria/libri/libri-monelli/</t>
        </is>
      </c>
      <c r="M683" s="16" t="n">
        <v>14</v>
      </c>
      <c r="N683" s="14" t="inlineStr">
        <is>
          <t>Sito Momo Edizioni</t>
        </is>
      </c>
      <c r="O683" s="16">
        <f>IF(ISNUMBER(M683),ROUND(M683*(1-Condizioni!$B$2),2),"")</f>
        <v/>
      </c>
      <c r="P683" s="17" t="inlineStr">
        <is>
          <t>Sì</t>
        </is>
      </c>
    </row>
    <row r="684">
      <c r="A684" s="14" t="inlineStr">
        <is>
          <t>Momo Edizioni</t>
        </is>
      </c>
      <c r="B684" s="14" t="inlineStr">
        <is>
          <t>Portami al mare. Un viaggio nel Mediterraneo per piccoli scienziati</t>
        </is>
      </c>
      <c r="C684" s="14" t="inlineStr">
        <is>
          <t>Ernesto Azzurro ed Emanuela Fanelli; ill. Martina Troise</t>
        </is>
      </c>
      <c r="D684" s="14" t="inlineStr">
        <is>
          <t>Libri Monelli</t>
        </is>
      </c>
      <c r="E684" s="14" t="inlineStr">
        <is>
          <t>6-99 anni</t>
        </is>
      </c>
      <c r="F684" s="14" t="inlineStr">
        <is>
          <t>Prime letture (6-8)</t>
        </is>
      </c>
      <c r="G684" s="14" t="inlineStr">
        <is>
          <t>Divulgazione/Saggio</t>
        </is>
      </c>
      <c r="H684" s="14" t="inlineStr">
        <is>
          <t>Ambiente, mare e biodiversità</t>
        </is>
      </c>
      <c r="I684" s="14" t="inlineStr">
        <is>
          <t>No</t>
        </is>
      </c>
      <c r="J684" s="14" t="inlineStr">
        <is>
          <t>Catalogo</t>
        </is>
      </c>
      <c r="K684" s="14" t="inlineStr">
        <is>
          <t>prime letture</t>
        </is>
      </c>
      <c r="L684" s="14" t="inlineStr">
        <is>
          <t>https://momoedizioni.it/categoria/libri/libri-monelli/</t>
        </is>
      </c>
      <c r="M684" s="16" t="n">
        <v>15</v>
      </c>
      <c r="N684" s="14" t="inlineStr">
        <is>
          <t>Sito Momo Edizioni</t>
        </is>
      </c>
      <c r="O684" s="16">
        <f>IF(ISNUMBER(M684),ROUND(M684*(1-Condizioni!$B$2),2),"")</f>
        <v/>
      </c>
      <c r="P684" s="17" t="inlineStr">
        <is>
          <t>Sì</t>
        </is>
      </c>
    </row>
    <row r="685">
      <c r="A685" s="14" t="inlineStr">
        <is>
          <t>Momo Edizioni</t>
        </is>
      </c>
      <c r="B685" s="14" t="inlineStr">
        <is>
          <t>SOS Oceano. Impariamo a difendere il mare</t>
        </is>
      </c>
      <c r="C685" s="14" t="inlineStr">
        <is>
          <t>Ernesto Azzurro ed Emanuela Fanelli; ill. Bruna e Martina Troise</t>
        </is>
      </c>
      <c r="D685" s="14" t="inlineStr">
        <is>
          <t>Libri Monelli</t>
        </is>
      </c>
      <c r="E685" s="14" t="inlineStr">
        <is>
          <t>da 6 anni</t>
        </is>
      </c>
      <c r="F685" s="14" t="inlineStr">
        <is>
          <t>Prime letture (6-8)</t>
        </is>
      </c>
      <c r="G685" s="14" t="inlineStr">
        <is>
          <t>Divulgazione/Saggio</t>
        </is>
      </c>
      <c r="H685" s="14" t="inlineStr">
        <is>
          <t>Ambiente, inquinamento e tutela del mare</t>
        </is>
      </c>
      <c r="I685" s="14" t="inlineStr">
        <is>
          <t>No</t>
        </is>
      </c>
      <c r="J685" s="14" t="inlineStr">
        <is>
          <t>Catalogo</t>
        </is>
      </c>
      <c r="K685" s="14" t="inlineStr">
        <is>
          <t>prime letture</t>
        </is>
      </c>
      <c r="L685" s="14" t="inlineStr">
        <is>
          <t>https://momoedizioni.it/categoria/libri/libri-monelli/</t>
        </is>
      </c>
      <c r="M685" s="16" t="n">
        <v>15</v>
      </c>
      <c r="N685" s="14" t="inlineStr">
        <is>
          <t>Sito Momo Edizioni</t>
        </is>
      </c>
      <c r="O685" s="16">
        <f>IF(ISNUMBER(M685),ROUND(M685*(1-Condizioni!$B$2),2),"")</f>
        <v/>
      </c>
      <c r="P685" s="17" t="inlineStr">
        <is>
          <t>Sì</t>
        </is>
      </c>
    </row>
    <row r="686">
      <c r="A686" s="14" t="inlineStr">
        <is>
          <t>Momo Edizioni</t>
        </is>
      </c>
      <c r="B686" s="14" t="inlineStr">
        <is>
          <t>Libera dal ciclo</t>
        </is>
      </c>
      <c r="C686" s="14" t="inlineStr">
        <is>
          <t>Flavia Fazi</t>
        </is>
      </c>
      <c r="D686" s="14" t="inlineStr">
        <is>
          <t>Libri Monelli</t>
        </is>
      </c>
      <c r="E686" s="14" t="inlineStr">
        <is>
          <t>da 10 anni</t>
        </is>
      </c>
      <c r="F686" s="14" t="inlineStr">
        <is>
          <t>10+</t>
        </is>
      </c>
      <c r="G686" s="14" t="inlineStr">
        <is>
          <t>Divulgazione/Saggio</t>
        </is>
      </c>
      <c r="H686" s="14" t="inlineStr">
        <is>
          <t>Società e attualità</t>
        </is>
      </c>
      <c r="I686" s="14" t="inlineStr">
        <is>
          <t>No</t>
        </is>
      </c>
      <c r="J686" s="14" t="inlineStr">
        <is>
          <t>Catalogo</t>
        </is>
      </c>
      <c r="K686" s="14" t="inlineStr">
        <is>
          <t>10+</t>
        </is>
      </c>
      <c r="L686" s="14" t="inlineStr">
        <is>
          <t>https://momoedizioni.it/categoria/libri/libri-monelli/</t>
        </is>
      </c>
      <c r="M686" s="16" t="n">
        <v>10</v>
      </c>
      <c r="N686" s="14" t="inlineStr">
        <is>
          <t>Sito Momo Edizioni</t>
        </is>
      </c>
      <c r="O686" s="16">
        <f>IF(ISNUMBER(M686),ROUND(M686*(1-Condizioni!$B$2),2),"")</f>
        <v/>
      </c>
      <c r="P686" s="17" t="inlineStr">
        <is>
          <t>Sì</t>
        </is>
      </c>
    </row>
    <row r="687">
      <c r="A687" s="14" t="inlineStr">
        <is>
          <t>Momo Edizioni</t>
        </is>
      </c>
      <c r="B687" s="14" t="inlineStr">
        <is>
          <t>Ad occhi aperti</t>
        </is>
      </c>
      <c r="C687" s="14" t="inlineStr">
        <is>
          <t>Vanessa Roghi; ill. Irma Alonzo</t>
        </is>
      </c>
      <c r="D687" s="14" t="inlineStr">
        <is>
          <t>Libri Monelli</t>
        </is>
      </c>
      <c r="E687" s="14" t="inlineStr">
        <is>
          <t>11-99 anni</t>
        </is>
      </c>
      <c r="F687" s="14" t="inlineStr">
        <is>
          <t>Scuola media (11-13)</t>
        </is>
      </c>
      <c r="G687" s="14" t="inlineStr">
        <is>
          <t>Narrativa</t>
        </is>
      </c>
      <c r="H687" s="14" t="inlineStr">
        <is>
          <t>Dipendenze e riduzione del danno</t>
        </is>
      </c>
      <c r="I687" s="14" t="inlineStr">
        <is>
          <t>No</t>
        </is>
      </c>
      <c r="J687" s="14" t="inlineStr">
        <is>
          <t>Catalogo</t>
        </is>
      </c>
      <c r="K687" s="14" t="inlineStr">
        <is>
          <t>prima/seconda/terza media, narrativa</t>
        </is>
      </c>
      <c r="L687" s="14" t="inlineStr">
        <is>
          <t>https://momoedizioni.it/categoria/libri/libri-monelli/</t>
        </is>
      </c>
      <c r="M687" s="16" t="n">
        <v>15</v>
      </c>
      <c r="N687" s="14" t="inlineStr">
        <is>
          <t>Sito Momo Edizioni</t>
        </is>
      </c>
      <c r="O687" s="16">
        <f>IF(ISNUMBER(M687),ROUND(M687*(1-Condizioni!$B$2),2),"")</f>
        <v/>
      </c>
      <c r="P687" s="17" t="inlineStr">
        <is>
          <t>Sì</t>
        </is>
      </c>
    </row>
    <row r="688">
      <c r="A688" s="14" t="inlineStr">
        <is>
          <t>Momo Edizioni</t>
        </is>
      </c>
      <c r="B688" s="14" t="inlineStr">
        <is>
          <t>Il carcere è un mondo di carta</t>
        </is>
      </c>
      <c r="C688" s="14" t="inlineStr">
        <is>
          <t>Valentina Calderone e Marica Fantauzzi; ill. Ginevra Vacalebre</t>
        </is>
      </c>
      <c r="D688" s="14" t="inlineStr">
        <is>
          <t>Libri Monelli</t>
        </is>
      </c>
      <c r="E688" s="14" t="inlineStr">
        <is>
          <t>11-99 anni</t>
        </is>
      </c>
      <c r="F688" s="14" t="inlineStr">
        <is>
          <t>Scuola media (11-13)</t>
        </is>
      </c>
      <c r="G688" s="14" t="inlineStr">
        <is>
          <t>Narrativa</t>
        </is>
      </c>
      <c r="H688" s="14" t="inlineStr">
        <is>
          <t>Carcere, diritti e dignità della persona</t>
        </is>
      </c>
      <c r="I688" s="14" t="inlineStr">
        <is>
          <t>No</t>
        </is>
      </c>
      <c r="J688" s="14" t="inlineStr">
        <is>
          <t>Catalogo</t>
        </is>
      </c>
      <c r="K688" s="14" t="inlineStr">
        <is>
          <t>prima/seconda/terza media, narrativa</t>
        </is>
      </c>
      <c r="L688" s="14" t="inlineStr">
        <is>
          <t>https://momoedizioni.it/categoria/libri/libri-monelli/</t>
        </is>
      </c>
      <c r="M688" s="16" t="n">
        <v>15</v>
      </c>
      <c r="N688" s="14" t="inlineStr">
        <is>
          <t>Sito Momo Edizioni</t>
        </is>
      </c>
      <c r="O688" s="16">
        <f>IF(ISNUMBER(M688),ROUND(M688*(1-Condizioni!$B$2),2),"")</f>
        <v/>
      </c>
      <c r="P688" s="17" t="inlineStr">
        <is>
          <t>Sì</t>
        </is>
      </c>
    </row>
    <row r="689">
      <c r="A689" s="14" t="inlineStr">
        <is>
          <t>Momo Edizioni</t>
        </is>
      </c>
      <c r="B689" s="14" t="inlineStr">
        <is>
          <t>A cosa servono le cose?</t>
        </is>
      </c>
      <c r="C689" s="14" t="inlineStr">
        <is>
          <t>Tina Napoli; ill. Marco Petrella</t>
        </is>
      </c>
      <c r="D689" s="14" t="inlineStr">
        <is>
          <t>Libri Monelli</t>
        </is>
      </c>
      <c r="E689" s="14" t="inlineStr">
        <is>
          <t>da 9 anni</t>
        </is>
      </c>
      <c r="F689" s="14" t="inlineStr">
        <is>
          <t>9+</t>
        </is>
      </c>
      <c r="G689" s="14" t="inlineStr">
        <is>
          <t>Albo illustrato</t>
        </is>
      </c>
      <c r="H689" s="14" t="inlineStr">
        <is>
          <t>Consumo consapevole, diritti e sfruttamento minorile</t>
        </is>
      </c>
      <c r="I689" s="14" t="inlineStr">
        <is>
          <t>No</t>
        </is>
      </c>
      <c r="J689" s="14" t="inlineStr">
        <is>
          <t>Verificata (IBS / editore)</t>
        </is>
      </c>
      <c r="K689" s="14" t="inlineStr">
        <is>
          <t>9+</t>
        </is>
      </c>
      <c r="L689" s="14" t="inlineStr">
        <is>
          <t>https://momoedizioni.it/categoria/libri/libri-monelli/</t>
        </is>
      </c>
      <c r="M689" s="16" t="n">
        <v>15</v>
      </c>
      <c r="N689" s="14" t="inlineStr">
        <is>
          <t>Sito Momo Edizioni</t>
        </is>
      </c>
      <c r="O689" s="16">
        <f>IF(ISNUMBER(M689),ROUND(M689*(1-Condizioni!$B$2),2),"")</f>
        <v/>
      </c>
      <c r="P689" s="17" t="inlineStr">
        <is>
          <t>Sì</t>
        </is>
      </c>
    </row>
    <row r="690">
      <c r="A690" s="14" t="inlineStr">
        <is>
          <t>Momo Edizioni</t>
        </is>
      </c>
      <c r="B690" s="14" t="inlineStr">
        <is>
          <t>Bollicina</t>
        </is>
      </c>
      <c r="C690" s="14" t="inlineStr">
        <is>
          <t>Ciampacavallo; copertina di Zerocalcare</t>
        </is>
      </c>
      <c r="D690" s="14" t="inlineStr">
        <is>
          <t>Libri Monelli – CiampaLibri</t>
        </is>
      </c>
      <c r="E690" s="14" t="inlineStr">
        <is>
          <t>24 pp.; età n.d.</t>
        </is>
      </c>
      <c r="F690" s="14" t="inlineStr">
        <is>
          <t>3-6 anni</t>
        </is>
      </c>
      <c r="G690" s="14" t="inlineStr">
        <is>
          <t>Libro in simboli (CAA)</t>
        </is>
      </c>
      <c r="H690" s="14" t="inlineStr">
        <is>
          <t>Disabilità e inclusione (storia scritta da persone con disabilità)</t>
        </is>
      </c>
      <c r="I690" s="18" t="inlineStr">
        <is>
          <t>Sì</t>
        </is>
      </c>
      <c r="J690" s="15" t="inlineStr">
        <is>
          <t>Da verificare</t>
        </is>
      </c>
      <c r="K690" s="14" t="inlineStr">
        <is>
          <t>3-6 anni, CAA</t>
        </is>
      </c>
      <c r="L690" s="14" t="inlineStr">
        <is>
          <t>https://momoedizioni.it/catalogo/bollicina/</t>
        </is>
      </c>
      <c r="M690" s="16" t="n">
        <v>15</v>
      </c>
      <c r="N690" s="14" t="inlineStr">
        <is>
          <t>Sito Momo Edizioni</t>
        </is>
      </c>
      <c r="O690" s="16">
        <f>IF(ISNUMBER(M690),ROUND(M690*(1-Condizioni!$B$2),2),"")</f>
        <v/>
      </c>
      <c r="P690" s="17" t="inlineStr">
        <is>
          <t>Sì</t>
        </is>
      </c>
    </row>
    <row r="691">
      <c r="A691" s="14" t="inlineStr">
        <is>
          <t>Momo Edizioni</t>
        </is>
      </c>
      <c r="B691" s="14" t="inlineStr">
        <is>
          <t>Cambiare il mondo con i libri. L'incredibile storia di Giangiacomo Feltrinelli</t>
        </is>
      </c>
      <c r="C691" s="14" t="inlineStr">
        <is>
          <t>Mattia Tombolini; ill. Marta Baroni</t>
        </is>
      </c>
      <c r="D691" s="14" t="inlineStr">
        <is>
          <t>Libri Monelli</t>
        </is>
      </c>
      <c r="E691" s="14" t="inlineStr">
        <is>
          <t>da 8 anni</t>
        </is>
      </c>
      <c r="F691" s="14" t="inlineStr">
        <is>
          <t>8+</t>
        </is>
      </c>
      <c r="G691" s="14" t="inlineStr">
        <is>
          <t>Narrativa</t>
        </is>
      </c>
      <c r="H691" s="14" t="inlineStr">
        <is>
          <t>Libri, lettura e impegno civile</t>
        </is>
      </c>
      <c r="I691" s="14" t="inlineStr">
        <is>
          <t>No</t>
        </is>
      </c>
      <c r="J691" s="14" t="inlineStr">
        <is>
          <t>Verificata (IBS / editore)</t>
        </is>
      </c>
      <c r="K691" s="14" t="inlineStr">
        <is>
          <t>8+, narrativa</t>
        </is>
      </c>
      <c r="L691" s="14" t="inlineStr">
        <is>
          <t>https://momoedizioni.it/categoria/libri/libri-monelli/</t>
        </is>
      </c>
      <c r="M691" s="16" t="n">
        <v>13</v>
      </c>
      <c r="N691" s="14" t="inlineStr">
        <is>
          <t>Sito Momo Edizioni</t>
        </is>
      </c>
      <c r="O691" s="16">
        <f>IF(ISNUMBER(M691),ROUND(M691*(1-Condizioni!$B$2),2),"")</f>
        <v/>
      </c>
      <c r="P691" s="17" t="inlineStr">
        <is>
          <t>Sì</t>
        </is>
      </c>
    </row>
    <row r="692">
      <c r="A692" s="14" t="inlineStr">
        <is>
          <t>Momo Edizioni</t>
        </is>
      </c>
      <c r="B692" s="14" t="inlineStr">
        <is>
          <t>Essere tempesta. Vita e morte di Giacomo Matteotti</t>
        </is>
      </c>
      <c r="C692" s="14" t="inlineStr">
        <is>
          <t>Valerio Renzi; ill. Toni Bruno</t>
        </is>
      </c>
      <c r="D692" s="14" t="inlineStr">
        <is>
          <t>Libri Monelli</t>
        </is>
      </c>
      <c r="E692" s="14" t="inlineStr">
        <is>
          <t>da 10 anni</t>
        </is>
      </c>
      <c r="F692" s="14" t="inlineStr">
        <is>
          <t>10+</t>
        </is>
      </c>
      <c r="G692" s="14" t="inlineStr">
        <is>
          <t>Narrativa</t>
        </is>
      </c>
      <c r="H692" s="14" t="inlineStr">
        <is>
          <t>Antifascismo, memoria e giustizia sociale</t>
        </is>
      </c>
      <c r="I692" s="14" t="inlineStr">
        <is>
          <t>No</t>
        </is>
      </c>
      <c r="J692" s="14" t="inlineStr">
        <is>
          <t>Verificata (IBS / editore)</t>
        </is>
      </c>
      <c r="K692" s="14" t="inlineStr">
        <is>
          <t>10+, narrativa</t>
        </is>
      </c>
      <c r="L692" s="14" t="inlineStr">
        <is>
          <t>https://momoedizioni.it/categoria/libri/libri-monelli/</t>
        </is>
      </c>
      <c r="M692" s="16" t="n">
        <v>15</v>
      </c>
      <c r="N692" s="14" t="inlineStr">
        <is>
          <t>Sito Momo Edizioni</t>
        </is>
      </c>
      <c r="O692" s="16">
        <f>IF(ISNUMBER(M692),ROUND(M692*(1-Condizioni!$B$2),2),"")</f>
        <v/>
      </c>
      <c r="P692" s="17" t="inlineStr">
        <is>
          <t>Sì</t>
        </is>
      </c>
    </row>
    <row r="693">
      <c r="A693" s="14" t="inlineStr">
        <is>
          <t>Momo Edizioni</t>
        </is>
      </c>
      <c r="B693" s="14" t="inlineStr">
        <is>
          <t>Karukinka. La nostra terra</t>
        </is>
      </c>
      <c r="C693" s="14" t="inlineStr">
        <is>
          <t>Erica Silvestri</t>
        </is>
      </c>
      <c r="D693" s="14" t="inlineStr">
        <is>
          <t>Libri Monelli</t>
        </is>
      </c>
      <c r="E693" s="14" t="inlineStr">
        <is>
          <t>da 6 anni</t>
        </is>
      </c>
      <c r="F693" s="14" t="inlineStr">
        <is>
          <t>Prime letture (6-8)</t>
        </is>
      </c>
      <c r="G693" s="14" t="inlineStr">
        <is>
          <t>Albo illustrato</t>
        </is>
      </c>
      <c r="H693" s="14" t="inlineStr">
        <is>
          <t>Cambiamento climatico e popoli originari</t>
        </is>
      </c>
      <c r="I693" s="14" t="inlineStr">
        <is>
          <t>No</t>
        </is>
      </c>
      <c r="J693" s="14" t="inlineStr">
        <is>
          <t>Verificata (Bottegart)</t>
        </is>
      </c>
      <c r="K693" s="14" t="inlineStr">
        <is>
          <t>prime letture</t>
        </is>
      </c>
      <c r="L693" s="14" t="inlineStr">
        <is>
          <t>https://momoedizioni.it/categoria/libri/libri-monelli/</t>
        </is>
      </c>
      <c r="M693" s="16" t="n">
        <v>15</v>
      </c>
      <c r="N693" s="14" t="inlineStr">
        <is>
          <t>Sito Momo Edizioni</t>
        </is>
      </c>
      <c r="O693" s="16">
        <f>IF(ISNUMBER(M693),ROUND(M693*(1-Condizioni!$B$2),2),"")</f>
        <v/>
      </c>
      <c r="P693" s="17" t="inlineStr">
        <is>
          <t>Sì</t>
        </is>
      </c>
    </row>
    <row r="694">
      <c r="A694" s="14" t="inlineStr">
        <is>
          <t>Tunuè</t>
        </is>
      </c>
      <c r="B694" s="14" t="inlineStr">
        <is>
          <t>Brina (serie)</t>
        </is>
      </c>
      <c r="C694" s="14" t="inlineStr">
        <is>
          <t>Giorgio Salati e Christian Cornia</t>
        </is>
      </c>
      <c r="D694" s="14" t="inlineStr">
        <is>
          <t>Kids (fumetti)</t>
        </is>
      </c>
      <c r="E694" s="14" t="inlineStr">
        <is>
          <t>6+</t>
        </is>
      </c>
      <c r="F694" s="14" t="inlineStr">
        <is>
          <t>Prime letture (6-8)</t>
        </is>
      </c>
      <c r="G694" s="14" t="inlineStr">
        <is>
          <t>Graphic novel/Fumetto</t>
        </is>
      </c>
      <c r="H694" s="14" t="inlineStr"/>
      <c r="I694" s="14" t="inlineStr">
        <is>
          <t>No</t>
        </is>
      </c>
      <c r="J694" s="14" t="inlineStr">
        <is>
          <t>Catalogo</t>
        </is>
      </c>
      <c r="K694" s="14" t="inlineStr">
        <is>
          <t>prime letture</t>
        </is>
      </c>
      <c r="L694" s="14" t="inlineStr">
        <is>
          <t>https://www.tunue.com/product-category/graphic-novel-per-ragazzi/</t>
        </is>
      </c>
      <c r="M694" s="16" t="n">
        <v>15.5</v>
      </c>
      <c r="N694" s="14" t="inlineStr">
        <is>
          <t>Sito Tunué (prezzo di un volume della serie)</t>
        </is>
      </c>
      <c r="O694" s="16">
        <f>IF(ISNUMBER(M694),ROUND(M694*(1-Condizioni!$B$2),2),"")</f>
        <v/>
      </c>
      <c r="P694" s="17" t="inlineStr">
        <is>
          <t>Sì</t>
        </is>
      </c>
    </row>
    <row r="695">
      <c r="A695" s="14" t="inlineStr">
        <is>
          <t>Tunuè</t>
        </is>
      </c>
      <c r="B695" s="14" t="inlineStr">
        <is>
          <t>Monster Allergy (serie)</t>
        </is>
      </c>
      <c r="C695" s="14" t="inlineStr">
        <is>
          <t>Katja Centomo, Francesco Artibani, Alessandro Barbucci e Barbara Canepa</t>
        </is>
      </c>
      <c r="D695" s="14" t="inlineStr">
        <is>
          <t>Kids (fumetti)</t>
        </is>
      </c>
      <c r="E695" s="14" t="inlineStr">
        <is>
          <t>6+</t>
        </is>
      </c>
      <c r="F695" s="14" t="inlineStr">
        <is>
          <t>Prime letture (6-8)</t>
        </is>
      </c>
      <c r="G695" s="14" t="inlineStr">
        <is>
          <t>Graphic novel/Fumetto</t>
        </is>
      </c>
      <c r="H695" s="14" t="inlineStr"/>
      <c r="I695" s="14" t="inlineStr">
        <is>
          <t>No</t>
        </is>
      </c>
      <c r="J695" s="14" t="inlineStr">
        <is>
          <t>Catalogo</t>
        </is>
      </c>
      <c r="K695" s="14" t="inlineStr">
        <is>
          <t>prime letture</t>
        </is>
      </c>
      <c r="L695" s="14" t="inlineStr">
        <is>
          <t>https://www.tunue.com/product-category/graphic-novel-per-ragazzi/</t>
        </is>
      </c>
      <c r="M695" s="16" t="n">
        <v>14.5</v>
      </c>
      <c r="N695" s="14" t="inlineStr">
        <is>
          <t>Sito Tunué (prezzo di un volume della serie)</t>
        </is>
      </c>
      <c r="O695" s="16">
        <f>IF(ISNUMBER(M695),ROUND(M695*(1-Condizioni!$B$2),2),"")</f>
        <v/>
      </c>
      <c r="P695" s="17" t="inlineStr">
        <is>
          <t>Sì</t>
        </is>
      </c>
    </row>
    <row r="696">
      <c r="A696" s="14" t="inlineStr">
        <is>
          <t>Tunuè</t>
        </is>
      </c>
      <c r="B696" s="14" t="inlineStr">
        <is>
          <t>Terry Time e il coraggio della Resistenza</t>
        </is>
      </c>
      <c r="C696" s="14" t="inlineStr">
        <is>
          <t>Gud</t>
        </is>
      </c>
      <c r="D696" s="14" t="inlineStr">
        <is>
          <t>Kids (fumetti)</t>
        </is>
      </c>
      <c r="E696" s="14" t="inlineStr">
        <is>
          <t>7+</t>
        </is>
      </c>
      <c r="F696" s="14" t="inlineStr">
        <is>
          <t>Prime letture (6-8)</t>
        </is>
      </c>
      <c r="G696" s="14" t="inlineStr">
        <is>
          <t>Graphic novel/Fumetto</t>
        </is>
      </c>
      <c r="H696" s="14" t="inlineStr"/>
      <c r="I696" s="14" t="inlineStr">
        <is>
          <t>No</t>
        </is>
      </c>
      <c r="J696" s="14" t="inlineStr">
        <is>
          <t>Catalogo</t>
        </is>
      </c>
      <c r="K696" s="14" t="inlineStr">
        <is>
          <t>prime letture</t>
        </is>
      </c>
      <c r="L696" s="14" t="inlineStr">
        <is>
          <t>https://www.tunue.com/product-category/graphic-novel-per-ragazzi/</t>
        </is>
      </c>
      <c r="M696" s="16" t="n">
        <v>14.5</v>
      </c>
      <c r="N696" s="14" t="inlineStr">
        <is>
          <t>Sito Tunué (prezzo di un volume della serie)</t>
        </is>
      </c>
      <c r="O696" s="16">
        <f>IF(ISNUMBER(M696),ROUND(M696*(1-Condizioni!$B$2),2),"")</f>
        <v/>
      </c>
      <c r="P696" s="17" t="inlineStr">
        <is>
          <t>Sì</t>
        </is>
      </c>
    </row>
    <row r="697">
      <c r="A697" s="14" t="inlineStr">
        <is>
          <t>Tunuè</t>
        </is>
      </c>
      <c r="B697" s="14" t="inlineStr">
        <is>
          <t>Investigators (serie)</t>
        </is>
      </c>
      <c r="C697" s="14" t="inlineStr">
        <is>
          <t>John Patrick Green</t>
        </is>
      </c>
      <c r="D697" s="14" t="inlineStr">
        <is>
          <t>Kids (fumetti)</t>
        </is>
      </c>
      <c r="E697" s="14" t="inlineStr">
        <is>
          <t>8+</t>
        </is>
      </c>
      <c r="F697" s="14" t="inlineStr">
        <is>
          <t>8+</t>
        </is>
      </c>
      <c r="G697" s="14" t="inlineStr">
        <is>
          <t>Graphic novel/Fumetto</t>
        </is>
      </c>
      <c r="H697" s="14" t="inlineStr"/>
      <c r="I697" s="14" t="inlineStr">
        <is>
          <t>No</t>
        </is>
      </c>
      <c r="J697" s="14" t="inlineStr">
        <is>
          <t>Catalogo</t>
        </is>
      </c>
      <c r="K697" s="14" t="inlineStr">
        <is>
          <t>8+</t>
        </is>
      </c>
      <c r="L697" s="14" t="inlineStr">
        <is>
          <t>https://www.tunue.com/product-category/graphic-novel-per-ragazzi/</t>
        </is>
      </c>
      <c r="M697" s="16" t="n">
        <v>15.5</v>
      </c>
      <c r="N697" s="14" t="inlineStr">
        <is>
          <t>Sito Tunué (prezzo di un volume della serie)</t>
        </is>
      </c>
      <c r="O697" s="16">
        <f>IF(ISNUMBER(M697),ROUND(M697*(1-Condizioni!$B$2),2),"")</f>
        <v/>
      </c>
      <c r="P697" s="17" t="inlineStr">
        <is>
          <t>Sì</t>
        </is>
      </c>
    </row>
    <row r="698">
      <c r="A698" s="14" t="inlineStr">
        <is>
          <t>Tunuè</t>
        </is>
      </c>
      <c r="B698" s="14" t="inlineStr">
        <is>
          <t>Strega a modo mio (serie)</t>
        </is>
      </c>
      <c r="C698" s="14" t="inlineStr">
        <is>
          <t>Emma Steinkellner</t>
        </is>
      </c>
      <c r="D698" s="14" t="inlineStr">
        <is>
          <t>Kids (fumetti)</t>
        </is>
      </c>
      <c r="E698" s="14" t="inlineStr">
        <is>
          <t>8+</t>
        </is>
      </c>
      <c r="F698" s="14" t="inlineStr">
        <is>
          <t>8+</t>
        </is>
      </c>
      <c r="G698" s="14" t="inlineStr">
        <is>
          <t>Graphic novel/Fumetto</t>
        </is>
      </c>
      <c r="H698" s="14" t="inlineStr"/>
      <c r="I698" s="14" t="inlineStr">
        <is>
          <t>No</t>
        </is>
      </c>
      <c r="J698" s="14" t="inlineStr">
        <is>
          <t>Catalogo</t>
        </is>
      </c>
      <c r="K698" s="14" t="inlineStr">
        <is>
          <t>8+</t>
        </is>
      </c>
      <c r="L698" s="14" t="inlineStr">
        <is>
          <t>https://www.tunue.com/product-category/graphic-novel-per-ragazzi/</t>
        </is>
      </c>
      <c r="M698" s="16" t="n">
        <v>16.5</v>
      </c>
      <c r="N698" s="14" t="inlineStr">
        <is>
          <t>Sito Tunué (prezzo di un volume della serie)</t>
        </is>
      </c>
      <c r="O698" s="16">
        <f>IF(ISNUMBER(M698),ROUND(M698*(1-Condizioni!$B$2),2),"")</f>
        <v/>
      </c>
      <c r="P698" s="17" t="inlineStr">
        <is>
          <t>Sì</t>
        </is>
      </c>
    </row>
    <row r="699">
      <c r="A699" s="14" t="inlineStr">
        <is>
          <t>Tunuè</t>
        </is>
      </c>
      <c r="B699" s="14" t="inlineStr">
        <is>
          <t>Le sorelle Grémillet (serie)</t>
        </is>
      </c>
      <c r="C699" s="14" t="inlineStr">
        <is>
          <t>Alessandro Barbucci e Giovanni Di Gregorio</t>
        </is>
      </c>
      <c r="D699" s="14" t="inlineStr">
        <is>
          <t>Kids / Young Adult</t>
        </is>
      </c>
      <c r="E699" s="14" t="inlineStr">
        <is>
          <t>9+</t>
        </is>
      </c>
      <c r="F699" s="14" t="inlineStr">
        <is>
          <t>9+</t>
        </is>
      </c>
      <c r="G699" s="14" t="inlineStr">
        <is>
          <t>Graphic novel/Fumetto</t>
        </is>
      </c>
      <c r="H699" s="14" t="inlineStr">
        <is>
          <t>Famiglia / crescita</t>
        </is>
      </c>
      <c r="I699" s="14" t="inlineStr">
        <is>
          <t>No</t>
        </is>
      </c>
      <c r="J699" s="14" t="inlineStr">
        <is>
          <t>Catalogo</t>
        </is>
      </c>
      <c r="K699" s="14" t="inlineStr">
        <is>
          <t>9+</t>
        </is>
      </c>
      <c r="L699" s="14" t="inlineStr">
        <is>
          <t>https://www.tunue.com/product-category/young-adult/</t>
        </is>
      </c>
      <c r="M699" s="16" t="n">
        <v>16.9</v>
      </c>
      <c r="N699" s="14" t="inlineStr">
        <is>
          <t>Sito Tunué (prezzo di un volume della serie)</t>
        </is>
      </c>
      <c r="O699" s="16">
        <f>IF(ISNUMBER(M699),ROUND(M699*(1-Condizioni!$B$2),2),"")</f>
        <v/>
      </c>
      <c r="P699" s="17" t="inlineStr">
        <is>
          <t>Sì</t>
        </is>
      </c>
    </row>
    <row r="700">
      <c r="A700" s="14" t="inlineStr">
        <is>
          <t>Tunuè</t>
        </is>
      </c>
      <c r="B700" s="14" t="inlineStr">
        <is>
          <t>American Born Chinese</t>
        </is>
      </c>
      <c r="C700" s="14" t="inlineStr">
        <is>
          <t>Gene Luen Yang</t>
        </is>
      </c>
      <c r="D700" s="14" t="inlineStr">
        <is>
          <t>Tipitondi / Young Adult</t>
        </is>
      </c>
      <c r="E700" s="14" t="inlineStr">
        <is>
          <t>12+</t>
        </is>
      </c>
      <c r="F700" s="14" t="inlineStr">
        <is>
          <t>Scuola media (11-13)</t>
        </is>
      </c>
      <c r="G700" s="14" t="inlineStr">
        <is>
          <t>Graphic novel/Fumetto</t>
        </is>
      </c>
      <c r="H700" s="14" t="inlineStr">
        <is>
          <t>Bullismo, identità e razzismo</t>
        </is>
      </c>
      <c r="I700" s="14" t="inlineStr">
        <is>
          <t>No</t>
        </is>
      </c>
      <c r="J700" s="14" t="inlineStr">
        <is>
          <t>Catalogo</t>
        </is>
      </c>
      <c r="K700" s="14" t="inlineStr">
        <is>
          <t>prima/seconda/terza media, bullismo</t>
        </is>
      </c>
      <c r="L700" s="14" t="inlineStr">
        <is>
          <t>https://www.tunue.com/product-tag/bullying/</t>
        </is>
      </c>
      <c r="M700" s="16" t="n">
        <v>19</v>
      </c>
      <c r="N700" s="14" t="inlineStr">
        <is>
          <t>Sito Tunué (prezzo di un volume della serie)</t>
        </is>
      </c>
      <c r="O700" s="16">
        <f>IF(ISNUMBER(M700),ROUND(M700*(1-Condizioni!$B$2),2),"")</f>
        <v/>
      </c>
      <c r="P700" s="17" t="inlineStr">
        <is>
          <t>Sì</t>
        </is>
      </c>
    </row>
    <row r="701">
      <c r="A701" s="14" t="inlineStr">
        <is>
          <t>Tunuè</t>
        </is>
      </c>
      <c r="B701" s="14" t="inlineStr">
        <is>
          <t>Angelica e il principe orso (in arrivo)</t>
        </is>
      </c>
      <c r="C701" s="14" t="inlineStr">
        <is>
          <t>n.d.</t>
        </is>
      </c>
      <c r="D701" s="14" t="inlineStr">
        <is>
          <t>Young Adult</t>
        </is>
      </c>
      <c r="E701" s="14" t="inlineStr">
        <is>
          <t>12-21</t>
        </is>
      </c>
      <c r="F701" s="14" t="inlineStr">
        <is>
          <t>Adolescenza (14+)</t>
        </is>
      </c>
      <c r="G701" s="14" t="inlineStr">
        <is>
          <t>Graphic novel/Fumetto</t>
        </is>
      </c>
      <c r="H701" s="14" t="inlineStr"/>
      <c r="I701" s="14" t="inlineStr">
        <is>
          <t>No</t>
        </is>
      </c>
      <c r="J701" s="14" t="inlineStr">
        <is>
          <t>Catalogo</t>
        </is>
      </c>
      <c r="K701" s="14" t="inlineStr">
        <is>
          <t>adolescenza</t>
        </is>
      </c>
      <c r="L701" s="14" t="inlineStr">
        <is>
          <t>https://www.tunue.com/product-category/young-adult/</t>
        </is>
      </c>
      <c r="M701" s="16" t="n">
        <v>17.5</v>
      </c>
      <c r="N701" s="14" t="inlineStr">
        <is>
          <t>https://www.ibs.it/x/e/9788867908424</t>
        </is>
      </c>
      <c r="O701" s="16">
        <f>IF(ISNUMBER(M701),ROUND(M701*(1-Condizioni!$B$2),2),"")</f>
        <v/>
      </c>
      <c r="P701" s="17" t="inlineStr">
        <is>
          <t>Sì</t>
        </is>
      </c>
    </row>
    <row r="702">
      <c r="A702" s="14" t="inlineStr">
        <is>
          <t>Tunuè</t>
        </is>
      </c>
      <c r="B702" s="14" t="inlineStr">
        <is>
          <t>L'Attraversaspecchi, vol. 1 – Fidanzati dell'inverno</t>
        </is>
      </c>
      <c r="C702" s="14" t="inlineStr">
        <is>
          <t>n.d.</t>
        </is>
      </c>
      <c r="D702" s="14" t="inlineStr">
        <is>
          <t>Young Adult</t>
        </is>
      </c>
      <c r="E702" s="14" t="inlineStr">
        <is>
          <t>12-21</t>
        </is>
      </c>
      <c r="F702" s="14" t="inlineStr">
        <is>
          <t>Adolescenza (14+)</t>
        </is>
      </c>
      <c r="G702" s="14" t="inlineStr">
        <is>
          <t>Graphic novel/Fumetto</t>
        </is>
      </c>
      <c r="H702" s="14" t="inlineStr"/>
      <c r="I702" s="14" t="inlineStr">
        <is>
          <t>No</t>
        </is>
      </c>
      <c r="J702" s="14" t="inlineStr">
        <is>
          <t>Catalogo</t>
        </is>
      </c>
      <c r="K702" s="14" t="inlineStr">
        <is>
          <t>adolescenza</t>
        </is>
      </c>
      <c r="L702" s="14" t="inlineStr">
        <is>
          <t>https://www.tunue.com/product-category/young-adult/</t>
        </is>
      </c>
      <c r="M702" s="16" t="n">
        <v>27</v>
      </c>
      <c r="N702" s="14" t="inlineStr">
        <is>
          <t>https://www.ibs.it/x/e/9788867908721</t>
        </is>
      </c>
      <c r="O702" s="16">
        <f>IF(ISNUMBER(M702),ROUND(M702*(1-Condizioni!$B$2),2),"")</f>
        <v/>
      </c>
      <c r="P702" s="17" t="inlineStr">
        <is>
          <t>Sì</t>
        </is>
      </c>
    </row>
    <row r="703">
      <c r="A703" s="14" t="inlineStr">
        <is>
          <t>Tunuè</t>
        </is>
      </c>
      <c r="B703" s="14" t="inlineStr">
        <is>
          <t>Noi due</t>
        </is>
      </c>
      <c r="C703" s="14" t="inlineStr">
        <is>
          <t>n.d.</t>
        </is>
      </c>
      <c r="D703" s="14" t="inlineStr">
        <is>
          <t>Young Adult</t>
        </is>
      </c>
      <c r="E703" s="14" t="inlineStr">
        <is>
          <t>12-21</t>
        </is>
      </c>
      <c r="F703" s="14" t="inlineStr">
        <is>
          <t>Adolescenza (14+)</t>
        </is>
      </c>
      <c r="G703" s="14" t="inlineStr">
        <is>
          <t>Graphic novel/Fumetto</t>
        </is>
      </c>
      <c r="H703" s="14" t="inlineStr">
        <is>
          <t>Relazioni</t>
        </is>
      </c>
      <c r="I703" s="14" t="inlineStr">
        <is>
          <t>No</t>
        </is>
      </c>
      <c r="J703" s="14" t="inlineStr">
        <is>
          <t>Catalogo</t>
        </is>
      </c>
      <c r="K703" s="14" t="inlineStr">
        <is>
          <t>adolescenza</t>
        </is>
      </c>
      <c r="L703" s="14" t="inlineStr">
        <is>
          <t>https://www.tunue.com/product-category/young-adult/</t>
        </is>
      </c>
      <c r="M703" s="16" t="n">
        <v>17.5</v>
      </c>
      <c r="N703" s="14" t="inlineStr">
        <is>
          <t>https://www.ibs.it/x/e/9788867906895</t>
        </is>
      </c>
      <c r="O703" s="16">
        <f>IF(ISNUMBER(M703),ROUND(M703*(1-Condizioni!$B$2),2),"")</f>
        <v/>
      </c>
      <c r="P703" s="17" t="inlineStr">
        <is>
          <t>Sì</t>
        </is>
      </c>
    </row>
    <row r="704">
      <c r="A704" s="14" t="inlineStr">
        <is>
          <t>Cronache Ribelli</t>
        </is>
      </c>
      <c r="B704" s="14" t="inlineStr">
        <is>
          <t>C'era una (ri)volta – Quaranta storie da leggere e colorare (vol. I)</t>
        </is>
      </c>
      <c r="C704" s="14" t="inlineStr">
        <is>
          <t>AA.VV.</t>
        </is>
      </c>
      <c r="D704" s="14" t="inlineStr">
        <is>
          <t>Libri per bambin* e ragazz*</t>
        </is>
      </c>
      <c r="E704" s="14" t="inlineStr">
        <is>
          <t>6-10 anni</t>
        </is>
      </c>
      <c r="F704" s="14" t="inlineStr">
        <is>
          <t>Prime letture (6-8)</t>
        </is>
      </c>
      <c r="G704" s="14" t="inlineStr">
        <is>
          <t>Narrativa</t>
        </is>
      </c>
      <c r="H704" s="14" t="inlineStr">
        <is>
          <t>Diritti, antirazzismo, omofobia, violenza di genere, povertà</t>
        </is>
      </c>
      <c r="I704" s="14" t="inlineStr">
        <is>
          <t>No</t>
        </is>
      </c>
      <c r="J704" s="14" t="inlineStr">
        <is>
          <t>Catalogo</t>
        </is>
      </c>
      <c r="K704" s="14" t="inlineStr">
        <is>
          <t>prime letture, narrativa</t>
        </is>
      </c>
      <c r="L704" s="14" t="inlineStr">
        <is>
          <t>https://cronacheribelli.it/collections/libri-per-bambin-e-ragazz</t>
        </is>
      </c>
      <c r="M704" s="16" t="n">
        <v>9</v>
      </c>
      <c r="N704" s="14" t="inlineStr">
        <is>
          <t>https://www.bookletnews.it/index.php/catalogo/cronache-ribelli</t>
        </is>
      </c>
      <c r="O704" s="16">
        <f>IF(ISNUMBER(M704),ROUND(M704*(1-Condizioni!$B$2),2),"")</f>
        <v/>
      </c>
      <c r="P704" s="17" t="inlineStr">
        <is>
          <t>Sì</t>
        </is>
      </c>
    </row>
    <row r="705">
      <c r="A705" s="14" t="inlineStr">
        <is>
          <t>Cronache Ribelli</t>
        </is>
      </c>
      <c r="B705" s="14" t="inlineStr">
        <is>
          <t>C'era una (ri)volta – Quaranta storie da leggere e colorare (vol. II)</t>
        </is>
      </c>
      <c r="C705" s="14" t="inlineStr">
        <is>
          <t>AA.VV.</t>
        </is>
      </c>
      <c r="D705" s="14" t="inlineStr">
        <is>
          <t>Libri per bambin* e ragazz*</t>
        </is>
      </c>
      <c r="E705" s="14" t="inlineStr">
        <is>
          <t>6-10 anni</t>
        </is>
      </c>
      <c r="F705" s="14" t="inlineStr">
        <is>
          <t>Prime letture (6-8)</t>
        </is>
      </c>
      <c r="G705" s="14" t="inlineStr">
        <is>
          <t>Narrativa</t>
        </is>
      </c>
      <c r="H705" s="14" t="inlineStr">
        <is>
          <t>Diritti, antirazzismo, lotte sociali</t>
        </is>
      </c>
      <c r="I705" s="14" t="inlineStr">
        <is>
          <t>No</t>
        </is>
      </c>
      <c r="J705" s="14" t="inlineStr">
        <is>
          <t>Catalogo</t>
        </is>
      </c>
      <c r="K705" s="14" t="inlineStr">
        <is>
          <t>prime letture, narrativa</t>
        </is>
      </c>
      <c r="L705" s="14" t="inlineStr">
        <is>
          <t>https://cronacheribelli.it/collections/libri-per-bambin-e-ragazz</t>
        </is>
      </c>
      <c r="M705" s="16" t="n">
        <v>18</v>
      </c>
      <c r="N705" s="14" t="inlineStr">
        <is>
          <t>https://cronacheribelli.it/products/cera-una-rivolta-volume-ii-quaranta-storie-da-leggere-e-colorare</t>
        </is>
      </c>
      <c r="O705" s="16">
        <f>IF(ISNUMBER(M705),ROUND(M705*(1-Condizioni!$B$2),2),"")</f>
        <v/>
      </c>
      <c r="P705" s="17" t="inlineStr">
        <is>
          <t>Sì</t>
        </is>
      </c>
    </row>
    <row r="706">
      <c r="A706" s="14" t="inlineStr">
        <is>
          <t>Cronache Ribelli</t>
        </is>
      </c>
      <c r="B706" s="14" t="inlineStr">
        <is>
          <t>Laika e i cani venuti dallo spazio</t>
        </is>
      </c>
      <c r="C706" s="14" t="inlineStr">
        <is>
          <t>Francesco Velardi; ill. Francesca Mantuano</t>
        </is>
      </c>
      <c r="D706" s="14" t="inlineStr">
        <is>
          <t>Libri per bambin* e ragazz*</t>
        </is>
      </c>
      <c r="E706" s="14" t="inlineStr">
        <is>
          <t>da 3 anni</t>
        </is>
      </c>
      <c r="F706" s="14" t="inlineStr">
        <is>
          <t>3-6 anni</t>
        </is>
      </c>
      <c r="G706" s="14" t="inlineStr">
        <is>
          <t>Albo illustrato</t>
        </is>
      </c>
      <c r="H706" s="14" t="inlineStr"/>
      <c r="I706" s="14" t="inlineStr">
        <is>
          <t>No</t>
        </is>
      </c>
      <c r="J706" s="14" t="inlineStr">
        <is>
          <t>Verificata (IBS / editore)</t>
        </is>
      </c>
      <c r="K706" s="14" t="inlineStr">
        <is>
          <t>3-6 anni</t>
        </is>
      </c>
      <c r="L706" s="14" t="inlineStr">
        <is>
          <t>https://cronacheribelli.it/collections/libri-per-bambin-e-ragazz</t>
        </is>
      </c>
      <c r="M706" s="16" t="n">
        <v>18</v>
      </c>
      <c r="N706" s="14" t="inlineStr">
        <is>
          <t>https://cronacheribelli.it/products/laika-e-i-cani-venuti-dallo-spazio</t>
        </is>
      </c>
      <c r="O706" s="16">
        <f>IF(ISNUMBER(M706),ROUND(M706*(1-Condizioni!$B$2),2),"")</f>
        <v/>
      </c>
      <c r="P706" s="17" t="inlineStr">
        <is>
          <t>Sì</t>
        </is>
      </c>
    </row>
    <row r="707">
      <c r="A707" s="14" t="inlineStr">
        <is>
          <t>Dalia Edizioni</t>
        </is>
      </c>
      <c r="B707" s="14" t="inlineStr">
        <is>
          <t>Alla scoperta della libertà</t>
        </is>
      </c>
      <c r="C707" s="14" t="inlineStr">
        <is>
          <t>Giulia Ceccarani</t>
        </is>
      </c>
      <c r="D707" s="14" t="inlineStr">
        <is>
          <t>Dalia Ragazzi</t>
        </is>
      </c>
      <c r="E707" s="14" t="inlineStr">
        <is>
          <t>5+</t>
        </is>
      </c>
      <c r="F707" s="14" t="inlineStr">
        <is>
          <t>3-6 anni</t>
        </is>
      </c>
      <c r="G707" s="14" t="inlineStr">
        <is>
          <t>Narrativa</t>
        </is>
      </c>
      <c r="H707" s="14" t="inlineStr">
        <is>
          <t>Libertà, regole ed educazione civica</t>
        </is>
      </c>
      <c r="I707" s="14" t="inlineStr">
        <is>
          <t>No</t>
        </is>
      </c>
      <c r="J707" s="14" t="inlineStr">
        <is>
          <t>Catalogo</t>
        </is>
      </c>
      <c r="K707" s="14" t="inlineStr">
        <is>
          <t>3-6 anni, narrativa</t>
        </is>
      </c>
      <c r="L707" s="14" t="inlineStr">
        <is>
          <t>https://www.daliaedizioni.it/categoria-prodotto/illustrati-kids/</t>
        </is>
      </c>
      <c r="M707" s="16" t="n">
        <v>12.9</v>
      </c>
      <c r="N707" s="14" t="inlineStr">
        <is>
          <t>Sito Dalia Edizioni</t>
        </is>
      </c>
      <c r="O707" s="16">
        <f>IF(ISNUMBER(M707),ROUND(M707*(1-Condizioni!$B$2),2),"")</f>
        <v/>
      </c>
      <c r="P707" s="17" t="inlineStr">
        <is>
          <t>Sì</t>
        </is>
      </c>
    </row>
    <row r="708">
      <c r="A708" s="14" t="inlineStr">
        <is>
          <t>Dalia Edizioni</t>
        </is>
      </c>
      <c r="B708" s="14" t="inlineStr">
        <is>
          <t>Argo e Calypso, cani da biblioteca</t>
        </is>
      </c>
      <c r="C708" s="14" t="inlineStr">
        <is>
          <t>Andrea Laprovitera; ill. Andrea Camič</t>
        </is>
      </c>
      <c r="D708" s="14" t="inlineStr">
        <is>
          <t>Dalia Ragazzi</t>
        </is>
      </c>
      <c r="E708" s="14" t="inlineStr">
        <is>
          <t>5+</t>
        </is>
      </c>
      <c r="F708" s="14" t="inlineStr">
        <is>
          <t>3-6 anni</t>
        </is>
      </c>
      <c r="G708" s="14" t="inlineStr">
        <is>
          <t>Narrativa</t>
        </is>
      </c>
      <c r="H708" s="14" t="inlineStr">
        <is>
          <t>Bullismo, timidezza e coraggio</t>
        </is>
      </c>
      <c r="I708" s="14" t="inlineStr">
        <is>
          <t>No</t>
        </is>
      </c>
      <c r="J708" s="14" t="inlineStr">
        <is>
          <t>Catalogo</t>
        </is>
      </c>
      <c r="K708" s="14" t="inlineStr">
        <is>
          <t>3-6 anni, narrativa, bullismo</t>
        </is>
      </c>
      <c r="L708" s="14" t="inlineStr">
        <is>
          <t>https://www.daliaedizioni.it/categoria-prodotto/illustrati-kids/</t>
        </is>
      </c>
      <c r="M708" s="16" t="n">
        <v>12.9</v>
      </c>
      <c r="N708" s="14" t="inlineStr">
        <is>
          <t>Sito Dalia Edizioni</t>
        </is>
      </c>
      <c r="O708" s="16">
        <f>IF(ISNUMBER(M708),ROUND(M708*(1-Condizioni!$B$2),2),"")</f>
        <v/>
      </c>
      <c r="P708" s="17" t="inlineStr">
        <is>
          <t>Sì</t>
        </is>
      </c>
    </row>
    <row r="709">
      <c r="A709" s="14" t="inlineStr">
        <is>
          <t>Dalia Edizioni</t>
        </is>
      </c>
      <c r="B709" s="14" t="inlineStr">
        <is>
          <t>Arturo e Nadir</t>
        </is>
      </c>
      <c r="C709" s="14" t="inlineStr">
        <is>
          <t>Roberta Argenti; ill. Andrea Camič</t>
        </is>
      </c>
      <c r="D709" s="14" t="inlineStr">
        <is>
          <t>Dalia Ragazzi</t>
        </is>
      </c>
      <c r="E709" s="14" t="inlineStr">
        <is>
          <t>5+</t>
        </is>
      </c>
      <c r="F709" s="14" t="inlineStr">
        <is>
          <t>3-6 anni</t>
        </is>
      </c>
      <c r="G709" s="14" t="inlineStr">
        <is>
          <t>Narrativa</t>
        </is>
      </c>
      <c r="H709" s="14" t="inlineStr">
        <is>
          <t>Amicizia, multicultura e pace</t>
        </is>
      </c>
      <c r="I709" s="14" t="inlineStr">
        <is>
          <t>No</t>
        </is>
      </c>
      <c r="J709" s="14" t="inlineStr">
        <is>
          <t>Catalogo</t>
        </is>
      </c>
      <c r="K709" s="14" t="inlineStr">
        <is>
          <t>3-6 anni, narrativa</t>
        </is>
      </c>
      <c r="L709" s="14" t="inlineStr">
        <is>
          <t>https://www.daliaedizioni.it/categoria-prodotto/illustrati-kids/</t>
        </is>
      </c>
      <c r="M709" s="16" t="n">
        <v>12.9</v>
      </c>
      <c r="N709" s="14" t="inlineStr">
        <is>
          <t>Sito Dalia Edizioni</t>
        </is>
      </c>
      <c r="O709" s="16">
        <f>IF(ISNUMBER(M709),ROUND(M709*(1-Condizioni!$B$2),2),"")</f>
        <v/>
      </c>
      <c r="P709" s="17" t="inlineStr">
        <is>
          <t>Sì</t>
        </is>
      </c>
    </row>
    <row r="710">
      <c r="A710" s="14" t="inlineStr">
        <is>
          <t>Dalia Edizioni</t>
        </is>
      </c>
      <c r="B710" s="14" t="inlineStr">
        <is>
          <t>Damian e la Lupa</t>
        </is>
      </c>
      <c r="C710" s="14" t="inlineStr">
        <is>
          <t>Paola Roela; ill. Andrea Camič</t>
        </is>
      </c>
      <c r="D710" s="14" t="inlineStr">
        <is>
          <t>Dalia Ragazzi</t>
        </is>
      </c>
      <c r="E710" s="14" t="inlineStr">
        <is>
          <t>5+</t>
        </is>
      </c>
      <c r="F710" s="14" t="inlineStr">
        <is>
          <t>3-6 anni</t>
        </is>
      </c>
      <c r="G710" s="14" t="inlineStr">
        <is>
          <t>Narrativa</t>
        </is>
      </c>
      <c r="H710" s="14" t="inlineStr">
        <is>
          <t>Amicizia e aiuto reciproco</t>
        </is>
      </c>
      <c r="I710" s="14" t="inlineStr">
        <is>
          <t>No</t>
        </is>
      </c>
      <c r="J710" s="14" t="inlineStr">
        <is>
          <t>Catalogo</t>
        </is>
      </c>
      <c r="K710" s="14" t="inlineStr">
        <is>
          <t>3-6 anni, narrativa</t>
        </is>
      </c>
      <c r="L710" s="14" t="inlineStr">
        <is>
          <t>https://www.daliaedizioni.it/categoria-prodotto/illustrati-kids/</t>
        </is>
      </c>
      <c r="M710" s="16" t="n">
        <v>12.9</v>
      </c>
      <c r="N710" s="14" t="inlineStr">
        <is>
          <t>Sito Dalia Edizioni</t>
        </is>
      </c>
      <c r="O710" s="16">
        <f>IF(ISNUMBER(M710),ROUND(M710*(1-Condizioni!$B$2),2),"")</f>
        <v/>
      </c>
      <c r="P710" s="17" t="inlineStr">
        <is>
          <t>Sì</t>
        </is>
      </c>
    </row>
    <row r="711">
      <c r="A711" s="14" t="inlineStr">
        <is>
          <t>Dalia Edizioni</t>
        </is>
      </c>
      <c r="B711" s="14" t="inlineStr">
        <is>
          <t>Il mio superpotere è la gentilezza</t>
        </is>
      </c>
      <c r="C711" s="14" t="inlineStr">
        <is>
          <t>Giulia Ceccarani</t>
        </is>
      </c>
      <c r="D711" s="14" t="inlineStr">
        <is>
          <t>Dalia Ragazzi</t>
        </is>
      </c>
      <c r="E711" s="14" t="inlineStr">
        <is>
          <t>5+</t>
        </is>
      </c>
      <c r="F711" s="14" t="inlineStr">
        <is>
          <t>3-6 anni</t>
        </is>
      </c>
      <c r="G711" s="14" t="inlineStr">
        <is>
          <t>Narrativa</t>
        </is>
      </c>
      <c r="H711" s="14" t="inlineStr">
        <is>
          <t>Gentilezza, rispetto e ambiente</t>
        </is>
      </c>
      <c r="I711" s="14" t="inlineStr">
        <is>
          <t>No</t>
        </is>
      </c>
      <c r="J711" s="14" t="inlineStr">
        <is>
          <t>Catalogo</t>
        </is>
      </c>
      <c r="K711" s="14" t="inlineStr">
        <is>
          <t>3-6 anni, narrativa</t>
        </is>
      </c>
      <c r="L711" s="14" t="inlineStr">
        <is>
          <t>https://www.daliaedizioni.it/categoria-prodotto/illustrati-kids/</t>
        </is>
      </c>
      <c r="M711" s="16" t="n">
        <v>12.9</v>
      </c>
      <c r="N711" s="14" t="inlineStr">
        <is>
          <t>Sito Dalia Edizioni</t>
        </is>
      </c>
      <c r="O711" s="16">
        <f>IF(ISNUMBER(M711),ROUND(M711*(1-Condizioni!$B$2),2),"")</f>
        <v/>
      </c>
      <c r="P711" s="17" t="inlineStr">
        <is>
          <t>Sì</t>
        </is>
      </c>
    </row>
    <row r="712">
      <c r="A712" s="14" t="inlineStr">
        <is>
          <t>Dalia Edizioni</t>
        </is>
      </c>
      <c r="B712" s="14" t="inlineStr">
        <is>
          <t>Il mistero di Pyrgi. Avventura tra gli Etruschi</t>
        </is>
      </c>
      <c r="C712" s="14" t="inlineStr">
        <is>
          <t>Chiarastella Campanelli; ill. Chiara Bongiovanni</t>
        </is>
      </c>
      <c r="D712" s="14" t="inlineStr">
        <is>
          <t>Dalia Ragazzi</t>
        </is>
      </c>
      <c r="E712" s="14" t="inlineStr">
        <is>
          <t>5+</t>
        </is>
      </c>
      <c r="F712" s="14" t="inlineStr">
        <is>
          <t>3-6 anni</t>
        </is>
      </c>
      <c r="G712" s="14" t="inlineStr">
        <is>
          <t>Narrativa</t>
        </is>
      </c>
      <c r="H712" s="14" t="inlineStr">
        <is>
          <t>Storia: gli Etruschi</t>
        </is>
      </c>
      <c r="I712" s="14" t="inlineStr">
        <is>
          <t>No</t>
        </is>
      </c>
      <c r="J712" s="14" t="inlineStr">
        <is>
          <t>Catalogo</t>
        </is>
      </c>
      <c r="K712" s="14" t="inlineStr">
        <is>
          <t>3-6 anni, narrativa</t>
        </is>
      </c>
      <c r="L712" s="14" t="inlineStr">
        <is>
          <t>https://www.daliaedizioni.it/categoria-prodotto/illustrati-kids/</t>
        </is>
      </c>
      <c r="M712" s="16" t="n">
        <v>12.9</v>
      </c>
      <c r="N712" s="14" t="inlineStr">
        <is>
          <t>Sito Dalia Edizioni</t>
        </is>
      </c>
      <c r="O712" s="16">
        <f>IF(ISNUMBER(M712),ROUND(M712*(1-Condizioni!$B$2),2),"")</f>
        <v/>
      </c>
      <c r="P712" s="17" t="inlineStr">
        <is>
          <t>Sì</t>
        </is>
      </c>
    </row>
    <row r="713">
      <c r="A713" s="14" t="inlineStr">
        <is>
          <t>Dalia Edizioni</t>
        </is>
      </c>
      <c r="B713" s="14" t="inlineStr">
        <is>
          <t>Il vampiro Cicorione</t>
        </is>
      </c>
      <c r="C713" s="14" t="inlineStr">
        <is>
          <t>Silvia Crisostomi; ill. Daniel F. Pisanu</t>
        </is>
      </c>
      <c r="D713" s="14" t="inlineStr">
        <is>
          <t>Dalia Ragazzi</t>
        </is>
      </c>
      <c r="E713" s="14" t="inlineStr">
        <is>
          <t>5+</t>
        </is>
      </c>
      <c r="F713" s="14" t="inlineStr">
        <is>
          <t>3-6 anni</t>
        </is>
      </c>
      <c r="G713" s="14" t="inlineStr">
        <is>
          <t>Narrativa</t>
        </is>
      </c>
      <c r="H713" s="14" t="inlineStr">
        <is>
          <t>Diversità e accettazione di sé</t>
        </is>
      </c>
      <c r="I713" s="14" t="inlineStr">
        <is>
          <t>No</t>
        </is>
      </c>
      <c r="J713" s="14" t="inlineStr">
        <is>
          <t>Catalogo</t>
        </is>
      </c>
      <c r="K713" s="14" t="inlineStr">
        <is>
          <t>3-6 anni, narrativa</t>
        </is>
      </c>
      <c r="L713" s="14" t="inlineStr">
        <is>
          <t>https://www.daliaedizioni.it/categoria-prodotto/illustrati-kids/</t>
        </is>
      </c>
      <c r="M713" s="16" t="n">
        <v>12.9</v>
      </c>
      <c r="N713" s="14" t="inlineStr">
        <is>
          <t>Sito Dalia Edizioni</t>
        </is>
      </c>
      <c r="O713" s="16">
        <f>IF(ISNUMBER(M713),ROUND(M713*(1-Condizioni!$B$2),2),"")</f>
        <v/>
      </c>
      <c r="P713" s="17" t="inlineStr">
        <is>
          <t>Sì</t>
        </is>
      </c>
    </row>
    <row r="714">
      <c r="A714" s="14" t="inlineStr">
        <is>
          <t>Dalia Edizioni</t>
        </is>
      </c>
      <c r="B714" s="14" t="inlineStr">
        <is>
          <t>Slò, la magia della lentezza</t>
        </is>
      </c>
      <c r="C714" s="14" t="inlineStr">
        <is>
          <t>Giulia Ceccarani</t>
        </is>
      </c>
      <c r="D714" s="14" t="inlineStr">
        <is>
          <t>Dalia Ragazzi</t>
        </is>
      </c>
      <c r="E714" s="14" t="inlineStr">
        <is>
          <t>5+</t>
        </is>
      </c>
      <c r="F714" s="14" t="inlineStr">
        <is>
          <t>3-6 anni</t>
        </is>
      </c>
      <c r="G714" s="14" t="inlineStr">
        <is>
          <t>Narrativa</t>
        </is>
      </c>
      <c r="H714" s="14" t="inlineStr">
        <is>
          <t>Lentezza, natura e rispetto</t>
        </is>
      </c>
      <c r="I714" s="14" t="inlineStr">
        <is>
          <t>No</t>
        </is>
      </c>
      <c r="J714" s="14" t="inlineStr">
        <is>
          <t>Catalogo</t>
        </is>
      </c>
      <c r="K714" s="14" t="inlineStr">
        <is>
          <t>3-6 anni, narrativa</t>
        </is>
      </c>
      <c r="L714" s="14" t="inlineStr">
        <is>
          <t>https://www.daliaedizioni.it/categoria-prodotto/illustrati-kids/</t>
        </is>
      </c>
      <c r="M714" s="16" t="n">
        <v>12.9</v>
      </c>
      <c r="N714" s="14" t="inlineStr">
        <is>
          <t>Sito Dalia Edizioni</t>
        </is>
      </c>
      <c r="O714" s="16">
        <f>IF(ISNUMBER(M714),ROUND(M714*(1-Condizioni!$B$2),2),"")</f>
        <v/>
      </c>
      <c r="P714" s="17" t="inlineStr">
        <is>
          <t>Sì</t>
        </is>
      </c>
    </row>
    <row r="715">
      <c r="A715" s="14" t="inlineStr">
        <is>
          <t>Dalia Edizioni</t>
        </is>
      </c>
      <c r="B715" s="14" t="inlineStr">
        <is>
          <t>Benni, Celestina e 10 cuccioli da salvare</t>
        </is>
      </c>
      <c r="C715" s="14" t="inlineStr">
        <is>
          <t>Patrizia Fortunati; ill. Roberta Procacci</t>
        </is>
      </c>
      <c r="D715" s="14" t="inlineStr">
        <is>
          <t>Gli spericolati</t>
        </is>
      </c>
      <c r="E715" s="14" t="inlineStr">
        <is>
          <t>7+</t>
        </is>
      </c>
      <c r="F715" s="14" t="inlineStr">
        <is>
          <t>Prime letture (6-8)</t>
        </is>
      </c>
      <c r="G715" s="14" t="inlineStr">
        <is>
          <t>Narrativa</t>
        </is>
      </c>
      <c r="H715" s="14" t="inlineStr">
        <is>
          <t>Avventura e solidarietà</t>
        </is>
      </c>
      <c r="I715" s="14" t="inlineStr">
        <is>
          <t>No</t>
        </is>
      </c>
      <c r="J715" s="14" t="inlineStr">
        <is>
          <t>Catalogo</t>
        </is>
      </c>
      <c r="K715" s="14" t="inlineStr">
        <is>
          <t>prime letture, narrativa</t>
        </is>
      </c>
      <c r="L715" s="14" t="inlineStr">
        <is>
          <t>https://www.daliaedizioni.it/categoria-prodotto/illustrati-kids/</t>
        </is>
      </c>
      <c r="M715" s="16" t="n">
        <v>11.9</v>
      </c>
      <c r="N715" s="14" t="inlineStr">
        <is>
          <t>Sito Dalia Edizioni</t>
        </is>
      </c>
      <c r="O715" s="16">
        <f>IF(ISNUMBER(M715),ROUND(M715*(1-Condizioni!$B$2),2),"")</f>
        <v/>
      </c>
      <c r="P715" s="17" t="inlineStr">
        <is>
          <t>No</t>
        </is>
      </c>
    </row>
    <row r="716">
      <c r="A716" s="14" t="inlineStr">
        <is>
          <t>Dalia Edizioni</t>
        </is>
      </c>
      <c r="B716" s="14" t="inlineStr">
        <is>
          <t>Febe e i gatti ruba storie</t>
        </is>
      </c>
      <c r="C716" s="14" t="inlineStr">
        <is>
          <t>Elisa Campaci; ill. Roberta Procacci</t>
        </is>
      </c>
      <c r="D716" s="14" t="inlineStr">
        <is>
          <t>Gli spericolati</t>
        </is>
      </c>
      <c r="E716" s="14" t="inlineStr">
        <is>
          <t>8+</t>
        </is>
      </c>
      <c r="F716" s="14" t="inlineStr">
        <is>
          <t>8+</t>
        </is>
      </c>
      <c r="G716" s="14" t="inlineStr">
        <is>
          <t>Narrativa</t>
        </is>
      </c>
      <c r="H716" s="14" t="inlineStr">
        <is>
          <t>Lettura, scrittura e crescita</t>
        </is>
      </c>
      <c r="I716" s="14" t="inlineStr">
        <is>
          <t>No</t>
        </is>
      </c>
      <c r="J716" s="14" t="inlineStr">
        <is>
          <t>Catalogo</t>
        </is>
      </c>
      <c r="K716" s="14" t="inlineStr">
        <is>
          <t>8+, narrativa</t>
        </is>
      </c>
      <c r="L716" s="14" t="inlineStr">
        <is>
          <t>https://www.daliaedizioni.it/categoria-prodotto/illustrati-kids/</t>
        </is>
      </c>
      <c r="M716" s="16" t="n">
        <v>12.9</v>
      </c>
      <c r="N716" s="14" t="inlineStr">
        <is>
          <t>Sito Dalia Edizioni</t>
        </is>
      </c>
      <c r="O716" s="16">
        <f>IF(ISNUMBER(M716),ROUND(M716*(1-Condizioni!$B$2),2),"")</f>
        <v/>
      </c>
      <c r="P716" s="17" t="inlineStr">
        <is>
          <t>Sì</t>
        </is>
      </c>
    </row>
    <row r="717">
      <c r="A717" s="14" t="inlineStr">
        <is>
          <t>Dalia Edizioni</t>
        </is>
      </c>
      <c r="B717" s="14" t="inlineStr">
        <is>
          <t>UVA. Una Vita Altrove</t>
        </is>
      </c>
      <c r="C717" s="14" t="inlineStr">
        <is>
          <t>Giovanni Capotombolo</t>
        </is>
      </c>
      <c r="D717" s="14" t="inlineStr">
        <is>
          <t>Dalia Narrativa</t>
        </is>
      </c>
      <c r="E717" s="14" t="inlineStr">
        <is>
          <t>adolescenti</t>
        </is>
      </c>
      <c r="F717" s="14" t="inlineStr">
        <is>
          <t>Adolescenza (14+)</t>
        </is>
      </c>
      <c r="G717" s="14" t="inlineStr">
        <is>
          <t>Romanzo</t>
        </is>
      </c>
      <c r="H717" s="14" t="inlineStr">
        <is>
          <t>Adolescenza e futuro</t>
        </is>
      </c>
      <c r="I717" s="14" t="inlineStr">
        <is>
          <t>No</t>
        </is>
      </c>
      <c r="J717" s="15" t="inlineStr">
        <is>
          <t>Da verificare</t>
        </is>
      </c>
      <c r="K717" s="14" t="inlineStr">
        <is>
          <t>adolescenza, romanzo, narrativa</t>
        </is>
      </c>
      <c r="L717" s="14" t="inlineStr">
        <is>
          <t>https://www.librerie.coop/editori/dalia-edizioni/</t>
        </is>
      </c>
      <c r="M717" s="16" t="n">
        <v>15</v>
      </c>
      <c r="N717" s="14" t="inlineStr">
        <is>
          <t>https://www.ibs.it/x/e/9788899207632</t>
        </is>
      </c>
      <c r="O717" s="16">
        <f>IF(ISNUMBER(M717),ROUND(M717*(1-Condizioni!$B$2),2),"")</f>
        <v/>
      </c>
      <c r="P717" s="17" t="inlineStr">
        <is>
          <t>Sì</t>
        </is>
      </c>
    </row>
    <row r="718">
      <c r="A718" s="14" t="inlineStr">
        <is>
          <t>Dalia Edizioni</t>
        </is>
      </c>
      <c r="B718" s="14" t="inlineStr">
        <is>
          <t>Benni, Celestina e 3 piani in ascensore</t>
        </is>
      </c>
      <c r="C718" s="14" t="inlineStr">
        <is>
          <t>(vedi scheda)</t>
        </is>
      </c>
      <c r="D718" s="14" t="inlineStr">
        <is>
          <t>Gli spericolati</t>
        </is>
      </c>
      <c r="E718" s="14" t="inlineStr">
        <is>
          <t>n.d.</t>
        </is>
      </c>
      <c r="F718" s="14" t="inlineStr">
        <is>
          <t>n.d. / tutte le età</t>
        </is>
      </c>
      <c r="G718" s="14" t="inlineStr">
        <is>
          <t>Narrativa</t>
        </is>
      </c>
      <c r="H718" s="14" t="inlineStr"/>
      <c r="I718" s="14" t="inlineStr">
        <is>
          <t>No</t>
        </is>
      </c>
      <c r="J718" s="15" t="inlineStr">
        <is>
          <t>Da verificare</t>
        </is>
      </c>
      <c r="K718" s="14" t="inlineStr">
        <is>
          <t>narrativa</t>
        </is>
      </c>
      <c r="L718" s="14" t="inlineStr">
        <is>
          <t>https://www.daliaedizioni.it/categoria-prodotto/illustrati-kids/</t>
        </is>
      </c>
      <c r="M718" s="16" t="n">
        <v>11.9</v>
      </c>
      <c r="N718" s="14" t="inlineStr">
        <is>
          <t>Sito Dalia Edizioni</t>
        </is>
      </c>
      <c r="O718" s="16">
        <f>IF(ISNUMBER(M718),ROUND(M718*(1-Condizioni!$B$2),2),"")</f>
        <v/>
      </c>
      <c r="P718" s="17" t="inlineStr">
        <is>
          <t>No</t>
        </is>
      </c>
    </row>
    <row r="719">
      <c r="A719" s="14" t="inlineStr">
        <is>
          <t>Dalia Edizioni</t>
        </is>
      </c>
      <c r="B719" s="14" t="inlineStr">
        <is>
          <t>Benni, Celestina e il primo 2° giorno di scuola</t>
        </is>
      </c>
      <c r="C719" s="14" t="inlineStr">
        <is>
          <t>(vedi scheda)</t>
        </is>
      </c>
      <c r="D719" s="14" t="inlineStr">
        <is>
          <t>Gli spericolati</t>
        </is>
      </c>
      <c r="E719" s="14" t="inlineStr">
        <is>
          <t>n.d.</t>
        </is>
      </c>
      <c r="F719" s="14" t="inlineStr">
        <is>
          <t>n.d. / tutte le età</t>
        </is>
      </c>
      <c r="G719" s="14" t="inlineStr">
        <is>
          <t>Narrativa</t>
        </is>
      </c>
      <c r="H719" s="14" t="inlineStr"/>
      <c r="I719" s="14" t="inlineStr">
        <is>
          <t>No</t>
        </is>
      </c>
      <c r="J719" s="15" t="inlineStr">
        <is>
          <t>Da verificare</t>
        </is>
      </c>
      <c r="K719" s="14" t="inlineStr">
        <is>
          <t>narrativa</t>
        </is>
      </c>
      <c r="L719" s="14" t="inlineStr">
        <is>
          <t>https://www.daliaedizioni.it/categoria-prodotto/illustrati-kids/</t>
        </is>
      </c>
      <c r="M719" s="16" t="n">
        <v>11.9</v>
      </c>
      <c r="N719" s="14" t="inlineStr">
        <is>
          <t>Sito Dalia Edizioni</t>
        </is>
      </c>
      <c r="O719" s="16">
        <f>IF(ISNUMBER(M719),ROUND(M719*(1-Condizioni!$B$2),2),"")</f>
        <v/>
      </c>
      <c r="P719" s="17" t="inlineStr">
        <is>
          <t>No</t>
        </is>
      </c>
    </row>
    <row r="720">
      <c r="A720" s="14" t="inlineStr">
        <is>
          <t>Dalia Edizioni</t>
        </is>
      </c>
      <c r="B720" s="14" t="inlineStr">
        <is>
          <t>Guida fantastica di Bologna</t>
        </is>
      </c>
      <c r="C720" s="14" t="inlineStr">
        <is>
          <t>(vedi scheda)</t>
        </is>
      </c>
      <c r="D720" s="14" t="inlineStr">
        <is>
          <t>Guide fantastiche</t>
        </is>
      </c>
      <c r="E720" s="14" t="inlineStr">
        <is>
          <t>n.d.</t>
        </is>
      </c>
      <c r="F720" s="14" t="inlineStr">
        <is>
          <t>n.d. / tutte le età</t>
        </is>
      </c>
      <c r="G720" s="14" t="inlineStr">
        <is>
          <t>Divulgazione/Saggio</t>
        </is>
      </c>
      <c r="H720" s="14" t="inlineStr"/>
      <c r="I720" s="14" t="inlineStr">
        <is>
          <t>No</t>
        </is>
      </c>
      <c r="J720" s="15" t="inlineStr">
        <is>
          <t>Da verificare</t>
        </is>
      </c>
      <c r="K720" s="14" t="inlineStr"/>
      <c r="L720" s="14" t="inlineStr">
        <is>
          <t>https://www.daliaedizioni.it/categoria-prodotto/illustrati-kids/</t>
        </is>
      </c>
      <c r="M720" s="16" t="n">
        <v>12.9</v>
      </c>
      <c r="N720" s="14" t="inlineStr">
        <is>
          <t>Sito Dalia Edizioni</t>
        </is>
      </c>
      <c r="O720" s="16">
        <f>IF(ISNUMBER(M720),ROUND(M720*(1-Condizioni!$B$2),2),"")</f>
        <v/>
      </c>
      <c r="P720" s="17" t="inlineStr">
        <is>
          <t>No</t>
        </is>
      </c>
    </row>
    <row r="721">
      <c r="A721" s="14" t="inlineStr">
        <is>
          <t>Dalia Edizioni</t>
        </is>
      </c>
      <c r="B721" s="14" t="inlineStr">
        <is>
          <t>Holly e i segreti della grotta stellata</t>
        </is>
      </c>
      <c r="C721" s="14" t="inlineStr">
        <is>
          <t>Massimiliano Valentini</t>
        </is>
      </c>
      <c r="D721" s="14" t="inlineStr">
        <is>
          <t>Gli spericolati</t>
        </is>
      </c>
      <c r="E721" s="14" t="inlineStr">
        <is>
          <t>n.d.</t>
        </is>
      </c>
      <c r="F721" s="14" t="inlineStr">
        <is>
          <t>n.d. / tutte le età</t>
        </is>
      </c>
      <c r="G721" s="14" t="inlineStr">
        <is>
          <t>Narrativa</t>
        </is>
      </c>
      <c r="H721" s="14" t="inlineStr">
        <is>
          <t>Natura e ambiente</t>
        </is>
      </c>
      <c r="I721" s="14" t="inlineStr">
        <is>
          <t>No</t>
        </is>
      </c>
      <c r="J721" s="15" t="inlineStr">
        <is>
          <t>Da verificare</t>
        </is>
      </c>
      <c r="K721" s="14" t="inlineStr">
        <is>
          <t>narrativa</t>
        </is>
      </c>
      <c r="L721" s="14" t="inlineStr">
        <is>
          <t>https://www.daliaedizioni.it/categoria-prodotto/illustrati-kids/</t>
        </is>
      </c>
      <c r="M721" s="16" t="n">
        <v>13.5</v>
      </c>
      <c r="N721" s="14" t="inlineStr">
        <is>
          <t>Sito Dalia Edizioni</t>
        </is>
      </c>
      <c r="O721" s="16">
        <f>IF(ISNUMBER(M721),ROUND(M721*(1-Condizioni!$B$2),2),"")</f>
        <v/>
      </c>
      <c r="P721" s="17" t="inlineStr">
        <is>
          <t>No</t>
        </is>
      </c>
    </row>
    <row r="722">
      <c r="A722" s="14" t="inlineStr">
        <is>
          <t>Dalia Edizioni</t>
        </is>
      </c>
      <c r="B722" s="14" t="inlineStr">
        <is>
          <t>La notte che Babbo Natale tornò a Roma</t>
        </is>
      </c>
      <c r="C722" s="14" t="inlineStr">
        <is>
          <t>(vedi scheda)</t>
        </is>
      </c>
      <c r="D722" s="14" t="inlineStr">
        <is>
          <t>Guide fantastiche</t>
        </is>
      </c>
      <c r="E722" s="14" t="inlineStr">
        <is>
          <t>n.d.</t>
        </is>
      </c>
      <c r="F722" s="14" t="inlineStr">
        <is>
          <t>n.d. / tutte le età</t>
        </is>
      </c>
      <c r="G722" s="14" t="inlineStr">
        <is>
          <t>Divulgazione/Saggio</t>
        </is>
      </c>
      <c r="H722" s="14" t="inlineStr"/>
      <c r="I722" s="14" t="inlineStr">
        <is>
          <t>No</t>
        </is>
      </c>
      <c r="J722" s="15" t="inlineStr">
        <is>
          <t>Da verificare</t>
        </is>
      </c>
      <c r="K722" s="14" t="inlineStr"/>
      <c r="L722" s="14" t="inlineStr">
        <is>
          <t>https://www.daliaedizioni.it/categoria-prodotto/illustrati-kids/</t>
        </is>
      </c>
      <c r="M722" s="16" t="n">
        <v>10</v>
      </c>
      <c r="N722" s="14" t="inlineStr">
        <is>
          <t>Sito Dalia Edizioni</t>
        </is>
      </c>
      <c r="O722" s="16">
        <f>IF(ISNUMBER(M722),ROUND(M722*(1-Condizioni!$B$2),2),"")</f>
        <v/>
      </c>
      <c r="P722" s="17" t="inlineStr">
        <is>
          <t>No</t>
        </is>
      </c>
    </row>
    <row r="723">
      <c r="A723" s="14" t="inlineStr">
        <is>
          <t>Dalia Edizioni</t>
        </is>
      </c>
      <c r="B723" s="14" t="inlineStr">
        <is>
          <t>La storia segreta di Babbo Natale a Viterbo</t>
        </is>
      </c>
      <c r="C723" s="14" t="inlineStr">
        <is>
          <t>(vedi scheda)</t>
        </is>
      </c>
      <c r="D723" s="14" t="inlineStr">
        <is>
          <t>Guide fantastiche</t>
        </is>
      </c>
      <c r="E723" s="14" t="inlineStr">
        <is>
          <t>n.d.</t>
        </is>
      </c>
      <c r="F723" s="14" t="inlineStr">
        <is>
          <t>n.d. / tutte le età</t>
        </is>
      </c>
      <c r="G723" s="14" t="inlineStr">
        <is>
          <t>Divulgazione/Saggio</t>
        </is>
      </c>
      <c r="H723" s="14" t="inlineStr"/>
      <c r="I723" s="14" t="inlineStr">
        <is>
          <t>No</t>
        </is>
      </c>
      <c r="J723" s="15" t="inlineStr">
        <is>
          <t>Da verificare</t>
        </is>
      </c>
      <c r="K723" s="14" t="inlineStr"/>
      <c r="L723" s="14" t="inlineStr">
        <is>
          <t>https://www.daliaedizioni.it/categoria-prodotto/illustrati-kids/</t>
        </is>
      </c>
      <c r="M723" s="16" t="n">
        <v>10</v>
      </c>
      <c r="N723" s="14" t="inlineStr">
        <is>
          <t>Sito Dalia Edizioni</t>
        </is>
      </c>
      <c r="O723" s="16">
        <f>IF(ISNUMBER(M723),ROUND(M723*(1-Condizioni!$B$2),2),"")</f>
        <v/>
      </c>
      <c r="P723" s="17" t="inlineStr">
        <is>
          <t>No</t>
        </is>
      </c>
    </row>
    <row r="724">
      <c r="A724" s="14" t="inlineStr">
        <is>
          <t>Dalia Edizioni</t>
        </is>
      </c>
      <c r="B724" s="14" t="inlineStr">
        <is>
          <t>Loris Wood e il mistero delle api scomparse</t>
        </is>
      </c>
      <c r="C724" s="14" t="inlineStr">
        <is>
          <t>Iride Bartolucci</t>
        </is>
      </c>
      <c r="D724" s="14" t="inlineStr">
        <is>
          <t>Gli spericolati</t>
        </is>
      </c>
      <c r="E724" s="14" t="inlineStr">
        <is>
          <t>n.d.</t>
        </is>
      </c>
      <c r="F724" s="14" t="inlineStr">
        <is>
          <t>n.d. / tutte le età</t>
        </is>
      </c>
      <c r="G724" s="14" t="inlineStr">
        <is>
          <t>Narrativa</t>
        </is>
      </c>
      <c r="H724" s="14" t="inlineStr">
        <is>
          <t>Ambiente e api</t>
        </is>
      </c>
      <c r="I724" s="14" t="inlineStr">
        <is>
          <t>No</t>
        </is>
      </c>
      <c r="J724" s="15" t="inlineStr">
        <is>
          <t>Da verificare</t>
        </is>
      </c>
      <c r="K724" s="14" t="inlineStr">
        <is>
          <t>narrativa</t>
        </is>
      </c>
      <c r="L724" s="14" t="inlineStr">
        <is>
          <t>https://www.daliaedizioni.it/categoria-prodotto/illustrati-kids/</t>
        </is>
      </c>
      <c r="M724" s="16" t="n">
        <v>13.5</v>
      </c>
      <c r="N724" s="14" t="inlineStr">
        <is>
          <t>Sito Dalia Edizioni</t>
        </is>
      </c>
      <c r="O724" s="16">
        <f>IF(ISNUMBER(M724),ROUND(M724*(1-Condizioni!$B$2),2),"")</f>
        <v/>
      </c>
      <c r="P724" s="17" t="inlineStr">
        <is>
          <t>No</t>
        </is>
      </c>
    </row>
    <row r="725">
      <c r="A725" s="14" t="inlineStr">
        <is>
          <t>Dalia Edizioni</t>
        </is>
      </c>
      <c r="B725" s="14" t="inlineStr">
        <is>
          <t>Loris Wood verso l’isola di plastica</t>
        </is>
      </c>
      <c r="C725" s="14" t="inlineStr">
        <is>
          <t>Iride Bartolucci</t>
        </is>
      </c>
      <c r="D725" s="14" t="inlineStr">
        <is>
          <t>Gli spericolati</t>
        </is>
      </c>
      <c r="E725" s="14" t="inlineStr">
        <is>
          <t>da 8 anni</t>
        </is>
      </c>
      <c r="F725" s="14" t="inlineStr">
        <is>
          <t>8+</t>
        </is>
      </c>
      <c r="G725" s="14" t="inlineStr">
        <is>
          <t>Narrativa</t>
        </is>
      </c>
      <c r="H725" s="14" t="inlineStr"/>
      <c r="I725" s="14" t="inlineStr">
        <is>
          <t>No</t>
        </is>
      </c>
      <c r="J725" s="14" t="inlineStr">
        <is>
          <t>Verificata (IBS / editore)</t>
        </is>
      </c>
      <c r="K725" s="14" t="inlineStr">
        <is>
          <t>8+, narrativa</t>
        </is>
      </c>
      <c r="L725" s="14" t="inlineStr">
        <is>
          <t>https://www.daliaedizioni.it/categoria-prodotto/illustrati-kids/</t>
        </is>
      </c>
      <c r="M725" s="16" t="n">
        <v>13.5</v>
      </c>
      <c r="N725" s="14" t="inlineStr">
        <is>
          <t>Sito Dalia Edizioni</t>
        </is>
      </c>
      <c r="O725" s="16">
        <f>IF(ISNUMBER(M725),ROUND(M725*(1-Condizioni!$B$2),2),"")</f>
        <v/>
      </c>
      <c r="P725" s="17" t="inlineStr">
        <is>
          <t>Sì</t>
        </is>
      </c>
    </row>
    <row r="726">
      <c r="A726" s="14" t="inlineStr">
        <is>
          <t>Dalia Edizioni</t>
        </is>
      </c>
      <c r="B726" s="14" t="inlineStr">
        <is>
          <t>Michelino per Roma a bordo della fantasia</t>
        </is>
      </c>
      <c r="C726" s="14" t="inlineStr">
        <is>
          <t>(vedi scheda)</t>
        </is>
      </c>
      <c r="D726" s="14" t="inlineStr">
        <is>
          <t>Guide fantastiche</t>
        </is>
      </c>
      <c r="E726" s="14" t="inlineStr">
        <is>
          <t>n.d.</t>
        </is>
      </c>
      <c r="F726" s="14" t="inlineStr">
        <is>
          <t>n.d. / tutte le età</t>
        </is>
      </c>
      <c r="G726" s="14" t="inlineStr">
        <is>
          <t>Divulgazione/Saggio</t>
        </is>
      </c>
      <c r="H726" s="14" t="inlineStr"/>
      <c r="I726" s="14" t="inlineStr">
        <is>
          <t>No</t>
        </is>
      </c>
      <c r="J726" s="15" t="inlineStr">
        <is>
          <t>Da verificare</t>
        </is>
      </c>
      <c r="K726" s="14" t="inlineStr"/>
      <c r="L726" s="14" t="inlineStr">
        <is>
          <t>https://www.daliaedizioni.it/categoria-prodotto/illustrati-kids/</t>
        </is>
      </c>
      <c r="M726" s="16" t="n">
        <v>12.9</v>
      </c>
      <c r="N726" s="14" t="inlineStr">
        <is>
          <t>Sito Dalia Edizioni</t>
        </is>
      </c>
      <c r="O726" s="16">
        <f>IF(ISNUMBER(M726),ROUND(M726*(1-Condizioni!$B$2),2),"")</f>
        <v/>
      </c>
      <c r="P726" s="17" t="inlineStr">
        <is>
          <t>No</t>
        </is>
      </c>
    </row>
    <row r="727">
      <c r="A727" s="14" t="inlineStr">
        <is>
          <t>Dalia Edizioni</t>
        </is>
      </c>
      <c r="B727" s="14" t="inlineStr">
        <is>
          <t>Tula a caccia dei colori</t>
        </is>
      </c>
      <c r="C727" s="14" t="inlineStr">
        <is>
          <t>(vedi scheda)</t>
        </is>
      </c>
      <c r="D727" s="14" t="inlineStr">
        <is>
          <t>Gli spericolati</t>
        </is>
      </c>
      <c r="E727" s="14" t="inlineStr">
        <is>
          <t>n.d.</t>
        </is>
      </c>
      <c r="F727" s="14" t="inlineStr">
        <is>
          <t>n.d. / tutte le età</t>
        </is>
      </c>
      <c r="G727" s="14" t="inlineStr">
        <is>
          <t>Narrativa</t>
        </is>
      </c>
      <c r="H727" s="14" t="inlineStr"/>
      <c r="I727" s="14" t="inlineStr">
        <is>
          <t>No</t>
        </is>
      </c>
      <c r="J727" s="15" t="inlineStr">
        <is>
          <t>Da verificare</t>
        </is>
      </c>
      <c r="K727" s="14" t="inlineStr">
        <is>
          <t>narrativa</t>
        </is>
      </c>
      <c r="L727" s="14" t="inlineStr">
        <is>
          <t>https://www.daliaedizioni.it/categoria-prodotto/illustrati-kids/</t>
        </is>
      </c>
      <c r="M727" s="16" t="n">
        <v>13.5</v>
      </c>
      <c r="N727" s="14" t="inlineStr">
        <is>
          <t>Sito Dalia Edizioni</t>
        </is>
      </c>
      <c r="O727" s="16">
        <f>IF(ISNUMBER(M727),ROUND(M727*(1-Condizioni!$B$2),2),"")</f>
        <v/>
      </c>
      <c r="P727" s="17" t="inlineStr">
        <is>
          <t>No</t>
        </is>
      </c>
    </row>
    <row r="728">
      <c r="A728" s="14" t="inlineStr">
        <is>
          <t>Dalia Edizioni</t>
        </is>
      </c>
      <c r="B728" s="14" t="inlineStr">
        <is>
          <t>Tula e i capelli di Madre Natura</t>
        </is>
      </c>
      <c r="C728" s="14" t="inlineStr">
        <is>
          <t>Arjuna Cecchetti</t>
        </is>
      </c>
      <c r="D728" s="14" t="inlineStr">
        <is>
          <t>Gli spericolati</t>
        </is>
      </c>
      <c r="E728" s="14" t="inlineStr">
        <is>
          <t>n.d.</t>
        </is>
      </c>
      <c r="F728" s="14" t="inlineStr">
        <is>
          <t>n.d. / tutte le età</t>
        </is>
      </c>
      <c r="G728" s="14" t="inlineStr">
        <is>
          <t>Narrativa</t>
        </is>
      </c>
      <c r="H728" s="14" t="inlineStr">
        <is>
          <t>Cambiamento climatico e natura</t>
        </is>
      </c>
      <c r="I728" s="14" t="inlineStr">
        <is>
          <t>No</t>
        </is>
      </c>
      <c r="J728" s="15" t="inlineStr">
        <is>
          <t>Da verificare</t>
        </is>
      </c>
      <c r="K728" s="14" t="inlineStr">
        <is>
          <t>narrativa</t>
        </is>
      </c>
      <c r="L728" s="14" t="inlineStr">
        <is>
          <t>https://www.daliaedizioni.it/categoria-prodotto/illustrati-kids/</t>
        </is>
      </c>
      <c r="M728" s="16" t="n">
        <v>13.5</v>
      </c>
      <c r="N728" s="14" t="inlineStr">
        <is>
          <t>Sito Dalia Edizioni</t>
        </is>
      </c>
      <c r="O728" s="16">
        <f>IF(ISNUMBER(M728),ROUND(M728*(1-Condizioni!$B$2),2),"")</f>
        <v/>
      </c>
      <c r="P728" s="17" t="inlineStr">
        <is>
          <t>No</t>
        </is>
      </c>
    </row>
    <row r="729">
      <c r="A729" s="14" t="inlineStr">
        <is>
          <t>Edizioni Corsare</t>
        </is>
      </c>
      <c r="B729" s="14" t="inlineStr">
        <is>
          <t>Amici?</t>
        </is>
      </c>
      <c r="C729" s="14" t="inlineStr">
        <is>
          <t>Brunella Baldi</t>
        </is>
      </c>
      <c r="D729" s="14" t="inlineStr">
        <is>
          <t>Area ragazzi (albi illustrati)</t>
        </is>
      </c>
      <c r="E729" s="14" t="inlineStr">
        <is>
          <t>da 2 anni</t>
        </is>
      </c>
      <c r="F729" s="14" t="inlineStr">
        <is>
          <t>0-3 anni</t>
        </is>
      </c>
      <c r="G729" s="14" t="inlineStr">
        <is>
          <t>Silent book</t>
        </is>
      </c>
      <c r="H729" s="14" t="inlineStr">
        <is>
          <t>Amicizia</t>
        </is>
      </c>
      <c r="I729" s="14" t="inlineStr">
        <is>
          <t>No</t>
        </is>
      </c>
      <c r="J729" s="14" t="inlineStr">
        <is>
          <t>Catalogo</t>
        </is>
      </c>
      <c r="K729" s="14" t="inlineStr">
        <is>
          <t>0-3 anni</t>
        </is>
      </c>
      <c r="L729" s="14" t="inlineStr">
        <is>
          <t>Catalogo Edizioni Corsare Primavera 2026</t>
        </is>
      </c>
      <c r="M729" s="16" t="n">
        <v>15</v>
      </c>
      <c r="N729" s="14" t="inlineStr">
        <is>
          <t>Catalogo Edizioni Corsare Primavera 2026</t>
        </is>
      </c>
      <c r="O729" s="16">
        <f>IF(ISNUMBER(M729),ROUND(M729*(1-Condizioni!$B$2),2),"")</f>
        <v/>
      </c>
      <c r="P729" s="17" t="inlineStr">
        <is>
          <t>Sì</t>
        </is>
      </c>
    </row>
    <row r="730">
      <c r="A730" s="14" t="inlineStr">
        <is>
          <t>Edizioni Corsare</t>
        </is>
      </c>
      <c r="B730" s="14" t="inlineStr">
        <is>
          <t>Brava Chiocciolina!</t>
        </is>
      </c>
      <c r="C730" s="14" t="inlineStr">
        <is>
          <t>Silvia Vecchini; ill. Carla Manea</t>
        </is>
      </c>
      <c r="D730" s="14" t="inlineStr">
        <is>
          <t>Area ragazzi (albi illustrati)</t>
        </is>
      </c>
      <c r="E730" s="14" t="inlineStr">
        <is>
          <t>da 3 anni</t>
        </is>
      </c>
      <c r="F730" s="14" t="inlineStr">
        <is>
          <t>3-6 anni</t>
        </is>
      </c>
      <c r="G730" s="14" t="inlineStr">
        <is>
          <t>Albo illustrato</t>
        </is>
      </c>
      <c r="H730" s="14" t="inlineStr">
        <is>
          <t>Fiducia in sé stessi</t>
        </is>
      </c>
      <c r="I730" s="14" t="inlineStr">
        <is>
          <t>No</t>
        </is>
      </c>
      <c r="J730" s="14" t="inlineStr">
        <is>
          <t>Catalogo</t>
        </is>
      </c>
      <c r="K730" s="14" t="inlineStr">
        <is>
          <t>3-6 anni</t>
        </is>
      </c>
      <c r="L730" s="14" t="inlineStr">
        <is>
          <t>https://www.libraccio.it/editore/edizioni-corsare/libri.html</t>
        </is>
      </c>
      <c r="M730" s="16" t="n">
        <v>16</v>
      </c>
      <c r="N730" s="14" t="inlineStr">
        <is>
          <t>Catalogo Edizioni Corsare Primavera 2026</t>
        </is>
      </c>
      <c r="O730" s="16">
        <f>IF(ISNUMBER(M730),ROUND(M730*(1-Condizioni!$B$2),2),"")</f>
        <v/>
      </c>
      <c r="P730" s="17" t="inlineStr">
        <is>
          <t>Sì</t>
        </is>
      </c>
    </row>
    <row r="731">
      <c r="A731" s="14" t="inlineStr">
        <is>
          <t>Edizioni Corsare</t>
        </is>
      </c>
      <c r="B731" s="14" t="inlineStr">
        <is>
          <t>Brava Chiocciolina! – versione InBook con simboli (CAA)</t>
        </is>
      </c>
      <c r="C731" s="14" t="inlineStr">
        <is>
          <t>Silvia Vecchini; ill. Carla Manea</t>
        </is>
      </c>
      <c r="D731" s="14" t="inlineStr">
        <is>
          <t>Area ragazzi (albi illustrati)</t>
        </is>
      </c>
      <c r="E731" s="14" t="inlineStr">
        <is>
          <t>da 3 anni</t>
        </is>
      </c>
      <c r="F731" s="14" t="inlineStr">
        <is>
          <t>3-6 anni</t>
        </is>
      </c>
      <c r="G731" s="14" t="inlineStr">
        <is>
          <t>Libro in simboli (CAA)</t>
        </is>
      </c>
      <c r="H731" s="14" t="inlineStr">
        <is>
          <t>Fiducia in sé stessi e inclusione</t>
        </is>
      </c>
      <c r="I731" s="18" t="inlineStr">
        <is>
          <t>Sì</t>
        </is>
      </c>
      <c r="J731" s="14" t="inlineStr">
        <is>
          <t>Catalogo</t>
        </is>
      </c>
      <c r="K731" s="14" t="inlineStr">
        <is>
          <t>3-6 anni, CAA</t>
        </is>
      </c>
      <c r="L731" s="14" t="inlineStr">
        <is>
          <t>Catalogo Edizioni Corsare Primavera 2026</t>
        </is>
      </c>
      <c r="M731" s="16" t="n">
        <v>16</v>
      </c>
      <c r="N731" s="14" t="inlineStr">
        <is>
          <t>Catalogo Edizioni Corsare Primavera 2026</t>
        </is>
      </c>
      <c r="O731" s="16">
        <f>IF(ISNUMBER(M731),ROUND(M731*(1-Condizioni!$B$2),2),"")</f>
        <v/>
      </c>
      <c r="P731" s="17" t="inlineStr">
        <is>
          <t>Sì</t>
        </is>
      </c>
    </row>
    <row r="732">
      <c r="A732" s="14" t="inlineStr">
        <is>
          <t>Edizioni Corsare</t>
        </is>
      </c>
      <c r="B732" s="14" t="inlineStr">
        <is>
          <t>Casa casina</t>
        </is>
      </c>
      <c r="C732" s="14" t="inlineStr">
        <is>
          <t>Manuela Mapelli</t>
        </is>
      </c>
      <c r="D732" s="14" t="inlineStr">
        <is>
          <t>Area ragazzi (albi illustrati)</t>
        </is>
      </c>
      <c r="E732" s="14" t="inlineStr">
        <is>
          <t>da 3 anni</t>
        </is>
      </c>
      <c r="F732" s="14" t="inlineStr">
        <is>
          <t>3-6 anni</t>
        </is>
      </c>
      <c r="G732" s="14" t="inlineStr">
        <is>
          <t>Albo illustrato</t>
        </is>
      </c>
      <c r="H732" s="14" t="inlineStr">
        <is>
          <t>Diritto alla casa</t>
        </is>
      </c>
      <c r="I732" s="14" t="inlineStr">
        <is>
          <t>No</t>
        </is>
      </c>
      <c r="J732" s="14" t="inlineStr">
        <is>
          <t>Catalogo</t>
        </is>
      </c>
      <c r="K732" s="14" t="inlineStr">
        <is>
          <t>3-6 anni</t>
        </is>
      </c>
      <c r="L732" s="14" t="inlineStr">
        <is>
          <t>Catalogo Edizioni Corsare Primavera 2026</t>
        </is>
      </c>
      <c r="M732" s="16" t="n">
        <v>15</v>
      </c>
      <c r="N732" s="14" t="inlineStr">
        <is>
          <t>Catalogo Edizioni Corsare Primavera 2026</t>
        </is>
      </c>
      <c r="O732" s="16">
        <f>IF(ISNUMBER(M732),ROUND(M732*(1-Condizioni!$B$2),2),"")</f>
        <v/>
      </c>
      <c r="P732" s="17" t="inlineStr">
        <is>
          <t>Sì</t>
        </is>
      </c>
    </row>
    <row r="733">
      <c r="A733" s="14" t="inlineStr">
        <is>
          <t>Edizioni Corsare</t>
        </is>
      </c>
      <c r="B733" s="14" t="inlineStr">
        <is>
          <t>Cerotti</t>
        </is>
      </c>
      <c r="C733" s="14" t="inlineStr">
        <is>
          <t>Anna Celani; ill. Emma Pulcinelli</t>
        </is>
      </c>
      <c r="D733" s="14" t="inlineStr">
        <is>
          <t>Area ragazzi (albi illustrati)</t>
        </is>
      </c>
      <c r="E733" s="14" t="inlineStr">
        <is>
          <t>da 3 anni</t>
        </is>
      </c>
      <c r="F733" s="14" t="inlineStr">
        <is>
          <t>3-6 anni</t>
        </is>
      </c>
      <c r="G733" s="14" t="inlineStr">
        <is>
          <t>Albo illustrato</t>
        </is>
      </c>
      <c r="H733" s="14" t="inlineStr">
        <is>
          <t>Fragilità, coraggio e intraprendenza</t>
        </is>
      </c>
      <c r="I733" s="14" t="inlineStr">
        <is>
          <t>No</t>
        </is>
      </c>
      <c r="J733" s="14" t="inlineStr">
        <is>
          <t>Catalogo</t>
        </is>
      </c>
      <c r="K733" s="14" t="inlineStr">
        <is>
          <t>3-6 anni</t>
        </is>
      </c>
      <c r="L733" s="14" t="inlineStr">
        <is>
          <t>Catalogo Edizioni Corsare Primavera 2026</t>
        </is>
      </c>
      <c r="M733" s="16" t="n">
        <v>16</v>
      </c>
      <c r="N733" s="14" t="inlineStr">
        <is>
          <t>Catalogo Edizioni Corsare Primavera 2026</t>
        </is>
      </c>
      <c r="O733" s="16">
        <f>IF(ISNUMBER(M733),ROUND(M733*(1-Condizioni!$B$2),2),"")</f>
        <v/>
      </c>
      <c r="P733" s="17" t="inlineStr">
        <is>
          <t>Sì</t>
        </is>
      </c>
    </row>
    <row r="734">
      <c r="A734" s="14" t="inlineStr">
        <is>
          <t>Edizioni Corsare</t>
        </is>
      </c>
      <c r="B734" s="14" t="inlineStr">
        <is>
          <t>Cromosomi</t>
        </is>
      </c>
      <c r="C734" s="14" t="inlineStr">
        <is>
          <t>Fabian Negrin; ill. Kalina Muhova</t>
        </is>
      </c>
      <c r="D734" s="14" t="inlineStr">
        <is>
          <t>Area ragazzi (albi illustrati)</t>
        </is>
      </c>
      <c r="E734" s="14" t="inlineStr">
        <is>
          <t>da 5 anni e per tutti</t>
        </is>
      </c>
      <c r="F734" s="14" t="inlineStr">
        <is>
          <t>3-6 anni</t>
        </is>
      </c>
      <c r="G734" s="14" t="inlineStr">
        <is>
          <t>Albo illustrato</t>
        </is>
      </c>
      <c r="H734" s="14" t="inlineStr">
        <is>
          <t>Origine comune degli esseri umani e famiglie</t>
        </is>
      </c>
      <c r="I734" s="14" t="inlineStr">
        <is>
          <t>No</t>
        </is>
      </c>
      <c r="J734" s="14" t="inlineStr">
        <is>
          <t>Catalogo</t>
        </is>
      </c>
      <c r="K734" s="14" t="inlineStr">
        <is>
          <t>3-6 anni</t>
        </is>
      </c>
      <c r="L734" s="14" t="inlineStr">
        <is>
          <t>Catalogo Edizioni Corsare Primavera 2026</t>
        </is>
      </c>
      <c r="M734" s="16" t="n">
        <v>18.9</v>
      </c>
      <c r="N734" s="14" t="inlineStr">
        <is>
          <t>Catalogo Edizioni Corsare Primavera 2026</t>
        </is>
      </c>
      <c r="O734" s="16">
        <f>IF(ISNUMBER(M734),ROUND(M734*(1-Condizioni!$B$2),2),"")</f>
        <v/>
      </c>
      <c r="P734" s="17" t="inlineStr">
        <is>
          <t>Sì</t>
        </is>
      </c>
    </row>
    <row r="735">
      <c r="A735" s="14" t="inlineStr">
        <is>
          <t>Edizioni Corsare</t>
        </is>
      </c>
      <c r="B735" s="14" t="inlineStr">
        <is>
          <t>Farfalle</t>
        </is>
      </c>
      <c r="C735" s="14" t="inlineStr">
        <is>
          <t>Lisa Riccardi; ill. Anna Mosca</t>
        </is>
      </c>
      <c r="D735" s="14" t="inlineStr">
        <is>
          <t>Area ragazzi (albi illustrati)</t>
        </is>
      </c>
      <c r="E735" s="14" t="inlineStr">
        <is>
          <t>da 5 anni</t>
        </is>
      </c>
      <c r="F735" s="14" t="inlineStr">
        <is>
          <t>3-6 anni</t>
        </is>
      </c>
      <c r="G735" s="14" t="inlineStr">
        <is>
          <t>Albo illustrato</t>
        </is>
      </c>
      <c r="H735" s="14" t="inlineStr">
        <is>
          <t>Primi amori ed emozioni</t>
        </is>
      </c>
      <c r="I735" s="14" t="inlineStr">
        <is>
          <t>No</t>
        </is>
      </c>
      <c r="J735" s="14" t="inlineStr">
        <is>
          <t>Catalogo</t>
        </is>
      </c>
      <c r="K735" s="14" t="inlineStr">
        <is>
          <t>3-6 anni</t>
        </is>
      </c>
      <c r="L735" s="14" t="inlineStr">
        <is>
          <t>https://www.libraccio.it/editore/edizioni-corsare/libri.html</t>
        </is>
      </c>
      <c r="M735" s="16" t="n">
        <v>18</v>
      </c>
      <c r="N735" s="14" t="inlineStr">
        <is>
          <t>Catalogo Edizioni Corsare Primavera 2026</t>
        </is>
      </c>
      <c r="O735" s="16">
        <f>IF(ISNUMBER(M735),ROUND(M735*(1-Condizioni!$B$2),2),"")</f>
        <v/>
      </c>
      <c r="P735" s="17" t="inlineStr">
        <is>
          <t>Sì</t>
        </is>
      </c>
    </row>
    <row r="736">
      <c r="A736" s="14" t="inlineStr">
        <is>
          <t>Edizioni Corsare</t>
        </is>
      </c>
      <c r="B736" s="14" t="inlineStr">
        <is>
          <t>Igor</t>
        </is>
      </c>
      <c r="C736" s="14" t="inlineStr">
        <is>
          <t>Francesca Dafne Vignaga</t>
        </is>
      </c>
      <c r="D736" s="14" t="inlineStr">
        <is>
          <t>Area ragazzi (albi illustrati)</t>
        </is>
      </c>
      <c r="E736" s="14" t="inlineStr">
        <is>
          <t>da 3 anni</t>
        </is>
      </c>
      <c r="F736" s="14" t="inlineStr">
        <is>
          <t>3-6 anni</t>
        </is>
      </c>
      <c r="G736" s="14" t="inlineStr">
        <is>
          <t>Albo illustrato</t>
        </is>
      </c>
      <c r="H736" s="14" t="inlineStr">
        <is>
          <t>Identità e amicizia</t>
        </is>
      </c>
      <c r="I736" s="14" t="inlineStr">
        <is>
          <t>No</t>
        </is>
      </c>
      <c r="J736" s="14" t="inlineStr">
        <is>
          <t>Catalogo</t>
        </is>
      </c>
      <c r="K736" s="14" t="inlineStr">
        <is>
          <t>3-6 anni</t>
        </is>
      </c>
      <c r="L736" s="14" t="inlineStr">
        <is>
          <t>Catalogo Edizioni Corsare Primavera 2026</t>
        </is>
      </c>
      <c r="M736" s="16" t="n">
        <v>18</v>
      </c>
      <c r="N736" s="14" t="inlineStr">
        <is>
          <t>Catalogo Edizioni Corsare Primavera 2026</t>
        </is>
      </c>
      <c r="O736" s="16">
        <f>IF(ISNUMBER(M736),ROUND(M736*(1-Condizioni!$B$2),2),"")</f>
        <v/>
      </c>
      <c r="P736" s="17" t="inlineStr">
        <is>
          <t>Sì</t>
        </is>
      </c>
    </row>
    <row r="737">
      <c r="A737" s="14" t="inlineStr">
        <is>
          <t>Edizioni Corsare</t>
        </is>
      </c>
      <c r="B737" s="14" t="inlineStr">
        <is>
          <t>Il Rubacoccole</t>
        </is>
      </c>
      <c r="C737" s="14" t="inlineStr">
        <is>
          <t>Maria Gianola</t>
        </is>
      </c>
      <c r="D737" s="14" t="inlineStr">
        <is>
          <t>Area ragazzi (albi illustrati)</t>
        </is>
      </c>
      <c r="E737" s="14" t="inlineStr">
        <is>
          <t>da 3 anni</t>
        </is>
      </c>
      <c r="F737" s="14" t="inlineStr">
        <is>
          <t>3-6 anni</t>
        </is>
      </c>
      <c r="G737" s="14" t="inlineStr">
        <is>
          <t>Albo illustrato</t>
        </is>
      </c>
      <c r="H737" s="14" t="inlineStr">
        <is>
          <t>Nuovo fratellino e gelosia</t>
        </is>
      </c>
      <c r="I737" s="14" t="inlineStr">
        <is>
          <t>No</t>
        </is>
      </c>
      <c r="J737" s="14" t="inlineStr">
        <is>
          <t>Catalogo</t>
        </is>
      </c>
      <c r="K737" s="14" t="inlineStr">
        <is>
          <t>3-6 anni</t>
        </is>
      </c>
      <c r="L737" s="14" t="inlineStr">
        <is>
          <t>Catalogo Edizioni Corsare Primavera 2026</t>
        </is>
      </c>
      <c r="M737" s="16" t="n">
        <v>15</v>
      </c>
      <c r="N737" s="14" t="inlineStr">
        <is>
          <t>Catalogo Edizioni Corsare Primavera 2026</t>
        </is>
      </c>
      <c r="O737" s="16">
        <f>IF(ISNUMBER(M737),ROUND(M737*(1-Condizioni!$B$2),2),"")</f>
        <v/>
      </c>
      <c r="P737" s="17" t="inlineStr">
        <is>
          <t>Sì</t>
        </is>
      </c>
    </row>
    <row r="738">
      <c r="A738" s="14" t="inlineStr">
        <is>
          <t>Edizioni Corsare</t>
        </is>
      </c>
      <c r="B738" s="14" t="inlineStr">
        <is>
          <t>Il bimboleone e altri bambini</t>
        </is>
      </c>
      <c r="C738" s="14" t="inlineStr">
        <is>
          <t>Gabriele Clima; ill. Giacomo A. Modica</t>
        </is>
      </c>
      <c r="D738" s="14" t="inlineStr">
        <is>
          <t>Area ragazzi (albi illustrati)</t>
        </is>
      </c>
      <c r="E738" s="14" t="inlineStr">
        <is>
          <t>da 4 anni</t>
        </is>
      </c>
      <c r="F738" s="14" t="inlineStr">
        <is>
          <t>3-6 anni</t>
        </is>
      </c>
      <c r="G738" s="14" t="inlineStr">
        <is>
          <t>Albo illustrato</t>
        </is>
      </c>
      <c r="H738" s="14" t="inlineStr">
        <is>
          <t>Diversità e identità</t>
        </is>
      </c>
      <c r="I738" s="14" t="inlineStr">
        <is>
          <t>No</t>
        </is>
      </c>
      <c r="J738" s="14" t="inlineStr">
        <is>
          <t>Catalogo</t>
        </is>
      </c>
      <c r="K738" s="14" t="inlineStr">
        <is>
          <t>3-6 anni</t>
        </is>
      </c>
      <c r="L738" s="14" t="inlineStr">
        <is>
          <t>https://www.libraccio.it/editore/edizioni-corsare/libri.html</t>
        </is>
      </c>
      <c r="M738" s="16" t="n">
        <v>18</v>
      </c>
      <c r="N738" s="14" t="inlineStr">
        <is>
          <t>Catalogo Edizioni Corsare Primavera 2026</t>
        </is>
      </c>
      <c r="O738" s="16">
        <f>IF(ISNUMBER(M738),ROUND(M738*(1-Condizioni!$B$2),2),"")</f>
        <v/>
      </c>
      <c r="P738" s="17" t="inlineStr">
        <is>
          <t>Sì</t>
        </is>
      </c>
    </row>
    <row r="739">
      <c r="A739" s="14" t="inlineStr">
        <is>
          <t>Edizioni Corsare</t>
        </is>
      </c>
      <c r="B739" s="14" t="inlineStr">
        <is>
          <t>La mia casa piccola</t>
        </is>
      </c>
      <c r="C739" s="14" t="inlineStr">
        <is>
          <t>Elisa Sabatinelli; ill. Anna Aparicio Català</t>
        </is>
      </c>
      <c r="D739" s="14" t="inlineStr">
        <is>
          <t>Area ragazzi (albi illustrati)</t>
        </is>
      </c>
      <c r="E739" s="14" t="inlineStr">
        <is>
          <t>da 4 anni</t>
        </is>
      </c>
      <c r="F739" s="14" t="inlineStr">
        <is>
          <t>3-6 anni</t>
        </is>
      </c>
      <c r="G739" s="14" t="inlineStr">
        <is>
          <t>Albo illustrato</t>
        </is>
      </c>
      <c r="H739" s="14" t="inlineStr">
        <is>
          <t>Traslochi e paura del nuovo</t>
        </is>
      </c>
      <c r="I739" s="14" t="inlineStr">
        <is>
          <t>No</t>
        </is>
      </c>
      <c r="J739" s="14" t="inlineStr">
        <is>
          <t>Catalogo</t>
        </is>
      </c>
      <c r="K739" s="14" t="inlineStr">
        <is>
          <t>3-6 anni</t>
        </is>
      </c>
      <c r="L739" s="14" t="inlineStr">
        <is>
          <t>Catalogo Edizioni Corsare Primavera 2026</t>
        </is>
      </c>
      <c r="M739" s="16" t="n">
        <v>18</v>
      </c>
      <c r="N739" s="14" t="inlineStr">
        <is>
          <t>Catalogo Edizioni Corsare Primavera 2026</t>
        </is>
      </c>
      <c r="O739" s="16">
        <f>IF(ISNUMBER(M739),ROUND(M739*(1-Condizioni!$B$2),2),"")</f>
        <v/>
      </c>
      <c r="P739" s="17" t="inlineStr">
        <is>
          <t>Sì</t>
        </is>
      </c>
    </row>
    <row r="740">
      <c r="A740" s="14" t="inlineStr">
        <is>
          <t>Edizioni Corsare</t>
        </is>
      </c>
      <c r="B740" s="14" t="inlineStr">
        <is>
          <t>MALdiPAURA</t>
        </is>
      </c>
      <c r="C740" s="14" t="inlineStr">
        <is>
          <t>Chiara Ingrao; ill. Giulia Pintus</t>
        </is>
      </c>
      <c r="D740" s="14" t="inlineStr">
        <is>
          <t>Area ragazzi (albi illustrati)</t>
        </is>
      </c>
      <c r="E740" s="14" t="inlineStr">
        <is>
          <t>da 5 anni e per tutti</t>
        </is>
      </c>
      <c r="F740" s="14" t="inlineStr">
        <is>
          <t>3-6 anni</t>
        </is>
      </c>
      <c r="G740" s="14" t="inlineStr">
        <is>
          <t>Albo illustrato</t>
        </is>
      </c>
      <c r="H740" s="14" t="inlineStr">
        <is>
          <t>Paure di grandi e piccoli</t>
        </is>
      </c>
      <c r="I740" s="14" t="inlineStr">
        <is>
          <t>No</t>
        </is>
      </c>
      <c r="J740" s="14" t="inlineStr">
        <is>
          <t>Catalogo</t>
        </is>
      </c>
      <c r="K740" s="14" t="inlineStr">
        <is>
          <t>3-6 anni</t>
        </is>
      </c>
      <c r="L740" s="14" t="inlineStr">
        <is>
          <t>Catalogo Edizioni Corsare Primavera 2026</t>
        </is>
      </c>
      <c r="M740" s="16" t="n">
        <v>16</v>
      </c>
      <c r="N740" s="14" t="inlineStr">
        <is>
          <t>Catalogo Edizioni Corsare Primavera 2026</t>
        </is>
      </c>
      <c r="O740" s="16">
        <f>IF(ISNUMBER(M740),ROUND(M740*(1-Condizioni!$B$2),2),"")</f>
        <v/>
      </c>
      <c r="P740" s="17" t="inlineStr">
        <is>
          <t>Sì</t>
        </is>
      </c>
    </row>
    <row r="741">
      <c r="A741" s="14" t="inlineStr">
        <is>
          <t>Edizioni Corsare</t>
        </is>
      </c>
      <c r="B741" s="14" t="inlineStr">
        <is>
          <t>Bradi va in città</t>
        </is>
      </c>
      <c r="C741" s="14" t="inlineStr">
        <is>
          <t>Fabrizio Silei</t>
        </is>
      </c>
      <c r="D741" s="14" t="inlineStr">
        <is>
          <t>Storie corsare</t>
        </is>
      </c>
      <c r="E741" s="14" t="inlineStr">
        <is>
          <t>da 8 anni</t>
        </is>
      </c>
      <c r="F741" s="14" t="inlineStr">
        <is>
          <t>8+</t>
        </is>
      </c>
      <c r="G741" s="14" t="inlineStr">
        <is>
          <t>Romanzo</t>
        </is>
      </c>
      <c r="H741" s="14" t="inlineStr">
        <is>
          <t>Ambiente e amicizia</t>
        </is>
      </c>
      <c r="I741" s="14" t="inlineStr">
        <is>
          <t>No</t>
        </is>
      </c>
      <c r="J741" s="14" t="inlineStr">
        <is>
          <t>Catalogo</t>
        </is>
      </c>
      <c r="K741" s="14" t="inlineStr">
        <is>
          <t>8+, romanzo, narrativa</t>
        </is>
      </c>
      <c r="L741" s="14" t="inlineStr">
        <is>
          <t>https://www.edizionicorsare.it/categoria-prodotto/collane/storie-corsare/</t>
        </is>
      </c>
      <c r="M741" s="16" t="n">
        <v>15</v>
      </c>
      <c r="N741" s="14" t="inlineStr">
        <is>
          <t>Catalogo Edizioni Corsare Primavera 2026</t>
        </is>
      </c>
      <c r="O741" s="16">
        <f>IF(ISNUMBER(M741),ROUND(M741*(1-Condizioni!$B$2),2),"")</f>
        <v/>
      </c>
      <c r="P741" s="17" t="inlineStr">
        <is>
          <t>Sì</t>
        </is>
      </c>
    </row>
    <row r="742">
      <c r="A742" s="14" t="inlineStr">
        <is>
          <t>Edizioni Corsare</t>
        </is>
      </c>
      <c r="B742" s="14" t="inlineStr">
        <is>
          <t>Alieni</t>
        </is>
      </c>
      <c r="C742" s="14" t="inlineStr">
        <is>
          <t>Stefania Gatti</t>
        </is>
      </c>
      <c r="D742" s="14" t="inlineStr">
        <is>
          <t>Storie corsare</t>
        </is>
      </c>
      <c r="E742" s="14" t="inlineStr">
        <is>
          <t>da 9 anni</t>
        </is>
      </c>
      <c r="F742" s="14" t="inlineStr">
        <is>
          <t>9+</t>
        </is>
      </c>
      <c r="G742" s="14" t="inlineStr">
        <is>
          <t>Avventura</t>
        </is>
      </c>
      <c r="H742" s="14" t="inlineStr">
        <is>
          <t>Prese in giro, amicizia e ambiente</t>
        </is>
      </c>
      <c r="I742" s="14" t="inlineStr">
        <is>
          <t>No</t>
        </is>
      </c>
      <c r="J742" s="14" t="inlineStr">
        <is>
          <t>Catalogo</t>
        </is>
      </c>
      <c r="K742" s="14" t="inlineStr">
        <is>
          <t>9+, avventura, narrativa</t>
        </is>
      </c>
      <c r="L742" s="14" t="inlineStr">
        <is>
          <t>https://www.edizionicorsare.it/categoria-prodotto/collane/storie-corsare/</t>
        </is>
      </c>
      <c r="M742" s="16" t="n">
        <v>12</v>
      </c>
      <c r="N742" s="14" t="inlineStr">
        <is>
          <t>Catalogo Edizioni Corsare Primavera 2026</t>
        </is>
      </c>
      <c r="O742" s="16">
        <f>IF(ISNUMBER(M742),ROUND(M742*(1-Condizioni!$B$2),2),"")</f>
        <v/>
      </c>
      <c r="P742" s="17" t="inlineStr">
        <is>
          <t>Sì</t>
        </is>
      </c>
    </row>
    <row r="743">
      <c r="A743" s="14" t="inlineStr">
        <is>
          <t>Edizioni Corsare</t>
        </is>
      </c>
      <c r="B743" s="14" t="inlineStr">
        <is>
          <t>Due detective e mezzo</t>
        </is>
      </c>
      <c r="C743" s="14" t="inlineStr">
        <is>
          <t>(vedi scheda)</t>
        </is>
      </c>
      <c r="D743" s="14" t="inlineStr">
        <is>
          <t>Storie corsare</t>
        </is>
      </c>
      <c r="E743" s="14" t="inlineStr">
        <is>
          <t>9-13 anni</t>
        </is>
      </c>
      <c r="F743" s="14" t="inlineStr">
        <is>
          <t>9+</t>
        </is>
      </c>
      <c r="G743" s="14" t="inlineStr">
        <is>
          <t>Giallo/Mistero</t>
        </is>
      </c>
      <c r="H743" s="14" t="inlineStr"/>
      <c r="I743" s="14" t="inlineStr">
        <is>
          <t>No</t>
        </is>
      </c>
      <c r="J743" s="14" t="inlineStr">
        <is>
          <t>Collana</t>
        </is>
      </c>
      <c r="K743" s="14" t="inlineStr">
        <is>
          <t>9+, narrativa</t>
        </is>
      </c>
      <c r="L743" s="14" t="inlineStr">
        <is>
          <t>https://www.edizionicorsare.it/categoria-prodotto/collane/storie-corsare/</t>
        </is>
      </c>
      <c r="M743" s="16" t="n">
        <v>10</v>
      </c>
      <c r="N743" s="14" t="inlineStr">
        <is>
          <t>https://www.ibs.it/x/e/9788899136031</t>
        </is>
      </c>
      <c r="O743" s="16">
        <f>IF(ISNUMBER(M743),ROUND(M743*(1-Condizioni!$B$2),2),"")</f>
        <v/>
      </c>
      <c r="P743" s="17" t="inlineStr">
        <is>
          <t>Sì</t>
        </is>
      </c>
    </row>
    <row r="744">
      <c r="A744" s="14" t="inlineStr">
        <is>
          <t>Edizioni Corsare</t>
        </is>
      </c>
      <c r="B744" s="14" t="inlineStr">
        <is>
          <t>Elos</t>
        </is>
      </c>
      <c r="C744" s="14" t="inlineStr">
        <is>
          <t>Federica Ortolan; ill. Gianluca Garofalo</t>
        </is>
      </c>
      <c r="D744" s="14" t="inlineStr">
        <is>
          <t>Area ragazzi (albi illustrati)</t>
        </is>
      </c>
      <c r="E744" s="14" t="inlineStr">
        <is>
          <t>da 9 anni e per tutti</t>
        </is>
      </c>
      <c r="F744" s="14" t="inlineStr">
        <is>
          <t>9+</t>
        </is>
      </c>
      <c r="G744" s="14" t="inlineStr">
        <is>
          <t>Albo illustrato</t>
        </is>
      </c>
      <c r="H744" s="14" t="inlineStr">
        <is>
          <t>Guerra, disagio giovanile e solitudine</t>
        </is>
      </c>
      <c r="I744" s="14" t="inlineStr">
        <is>
          <t>No</t>
        </is>
      </c>
      <c r="J744" s="14" t="inlineStr">
        <is>
          <t>Catalogo</t>
        </is>
      </c>
      <c r="K744" s="14" t="inlineStr">
        <is>
          <t>9+</t>
        </is>
      </c>
      <c r="L744" s="14" t="inlineStr">
        <is>
          <t>Catalogo Edizioni Corsare Primavera 2026</t>
        </is>
      </c>
      <c r="M744" s="16" t="n">
        <v>18.9</v>
      </c>
      <c r="N744" s="14" t="inlineStr">
        <is>
          <t>Catalogo Edizioni Corsare Primavera 2026</t>
        </is>
      </c>
      <c r="O744" s="16">
        <f>IF(ISNUMBER(M744),ROUND(M744*(1-Condizioni!$B$2),2),"")</f>
        <v/>
      </c>
      <c r="P744" s="17" t="inlineStr">
        <is>
          <t>Sì</t>
        </is>
      </c>
    </row>
    <row r="745">
      <c r="A745" s="14" t="inlineStr">
        <is>
          <t>Edizioni Corsare</t>
        </is>
      </c>
      <c r="B745" s="14" t="inlineStr">
        <is>
          <t>Frottole e segreti</t>
        </is>
      </c>
      <c r="C745" s="14" t="inlineStr">
        <is>
          <t>Stefania Gatti</t>
        </is>
      </c>
      <c r="D745" s="14" t="inlineStr">
        <is>
          <t>Storie corsare</t>
        </is>
      </c>
      <c r="E745" s="14" t="inlineStr">
        <is>
          <t>da 9 anni</t>
        </is>
      </c>
      <c r="F745" s="14" t="inlineStr">
        <is>
          <t>9+</t>
        </is>
      </c>
      <c r="G745" s="14" t="inlineStr">
        <is>
          <t>Romanzo</t>
        </is>
      </c>
      <c r="H745" s="14" t="inlineStr">
        <is>
          <t>Balbuzie, solitudine e amicizia</t>
        </is>
      </c>
      <c r="I745" s="14" t="inlineStr">
        <is>
          <t>No</t>
        </is>
      </c>
      <c r="J745" s="14" t="inlineStr">
        <is>
          <t>Catalogo</t>
        </is>
      </c>
      <c r="K745" s="14" t="inlineStr">
        <is>
          <t>9+, romanzo, narrativa</t>
        </is>
      </c>
      <c r="L745" s="14" t="inlineStr">
        <is>
          <t>https://www.edizionicorsare.it/categoria-prodotto/collane/storie-corsare/</t>
        </is>
      </c>
      <c r="M745" s="16" t="n">
        <v>10</v>
      </c>
      <c r="N745" s="14" t="inlineStr">
        <is>
          <t>Catalogo Edizioni Corsare Primavera 2026</t>
        </is>
      </c>
      <c r="O745" s="16">
        <f>IF(ISNUMBER(M745),ROUND(M745*(1-Condizioni!$B$2),2),"")</f>
        <v/>
      </c>
      <c r="P745" s="17" t="inlineStr">
        <is>
          <t>Sì</t>
        </is>
      </c>
    </row>
    <row r="746">
      <c r="A746" s="14" t="inlineStr">
        <is>
          <t>Edizioni Corsare</t>
        </is>
      </c>
      <c r="B746" s="14" t="inlineStr">
        <is>
          <t>La città d'acqua</t>
        </is>
      </c>
      <c r="C746" s="14" t="inlineStr">
        <is>
          <t>Francesca Leita</t>
        </is>
      </c>
      <c r="D746" s="14" t="inlineStr">
        <is>
          <t>Storie corsare</t>
        </is>
      </c>
      <c r="E746" s="14" t="inlineStr">
        <is>
          <t>da 9 anni</t>
        </is>
      </c>
      <c r="F746" s="14" t="inlineStr">
        <is>
          <t>9+</t>
        </is>
      </c>
      <c r="G746" s="14" t="inlineStr">
        <is>
          <t>Romanzo</t>
        </is>
      </c>
      <c r="H746" s="14" t="inlineStr"/>
      <c r="I746" s="14" t="inlineStr">
        <is>
          <t>No</t>
        </is>
      </c>
      <c r="J746" s="14" t="inlineStr">
        <is>
          <t>Catalogo</t>
        </is>
      </c>
      <c r="K746" s="14" t="inlineStr">
        <is>
          <t>9+, romanzo, narrativa</t>
        </is>
      </c>
      <c r="L746" s="14" t="inlineStr">
        <is>
          <t>https://www.edizionicorsare.it/categoria-prodotto/collane/storie-corsare/</t>
        </is>
      </c>
      <c r="M746" s="16" t="n">
        <v>12</v>
      </c>
      <c r="N746" s="14" t="inlineStr">
        <is>
          <t>Catalogo Edizioni Corsare Primavera 2026</t>
        </is>
      </c>
      <c r="O746" s="16">
        <f>IF(ISNUMBER(M746),ROUND(M746*(1-Condizioni!$B$2),2),"")</f>
        <v/>
      </c>
      <c r="P746" s="17" t="inlineStr">
        <is>
          <t>Sì</t>
        </is>
      </c>
    </row>
    <row r="747">
      <c r="A747" s="14" t="inlineStr">
        <is>
          <t>Edizioni Corsare</t>
        </is>
      </c>
      <c r="B747" s="14" t="inlineStr">
        <is>
          <t>Leopard boy</t>
        </is>
      </c>
      <c r="C747" s="14" t="inlineStr">
        <is>
          <t>Marco Innocenti</t>
        </is>
      </c>
      <c r="D747" s="14" t="inlineStr">
        <is>
          <t>Storie corsare</t>
        </is>
      </c>
      <c r="E747" s="14" t="inlineStr">
        <is>
          <t>da 9 anni</t>
        </is>
      </c>
      <c r="F747" s="14" t="inlineStr">
        <is>
          <t>9+</t>
        </is>
      </c>
      <c r="G747" s="14" t="inlineStr">
        <is>
          <t>Avventura</t>
        </is>
      </c>
      <c r="H747" s="14" t="inlineStr">
        <is>
          <t>Bullismo, giustizia e vendetta</t>
        </is>
      </c>
      <c r="I747" s="14" t="inlineStr">
        <is>
          <t>No</t>
        </is>
      </c>
      <c r="J747" s="14" t="inlineStr">
        <is>
          <t>Catalogo</t>
        </is>
      </c>
      <c r="K747" s="14" t="inlineStr">
        <is>
          <t>9+, avventura, narrativa, bullismo</t>
        </is>
      </c>
      <c r="L747" s="14" t="inlineStr">
        <is>
          <t>https://www.edizionicorsare.it/categoria-prodotto/collane/storie-corsare/</t>
        </is>
      </c>
      <c r="M747" s="16" t="n">
        <v>12</v>
      </c>
      <c r="N747" s="14" t="inlineStr">
        <is>
          <t>Catalogo Edizioni Corsare Primavera 2026</t>
        </is>
      </c>
      <c r="O747" s="16">
        <f>IF(ISNUMBER(M747),ROUND(M747*(1-Condizioni!$B$2),2),"")</f>
        <v/>
      </c>
      <c r="P747" s="17" t="inlineStr">
        <is>
          <t>Sì</t>
        </is>
      </c>
    </row>
    <row r="748">
      <c r="A748" s="14" t="inlineStr">
        <is>
          <t>Edizioni Corsare</t>
        </is>
      </c>
      <c r="B748" s="14" t="inlineStr">
        <is>
          <t>Miss Mina</t>
        </is>
      </c>
      <c r="C748" s="14" t="inlineStr">
        <is>
          <t>Marco Innocenti</t>
        </is>
      </c>
      <c r="D748" s="14" t="inlineStr">
        <is>
          <t>Storie corsare</t>
        </is>
      </c>
      <c r="E748" s="14" t="inlineStr">
        <is>
          <t>da 9 anni</t>
        </is>
      </c>
      <c r="F748" s="14" t="inlineStr">
        <is>
          <t>9+</t>
        </is>
      </c>
      <c r="G748" s="14" t="inlineStr">
        <is>
          <t>Romanzo</t>
        </is>
      </c>
      <c r="H748" s="14" t="inlineStr">
        <is>
          <t>Disabilità, guerra e resilienza</t>
        </is>
      </c>
      <c r="I748" s="14" t="inlineStr">
        <is>
          <t>No</t>
        </is>
      </c>
      <c r="J748" s="14" t="inlineStr">
        <is>
          <t>Catalogo</t>
        </is>
      </c>
      <c r="K748" s="14" t="inlineStr">
        <is>
          <t>9+, romanzo, narrativa</t>
        </is>
      </c>
      <c r="L748" s="14" t="inlineStr">
        <is>
          <t>https://www.edizionicorsare.it/categoria-prodotto/collane/storie-corsare/</t>
        </is>
      </c>
      <c r="M748" s="16" t="n">
        <v>10</v>
      </c>
      <c r="N748" s="14" t="inlineStr">
        <is>
          <t>Catalogo Edizioni Corsare Primavera 2026</t>
        </is>
      </c>
      <c r="O748" s="16">
        <f>IF(ISNUMBER(M748),ROUND(M748*(1-Condizioni!$B$2),2),"")</f>
        <v/>
      </c>
      <c r="P748" s="17" t="inlineStr">
        <is>
          <t>Sì</t>
        </is>
      </c>
    </row>
    <row r="749">
      <c r="A749" s="14" t="inlineStr">
        <is>
          <t>Edizioni Corsare</t>
        </is>
      </c>
      <c r="B749" s="14" t="inlineStr">
        <is>
          <t>Pericolo smartphone</t>
        </is>
      </c>
      <c r="C749" s="14" t="inlineStr">
        <is>
          <t>(vedi scheda)</t>
        </is>
      </c>
      <c r="D749" s="14" t="inlineStr">
        <is>
          <t>Storie corsare</t>
        </is>
      </c>
      <c r="E749" s="14" t="inlineStr">
        <is>
          <t>9-13 anni (+ guida per adulti)</t>
        </is>
      </c>
      <c r="F749" s="14" t="inlineStr">
        <is>
          <t>9+</t>
        </is>
      </c>
      <c r="G749" s="14" t="inlineStr">
        <is>
          <t>Divulgazione/Saggio</t>
        </is>
      </c>
      <c r="H749" s="14" t="inlineStr">
        <is>
          <t>Uso consapevole di web e social</t>
        </is>
      </c>
      <c r="I749" s="14" t="inlineStr">
        <is>
          <t>No</t>
        </is>
      </c>
      <c r="J749" s="14" t="inlineStr">
        <is>
          <t>Collana</t>
        </is>
      </c>
      <c r="K749" s="14" t="inlineStr">
        <is>
          <t>9+</t>
        </is>
      </c>
      <c r="L749" s="14" t="inlineStr">
        <is>
          <t>https://www.edizionicorsare.it/categoria-prodotto/collane/storie-corsare/</t>
        </is>
      </c>
      <c r="M749" s="16" t="n">
        <v>12</v>
      </c>
      <c r="N749" s="14" t="inlineStr">
        <is>
          <t>https://www.ibs.it/x/e/9788899136277</t>
        </is>
      </c>
      <c r="O749" s="16">
        <f>IF(ISNUMBER(M749),ROUND(M749*(1-Condizioni!$B$2),2),"")</f>
        <v/>
      </c>
      <c r="P749" s="17" t="inlineStr">
        <is>
          <t>Sì</t>
        </is>
      </c>
    </row>
    <row r="750">
      <c r="A750" s="14" t="inlineStr">
        <is>
          <t>Edizioni Corsare</t>
        </is>
      </c>
      <c r="B750" s="14" t="inlineStr">
        <is>
          <t>Roka il figlio della terra</t>
        </is>
      </c>
      <c r="C750" s="14" t="inlineStr">
        <is>
          <t>Dino Ticli</t>
        </is>
      </c>
      <c r="D750" s="14" t="inlineStr">
        <is>
          <t>Storie corsare</t>
        </is>
      </c>
      <c r="E750" s="14" t="inlineStr">
        <is>
          <t>da 9 anni</t>
        </is>
      </c>
      <c r="F750" s="14" t="inlineStr">
        <is>
          <t>9+</t>
        </is>
      </c>
      <c r="G750" s="14" t="inlineStr">
        <is>
          <t>Avventura</t>
        </is>
      </c>
      <c r="H750" s="14" t="inlineStr">
        <is>
          <t>Rispetto per l’altro e preistoria</t>
        </is>
      </c>
      <c r="I750" s="14" t="inlineStr">
        <is>
          <t>No</t>
        </is>
      </c>
      <c r="J750" s="14" t="inlineStr">
        <is>
          <t>Catalogo</t>
        </is>
      </c>
      <c r="K750" s="14" t="inlineStr">
        <is>
          <t>9+, avventura, narrativa</t>
        </is>
      </c>
      <c r="L750" s="14" t="inlineStr">
        <is>
          <t>https://www.edizionicorsare.it/categoria-prodotto/collane/storie-corsare/</t>
        </is>
      </c>
      <c r="M750" s="16" t="n">
        <v>12</v>
      </c>
      <c r="N750" s="14" t="inlineStr">
        <is>
          <t>Catalogo Edizioni Corsare Primavera 2026</t>
        </is>
      </c>
      <c r="O750" s="16">
        <f>IF(ISNUMBER(M750),ROUND(M750*(1-Condizioni!$B$2),2),"")</f>
        <v/>
      </c>
      <c r="P750" s="17" t="inlineStr">
        <is>
          <t>Sì</t>
        </is>
      </c>
    </row>
    <row r="751">
      <c r="A751" s="14" t="inlineStr">
        <is>
          <t>Edizioni Corsare</t>
        </is>
      </c>
      <c r="B751" s="14" t="inlineStr">
        <is>
          <t>Ryunio. La bambina-drago</t>
        </is>
      </c>
      <c r="C751" s="14" t="inlineStr">
        <is>
          <t>Roberta Calandra</t>
        </is>
      </c>
      <c r="D751" s="14" t="inlineStr">
        <is>
          <t>Storie corsare</t>
        </is>
      </c>
      <c r="E751" s="14" t="inlineStr">
        <is>
          <t>da 9 anni</t>
        </is>
      </c>
      <c r="F751" s="14" t="inlineStr">
        <is>
          <t>9+</t>
        </is>
      </c>
      <c r="G751" s="14" t="inlineStr">
        <is>
          <t>Romanzo</t>
        </is>
      </c>
      <c r="H751" s="14" t="inlineStr">
        <is>
          <t>Adozione e accoglienza</t>
        </is>
      </c>
      <c r="I751" s="14" t="inlineStr">
        <is>
          <t>No</t>
        </is>
      </c>
      <c r="J751" s="14" t="inlineStr">
        <is>
          <t>Catalogo</t>
        </is>
      </c>
      <c r="K751" s="14" t="inlineStr">
        <is>
          <t>9+, romanzo, narrativa</t>
        </is>
      </c>
      <c r="L751" s="14" t="inlineStr">
        <is>
          <t>https://www.edizionicorsare.it/categoria-prodotto/collane/storie-corsare/</t>
        </is>
      </c>
      <c r="M751" s="16" t="n">
        <v>10.5</v>
      </c>
      <c r="N751" s="14" t="inlineStr">
        <is>
          <t>Catalogo Edizioni Corsare Primavera 2026</t>
        </is>
      </c>
      <c r="O751" s="16">
        <f>IF(ISNUMBER(M751),ROUND(M751*(1-Condizioni!$B$2),2),"")</f>
        <v/>
      </c>
      <c r="P751" s="17" t="inlineStr">
        <is>
          <t>Sì</t>
        </is>
      </c>
    </row>
    <row r="752">
      <c r="A752" s="14" t="inlineStr">
        <is>
          <t>Edizioni Corsare</t>
        </is>
      </c>
      <c r="B752" s="14" t="inlineStr">
        <is>
          <t>Un emoji per amico</t>
        </is>
      </c>
      <c r="C752" s="14" t="inlineStr">
        <is>
          <t>OSA (Ottocento Straordinari Allievi)</t>
        </is>
      </c>
      <c r="D752" s="14" t="inlineStr">
        <is>
          <t>Storie corsare</t>
        </is>
      </c>
      <c r="E752" s="14" t="inlineStr">
        <is>
          <t>da 9 anni</t>
        </is>
      </c>
      <c r="F752" s="14" t="inlineStr">
        <is>
          <t>9+</t>
        </is>
      </c>
      <c r="G752" s="14" t="inlineStr">
        <is>
          <t>Romanzo</t>
        </is>
      </c>
      <c r="H752" s="14" t="inlineStr">
        <is>
          <t>Dipendenza dal web, cyberbullismo e social network</t>
        </is>
      </c>
      <c r="I752" s="14" t="inlineStr">
        <is>
          <t>No</t>
        </is>
      </c>
      <c r="J752" s="14" t="inlineStr">
        <is>
          <t>Catalogo</t>
        </is>
      </c>
      <c r="K752" s="14" t="inlineStr">
        <is>
          <t>9+, romanzo, narrativa, bullismo</t>
        </is>
      </c>
      <c r="L752" s="14" t="inlineStr">
        <is>
          <t>https://www.edizionicorsare.it/categoria-prodotto/collane/storie-corsare/</t>
        </is>
      </c>
      <c r="M752" s="16" t="n">
        <v>12</v>
      </c>
      <c r="N752" s="14" t="inlineStr">
        <is>
          <t>Catalogo Edizioni Corsare Primavera 2026</t>
        </is>
      </c>
      <c r="O752" s="16">
        <f>IF(ISNUMBER(M752),ROUND(M752*(1-Condizioni!$B$2),2),"")</f>
        <v/>
      </c>
      <c r="P752" s="17" t="inlineStr">
        <is>
          <t>Sì</t>
        </is>
      </c>
    </row>
    <row r="753">
      <c r="A753" s="14" t="inlineStr">
        <is>
          <t>Edizioni Corsare</t>
        </is>
      </c>
      <c r="B753" s="14" t="inlineStr">
        <is>
          <t>Viola, la gallina e il soldato</t>
        </is>
      </c>
      <c r="C753" s="14" t="inlineStr">
        <is>
          <t>M. Beatrice Masella</t>
        </is>
      </c>
      <c r="D753" s="14" t="inlineStr">
        <is>
          <t>Storie corsare</t>
        </is>
      </c>
      <c r="E753" s="14" t="inlineStr">
        <is>
          <t>da 9 anni</t>
        </is>
      </c>
      <c r="F753" s="14" t="inlineStr">
        <is>
          <t>9+</t>
        </is>
      </c>
      <c r="G753" s="14" t="inlineStr">
        <is>
          <t>Romanzo</t>
        </is>
      </c>
      <c r="H753" s="14" t="inlineStr">
        <is>
          <t>Seconda guerra mondiale e coraggio</t>
        </is>
      </c>
      <c r="I753" s="14" t="inlineStr">
        <is>
          <t>No</t>
        </is>
      </c>
      <c r="J753" s="14" t="inlineStr">
        <is>
          <t>Catalogo</t>
        </is>
      </c>
      <c r="K753" s="14" t="inlineStr">
        <is>
          <t>9+, romanzo, narrativa</t>
        </is>
      </c>
      <c r="L753" s="14" t="inlineStr">
        <is>
          <t>https://www.edizionicorsare.it/categoria-prodotto/collane/storie-corsare/</t>
        </is>
      </c>
      <c r="M753" s="16" t="n">
        <v>12</v>
      </c>
      <c r="N753" s="14" t="inlineStr">
        <is>
          <t>Catalogo Edizioni Corsare Primavera 2026</t>
        </is>
      </c>
      <c r="O753" s="16">
        <f>IF(ISNUMBER(M753),ROUND(M753*(1-Condizioni!$B$2),2),"")</f>
        <v/>
      </c>
      <c r="P753" s="17" t="inlineStr">
        <is>
          <t>Sì</t>
        </is>
      </c>
    </row>
    <row r="754">
      <c r="A754" s="14" t="inlineStr">
        <is>
          <t>Edizioni Corsare</t>
        </is>
      </c>
      <c r="B754" s="14" t="inlineStr">
        <is>
          <t>Virginia e il tesoro perduto di Michelangelo</t>
        </is>
      </c>
      <c r="C754" s="14" t="inlineStr">
        <is>
          <t>Valentina Salerno; ill. Martina Distefano</t>
        </is>
      </c>
      <c r="D754" s="14" t="inlineStr">
        <is>
          <t>Storie corsare</t>
        </is>
      </c>
      <c r="E754" s="14" t="inlineStr">
        <is>
          <t>da 9 anni</t>
        </is>
      </c>
      <c r="F754" s="14" t="inlineStr">
        <is>
          <t>9+</t>
        </is>
      </c>
      <c r="G754" s="14" t="inlineStr">
        <is>
          <t>Avventura</t>
        </is>
      </c>
      <c r="H754" s="14" t="inlineStr">
        <is>
          <t>Arte e storia</t>
        </is>
      </c>
      <c r="I754" s="14" t="inlineStr">
        <is>
          <t>No</t>
        </is>
      </c>
      <c r="J754" s="14" t="inlineStr">
        <is>
          <t>Catalogo</t>
        </is>
      </c>
      <c r="K754" s="14" t="inlineStr">
        <is>
          <t>9+, avventura, narrativa</t>
        </is>
      </c>
      <c r="L754" s="14" t="inlineStr">
        <is>
          <t>https://www.edizionicorsare.it/categoria-prodotto/collane/storie-corsare/</t>
        </is>
      </c>
      <c r="M754" s="16" t="n">
        <v>15</v>
      </c>
      <c r="N754" s="14" t="inlineStr">
        <is>
          <t>Catalogo Edizioni Corsare Primavera 2026</t>
        </is>
      </c>
      <c r="O754" s="16">
        <f>IF(ISNUMBER(M754),ROUND(M754*(1-Condizioni!$B$2),2),"")</f>
        <v/>
      </c>
      <c r="P754" s="17" t="inlineStr">
        <is>
          <t>Sì</t>
        </is>
      </c>
    </row>
    <row r="755">
      <c r="A755" s="14" t="inlineStr">
        <is>
          <t>Edizioni Corsare</t>
        </is>
      </c>
      <c r="B755" s="14" t="inlineStr">
        <is>
          <t>Due ragazzi nella Firenze dei Medici</t>
        </is>
      </c>
      <c r="C755" s="14" t="inlineStr">
        <is>
          <t>Marco Di Tillo</t>
        </is>
      </c>
      <c r="D755" s="14" t="inlineStr">
        <is>
          <t>Storie corsare</t>
        </is>
      </c>
      <c r="E755" s="14" t="inlineStr">
        <is>
          <t>da 10 anni</t>
        </is>
      </c>
      <c r="F755" s="14" t="inlineStr">
        <is>
          <t>10+</t>
        </is>
      </c>
      <c r="G755" s="14" t="inlineStr">
        <is>
          <t>Romanzo</t>
        </is>
      </c>
      <c r="H755" s="14" t="inlineStr"/>
      <c r="I755" s="14" t="inlineStr">
        <is>
          <t>No</t>
        </is>
      </c>
      <c r="J755" s="14" t="inlineStr">
        <is>
          <t>Catalogo</t>
        </is>
      </c>
      <c r="K755" s="14" t="inlineStr">
        <is>
          <t>10+, romanzo, narrativa</t>
        </is>
      </c>
      <c r="L755" s="14" t="inlineStr">
        <is>
          <t>https://www.edizionicorsare.it/categoria-prodotto/collane/storie-corsare/</t>
        </is>
      </c>
      <c r="M755" s="16" t="n">
        <v>12</v>
      </c>
      <c r="N755" s="14" t="inlineStr">
        <is>
          <t>Catalogo Edizioni Corsare Primavera 2026</t>
        </is>
      </c>
      <c r="O755" s="16">
        <f>IF(ISNUMBER(M755),ROUND(M755*(1-Condizioni!$B$2),2),"")</f>
        <v/>
      </c>
      <c r="P755" s="17" t="inlineStr">
        <is>
          <t>Sì</t>
        </is>
      </c>
    </row>
    <row r="756">
      <c r="A756" s="14" t="inlineStr">
        <is>
          <t>Edizioni Corsare</t>
        </is>
      </c>
      <c r="B756" s="14" t="inlineStr">
        <is>
          <t>Il ladro di Picasso</t>
        </is>
      </c>
      <c r="C756" s="14" t="inlineStr">
        <is>
          <t>Marco Di Tillo</t>
        </is>
      </c>
      <c r="D756" s="14" t="inlineStr">
        <is>
          <t>Storie corsare</t>
        </is>
      </c>
      <c r="E756" s="14" t="inlineStr">
        <is>
          <t>da 10 anni</t>
        </is>
      </c>
      <c r="F756" s="14" t="inlineStr">
        <is>
          <t>10+</t>
        </is>
      </c>
      <c r="G756" s="14" t="inlineStr">
        <is>
          <t>Giallo/Mistero</t>
        </is>
      </c>
      <c r="H756" s="14" t="inlineStr"/>
      <c r="I756" s="14" t="inlineStr">
        <is>
          <t>No</t>
        </is>
      </c>
      <c r="J756" s="14" t="inlineStr">
        <is>
          <t>Catalogo</t>
        </is>
      </c>
      <c r="K756" s="14" t="inlineStr">
        <is>
          <t>10+, narrativa</t>
        </is>
      </c>
      <c r="L756" s="14" t="inlineStr">
        <is>
          <t>https://www.edizionicorsare.it/categoria-prodotto/collane/storie-corsare/</t>
        </is>
      </c>
      <c r="M756" s="16" t="n">
        <v>10</v>
      </c>
      <c r="N756" s="14" t="inlineStr">
        <is>
          <t>Catalogo Edizioni Corsare Primavera 2026</t>
        </is>
      </c>
      <c r="O756" s="16">
        <f>IF(ISNUMBER(M756),ROUND(M756*(1-Condizioni!$B$2),2),"")</f>
        <v/>
      </c>
      <c r="P756" s="17" t="inlineStr">
        <is>
          <t>Sì</t>
        </is>
      </c>
    </row>
    <row r="757">
      <c r="A757" s="14" t="inlineStr">
        <is>
          <t>Edizioni Corsare</t>
        </is>
      </c>
      <c r="B757" s="14" t="inlineStr">
        <is>
          <t>Wonder Football Club (serie)</t>
        </is>
      </c>
      <c r="C757" s="14" t="inlineStr">
        <is>
          <t>Marco Innocenti</t>
        </is>
      </c>
      <c r="D757" s="14" t="inlineStr">
        <is>
          <t>Wonder Football Club</t>
        </is>
      </c>
      <c r="E757" s="14" t="inlineStr">
        <is>
          <t>da 10 anni</t>
        </is>
      </c>
      <c r="F757" s="14" t="inlineStr">
        <is>
          <t>10+</t>
        </is>
      </c>
      <c r="G757" s="14" t="inlineStr">
        <is>
          <t>Romanzo</t>
        </is>
      </c>
      <c r="H757" s="14" t="inlineStr">
        <is>
          <t>Sport, amicizia e lavoro di squadra</t>
        </is>
      </c>
      <c r="I757" s="14" t="inlineStr">
        <is>
          <t>No</t>
        </is>
      </c>
      <c r="J757" s="14" t="inlineStr">
        <is>
          <t>Catalogo</t>
        </is>
      </c>
      <c r="K757" s="14" t="inlineStr">
        <is>
          <t>10+, romanzo, narrativa</t>
        </is>
      </c>
      <c r="L757" s="14" t="inlineStr">
        <is>
          <t>https://www.ibs.it/libri/collane/storie-corsare-p204353</t>
        </is>
      </c>
      <c r="M757" s="16" t="n">
        <v>12</v>
      </c>
      <c r="N757" s="14" t="inlineStr">
        <is>
          <t>Catalogo Edizioni Corsare Primavera 2026</t>
        </is>
      </c>
      <c r="O757" s="16">
        <f>IF(ISNUMBER(M757),ROUND(M757*(1-Condizioni!$B$2),2),"")</f>
        <v/>
      </c>
      <c r="P757" s="17" t="inlineStr">
        <is>
          <t>Sì</t>
        </is>
      </c>
    </row>
    <row r="758">
      <c r="A758" s="14" t="inlineStr">
        <is>
          <t>Edizioni Corsare</t>
        </is>
      </c>
      <c r="B758" s="14" t="inlineStr">
        <is>
          <t>Americhea</t>
        </is>
      </c>
      <c r="C758" s="14" t="inlineStr">
        <is>
          <t>Antonella Restelli; ill. Sara Cimarosti</t>
        </is>
      </c>
      <c r="D758" s="14" t="inlineStr">
        <is>
          <t>Narrativa YA / Border</t>
        </is>
      </c>
      <c r="E758" s="14" t="inlineStr">
        <is>
          <t>14+</t>
        </is>
      </c>
      <c r="F758" s="14" t="inlineStr">
        <is>
          <t>Adolescenza (14+)</t>
        </is>
      </c>
      <c r="G758" s="14" t="inlineStr">
        <is>
          <t>Romanzo</t>
        </is>
      </c>
      <c r="H758" s="14" t="inlineStr">
        <is>
          <t>Parità di genere e violenza</t>
        </is>
      </c>
      <c r="I758" s="14" t="inlineStr">
        <is>
          <t>No</t>
        </is>
      </c>
      <c r="J758" s="14" t="inlineStr">
        <is>
          <t>Catalogo</t>
        </is>
      </c>
      <c r="K758" s="14" t="inlineStr">
        <is>
          <t>adolescenza, romanzo, narrativa</t>
        </is>
      </c>
      <c r="L758" s="14" t="inlineStr">
        <is>
          <t>https://www.edizionicorsare.it/categoria-prodotto/collane/border-young-adult/</t>
        </is>
      </c>
      <c r="M758" s="16" t="n">
        <v>16</v>
      </c>
      <c r="N758" s="14" t="inlineStr">
        <is>
          <t>Catalogo Edizioni Corsare Primavera 2026</t>
        </is>
      </c>
      <c r="O758" s="16">
        <f>IF(ISNUMBER(M758),ROUND(M758*(1-Condizioni!$B$2),2),"")</f>
        <v/>
      </c>
      <c r="P758" s="17" t="inlineStr">
        <is>
          <t>Sì</t>
        </is>
      </c>
    </row>
    <row r="759">
      <c r="A759" s="14" t="inlineStr">
        <is>
          <t>Edizioni Corsare</t>
        </is>
      </c>
      <c r="B759" s="14" t="inlineStr">
        <is>
          <t>Curare le pietre</t>
        </is>
      </c>
      <c r="C759" s="14" t="inlineStr">
        <is>
          <t>Antonella Giacon</t>
        </is>
      </c>
      <c r="D759" s="14" t="inlineStr">
        <is>
          <t>Narrativa YA / Border</t>
        </is>
      </c>
      <c r="E759" s="14" t="inlineStr">
        <is>
          <t>14+</t>
        </is>
      </c>
      <c r="F759" s="14" t="inlineStr">
        <is>
          <t>Adolescenza (14+)</t>
        </is>
      </c>
      <c r="G759" s="14" t="inlineStr">
        <is>
          <t>Romanzo</t>
        </is>
      </c>
      <c r="H759" s="14" t="inlineStr">
        <is>
          <t>Volontariato e solidarietà</t>
        </is>
      </c>
      <c r="I759" s="14" t="inlineStr">
        <is>
          <t>No</t>
        </is>
      </c>
      <c r="J759" s="14" t="inlineStr">
        <is>
          <t>Catalogo</t>
        </is>
      </c>
      <c r="K759" s="14" t="inlineStr">
        <is>
          <t>adolescenza, romanzo, narrativa</t>
        </is>
      </c>
      <c r="L759" s="14" t="inlineStr">
        <is>
          <t>https://www.edizionicorsare.it/categoria-prodotto/collane/border-young-adult/</t>
        </is>
      </c>
      <c r="M759" s="16" t="n">
        <v>13</v>
      </c>
      <c r="N759" s="14" t="inlineStr">
        <is>
          <t>Catalogo Edizioni Corsare Primavera 2026</t>
        </is>
      </c>
      <c r="O759" s="16">
        <f>IF(ISNUMBER(M759),ROUND(M759*(1-Condizioni!$B$2),2),"")</f>
        <v/>
      </c>
      <c r="P759" s="17" t="inlineStr">
        <is>
          <t>Sì</t>
        </is>
      </c>
    </row>
    <row r="760">
      <c r="A760" s="14" t="inlineStr">
        <is>
          <t>Edizioni Corsare</t>
        </is>
      </c>
      <c r="B760" s="14" t="inlineStr">
        <is>
          <t>Diana e il segreto dei lupasky</t>
        </is>
      </c>
      <c r="C760" s="14" t="inlineStr">
        <is>
          <t>Giuliana Fanti</t>
        </is>
      </c>
      <c r="D760" s="14" t="inlineStr">
        <is>
          <t>Narrativa YA / Border</t>
        </is>
      </c>
      <c r="E760" s="14" t="inlineStr">
        <is>
          <t>14+</t>
        </is>
      </c>
      <c r="F760" s="14" t="inlineStr">
        <is>
          <t>Adolescenza (14+)</t>
        </is>
      </c>
      <c r="G760" s="14" t="inlineStr">
        <is>
          <t>Romanzo</t>
        </is>
      </c>
      <c r="H760" s="14" t="inlineStr">
        <is>
          <t>Ambiente e alleanza con gli animali</t>
        </is>
      </c>
      <c r="I760" s="14" t="inlineStr">
        <is>
          <t>No</t>
        </is>
      </c>
      <c r="J760" s="14" t="inlineStr">
        <is>
          <t>Catalogo</t>
        </is>
      </c>
      <c r="K760" s="14" t="inlineStr">
        <is>
          <t>adolescenza, romanzo, narrativa</t>
        </is>
      </c>
      <c r="L760" s="14" t="inlineStr">
        <is>
          <t>https://www.edizionicorsare.it/categoria-prodotto/collane/border-young-adult/</t>
        </is>
      </c>
      <c r="M760" s="16" t="n">
        <v>13</v>
      </c>
      <c r="N760" s="14" t="inlineStr">
        <is>
          <t>Catalogo Edizioni Corsare Primavera 2026</t>
        </is>
      </c>
      <c r="O760" s="16">
        <f>IF(ISNUMBER(M760),ROUND(M760*(1-Condizioni!$B$2),2),"")</f>
        <v/>
      </c>
      <c r="P760" s="17" t="inlineStr">
        <is>
          <t>Sì</t>
        </is>
      </c>
    </row>
    <row r="761">
      <c r="A761" s="14" t="inlineStr">
        <is>
          <t>Edizioni Corsare</t>
        </is>
      </c>
      <c r="B761" s="14" t="inlineStr">
        <is>
          <t>L'estate in cui Ethan salvò San Francisco</t>
        </is>
      </c>
      <c r="C761" s="14" t="inlineStr">
        <is>
          <t>Gianluca Grechi</t>
        </is>
      </c>
      <c r="D761" s="14" t="inlineStr">
        <is>
          <t>Narrativa YA / Border</t>
        </is>
      </c>
      <c r="E761" s="14" t="inlineStr">
        <is>
          <t>14+</t>
        </is>
      </c>
      <c r="F761" s="14" t="inlineStr">
        <is>
          <t>Adolescenza (14+)</t>
        </is>
      </c>
      <c r="G761" s="14" t="inlineStr">
        <is>
          <t>Romanzo</t>
        </is>
      </c>
      <c r="H761" s="14" t="inlineStr"/>
      <c r="I761" s="14" t="inlineStr">
        <is>
          <t>No</t>
        </is>
      </c>
      <c r="J761" s="14" t="inlineStr">
        <is>
          <t>Catalogo</t>
        </is>
      </c>
      <c r="K761" s="14" t="inlineStr">
        <is>
          <t>adolescenza, romanzo, narrativa</t>
        </is>
      </c>
      <c r="L761" s="14" t="inlineStr">
        <is>
          <t>https://www.edizionicorsare.it/categoria-prodotto/collane/border-young-adult/</t>
        </is>
      </c>
      <c r="M761" s="16" t="n">
        <v>13</v>
      </c>
      <c r="N761" s="14" t="inlineStr">
        <is>
          <t>Catalogo Edizioni Corsare Primavera 2026</t>
        </is>
      </c>
      <c r="O761" s="16">
        <f>IF(ISNUMBER(M761),ROUND(M761*(1-Condizioni!$B$2),2),"")</f>
        <v/>
      </c>
      <c r="P761" s="17" t="inlineStr">
        <is>
          <t>Sì</t>
        </is>
      </c>
    </row>
    <row r="762">
      <c r="A762" s="14" t="inlineStr">
        <is>
          <t>Edizioni Corsare</t>
        </is>
      </c>
      <c r="B762" s="14" t="inlineStr">
        <is>
          <t>L'ultimo tornado</t>
        </is>
      </c>
      <c r="C762" s="14" t="inlineStr">
        <is>
          <t>Alberto Bellini</t>
        </is>
      </c>
      <c r="D762" s="14" t="inlineStr">
        <is>
          <t>Narrativa YA / Border</t>
        </is>
      </c>
      <c r="E762" s="14" t="inlineStr">
        <is>
          <t>14+</t>
        </is>
      </c>
      <c r="F762" s="14" t="inlineStr">
        <is>
          <t>Adolescenza (14+)</t>
        </is>
      </c>
      <c r="G762" s="14" t="inlineStr">
        <is>
          <t>Romanzo</t>
        </is>
      </c>
      <c r="H762" s="14" t="inlineStr">
        <is>
          <t>Solitudine e crescita</t>
        </is>
      </c>
      <c r="I762" s="14" t="inlineStr">
        <is>
          <t>No</t>
        </is>
      </c>
      <c r="J762" s="14" t="inlineStr">
        <is>
          <t>Catalogo</t>
        </is>
      </c>
      <c r="K762" s="14" t="inlineStr">
        <is>
          <t>adolescenza, romanzo, narrativa</t>
        </is>
      </c>
      <c r="L762" s="14" t="inlineStr">
        <is>
          <t>https://www.edizionicorsare.it/categoria-prodotto/collane/border-young-adult/</t>
        </is>
      </c>
      <c r="M762" s="16" t="n">
        <v>14</v>
      </c>
      <c r="N762" s="14" t="inlineStr">
        <is>
          <t>Catalogo Edizioni Corsare Primavera 2026</t>
        </is>
      </c>
      <c r="O762" s="16">
        <f>IF(ISNUMBER(M762),ROUND(M762*(1-Condizioni!$B$2),2),"")</f>
        <v/>
      </c>
      <c r="P762" s="17" t="inlineStr">
        <is>
          <t>Sì</t>
        </is>
      </c>
    </row>
    <row r="763">
      <c r="A763" s="14" t="inlineStr">
        <is>
          <t>Edizioni Corsare</t>
        </is>
      </c>
      <c r="B763" s="14" t="inlineStr">
        <is>
          <t>Quattro giorni</t>
        </is>
      </c>
      <c r="C763" s="14" t="inlineStr">
        <is>
          <t>Antonella Giacon</t>
        </is>
      </c>
      <c r="D763" s="14" t="inlineStr">
        <is>
          <t>Narrativa YA / Border</t>
        </is>
      </c>
      <c r="E763" s="14" t="inlineStr">
        <is>
          <t>14+</t>
        </is>
      </c>
      <c r="F763" s="14" t="inlineStr">
        <is>
          <t>Adolescenza (14+)</t>
        </is>
      </c>
      <c r="G763" s="14" t="inlineStr">
        <is>
          <t>Romanzo</t>
        </is>
      </c>
      <c r="H763" s="14" t="inlineStr">
        <is>
          <t>Libertà e crescita</t>
        </is>
      </c>
      <c r="I763" s="14" t="inlineStr">
        <is>
          <t>No</t>
        </is>
      </c>
      <c r="J763" s="14" t="inlineStr">
        <is>
          <t>Catalogo</t>
        </is>
      </c>
      <c r="K763" s="14" t="inlineStr">
        <is>
          <t>adolescenza, romanzo, narrativa</t>
        </is>
      </c>
      <c r="L763" s="14" t="inlineStr">
        <is>
          <t>https://www.edizionicorsare.it/categoria-prodotto/collane/border-young-adult/</t>
        </is>
      </c>
      <c r="M763" s="16" t="n">
        <v>12</v>
      </c>
      <c r="N763" s="14" t="inlineStr">
        <is>
          <t>Catalogo Edizioni Corsare Primavera 2026</t>
        </is>
      </c>
      <c r="O763" s="16">
        <f>IF(ISNUMBER(M763),ROUND(M763*(1-Condizioni!$B$2),2),"")</f>
        <v/>
      </c>
      <c r="P763" s="17" t="inlineStr">
        <is>
          <t>Sì</t>
        </is>
      </c>
    </row>
    <row r="764">
      <c r="A764" s="14" t="inlineStr">
        <is>
          <t>Minibombo</t>
        </is>
      </c>
      <c r="B764" s="14" t="inlineStr">
        <is>
          <t>Adesso ti prendo</t>
        </is>
      </c>
      <c r="C764" s="14" t="inlineStr">
        <is>
          <t>Ilaria Antonini, Barbara Balduzzi e Marco Scalcione</t>
        </is>
      </c>
      <c r="D764" s="14" t="inlineStr">
        <is>
          <t>Catalogo Minibombo 2026</t>
        </is>
      </c>
      <c r="E764" s="14" t="inlineStr">
        <is>
          <t>dai 2 anni</t>
        </is>
      </c>
      <c r="F764" s="14" t="inlineStr">
        <is>
          <t>0-3 anni</t>
        </is>
      </c>
      <c r="G764" s="14" t="inlineStr">
        <is>
          <t>Albo illustrato</t>
        </is>
      </c>
      <c r="H764" s="14" t="inlineStr"/>
      <c r="I764" s="14" t="inlineStr">
        <is>
          <t>No</t>
        </is>
      </c>
      <c r="J764" s="14" t="inlineStr">
        <is>
          <t>Catalogo</t>
        </is>
      </c>
      <c r="K764" s="14" t="inlineStr">
        <is>
          <t>0-3 anni</t>
        </is>
      </c>
      <c r="L764" s="14" t="inlineStr">
        <is>
          <t>Catalogo Minibombo 2026 (ISBN 9788898177707)</t>
        </is>
      </c>
      <c r="M764" s="16" t="n">
        <v>13.9</v>
      </c>
      <c r="N764" s="14" t="inlineStr">
        <is>
          <t>Catalogo Minibombo 2026</t>
        </is>
      </c>
      <c r="O764" s="16">
        <f>IF(ISNUMBER(M764),ROUND(M764*(1-Condizioni!$B$2),2),"")</f>
        <v/>
      </c>
      <c r="P764" s="17" t="inlineStr">
        <is>
          <t>No</t>
        </is>
      </c>
    </row>
    <row r="765">
      <c r="A765" s="14" t="inlineStr">
        <is>
          <t>Minibombo</t>
        </is>
      </c>
      <c r="B765" s="14" t="inlineStr">
        <is>
          <t>Apri la gabbia!</t>
        </is>
      </c>
      <c r="C765" s="14" t="inlineStr">
        <is>
          <t>Silvia Borando e Lorenzo Clerici</t>
        </is>
      </c>
      <c r="D765" s="14" t="inlineStr">
        <is>
          <t>Catalogo Minibombo 2026</t>
        </is>
      </c>
      <c r="E765" s="14" t="inlineStr">
        <is>
          <t>da 1 anno</t>
        </is>
      </c>
      <c r="F765" s="14" t="inlineStr">
        <is>
          <t>0-3 anni</t>
        </is>
      </c>
      <c r="G765" s="14" t="inlineStr">
        <is>
          <t>Libro cartonato</t>
        </is>
      </c>
      <c r="H765" s="14" t="inlineStr"/>
      <c r="I765" s="14" t="inlineStr">
        <is>
          <t>No</t>
        </is>
      </c>
      <c r="J765" s="14" t="inlineStr">
        <is>
          <t>Catalogo</t>
        </is>
      </c>
      <c r="K765" s="14" t="inlineStr">
        <is>
          <t>0-3 anni</t>
        </is>
      </c>
      <c r="L765" s="14" t="inlineStr">
        <is>
          <t>Catalogo Minibombo 2026 (ISBN 9788898177912)</t>
        </is>
      </c>
      <c r="M765" s="16" t="n">
        <v>10.9</v>
      </c>
      <c r="N765" s="14" t="inlineStr">
        <is>
          <t>Catalogo Minibombo 2026</t>
        </is>
      </c>
      <c r="O765" s="16">
        <f>IF(ISNUMBER(M765),ROUND(M765*(1-Condizioni!$B$2),2),"")</f>
        <v/>
      </c>
      <c r="P765" s="17" t="inlineStr">
        <is>
          <t>No</t>
        </is>
      </c>
    </row>
    <row r="766">
      <c r="A766" s="14" t="inlineStr">
        <is>
          <t>Minibombo</t>
        </is>
      </c>
      <c r="B766" s="14" t="inlineStr">
        <is>
          <t>Arriva l’onda e...</t>
        </is>
      </c>
      <c r="C766" s="14" t="inlineStr">
        <is>
          <t>Lorenzo Clerici</t>
        </is>
      </c>
      <c r="D766" s="14" t="inlineStr">
        <is>
          <t>Catalogo Minibombo 2026</t>
        </is>
      </c>
      <c r="E766" s="14" t="inlineStr">
        <is>
          <t>dai 2 anni</t>
        </is>
      </c>
      <c r="F766" s="14" t="inlineStr">
        <is>
          <t>0-3 anni</t>
        </is>
      </c>
      <c r="G766" s="14" t="inlineStr">
        <is>
          <t>Albo illustrato</t>
        </is>
      </c>
      <c r="H766" s="14" t="inlineStr"/>
      <c r="I766" s="14" t="inlineStr">
        <is>
          <t>No</t>
        </is>
      </c>
      <c r="J766" s="14" t="inlineStr">
        <is>
          <t>Catalogo</t>
        </is>
      </c>
      <c r="K766" s="14" t="inlineStr">
        <is>
          <t>0-3 anni</t>
        </is>
      </c>
      <c r="L766" s="14" t="inlineStr">
        <is>
          <t>Catalogo Minibombo 2026 (ISBN 9788898177479)</t>
        </is>
      </c>
      <c r="M766" s="16" t="n">
        <v>11.9</v>
      </c>
      <c r="N766" s="14" t="inlineStr">
        <is>
          <t>Catalogo Minibombo 2026</t>
        </is>
      </c>
      <c r="O766" s="16">
        <f>IF(ISNUMBER(M766),ROUND(M766*(1-Condizioni!$B$2),2),"")</f>
        <v/>
      </c>
      <c r="P766" s="17" t="inlineStr">
        <is>
          <t>No</t>
        </is>
      </c>
    </row>
    <row r="767">
      <c r="A767" s="14" t="inlineStr">
        <is>
          <t>Minibombo</t>
        </is>
      </c>
      <c r="B767" s="14" t="inlineStr">
        <is>
          <t>Cerchio al parco</t>
        </is>
      </c>
      <c r="C767" s="14" t="inlineStr">
        <is>
          <t>Silvia Borando</t>
        </is>
      </c>
      <c r="D767" s="14" t="inlineStr">
        <is>
          <t>Catalogo Minibombo 2026</t>
        </is>
      </c>
      <c r="E767" s="14" t="inlineStr">
        <is>
          <t>da 1 anno</t>
        </is>
      </c>
      <c r="F767" s="14" t="inlineStr">
        <is>
          <t>0-3 anni</t>
        </is>
      </c>
      <c r="G767" s="14" t="inlineStr">
        <is>
          <t>Libro cartonato</t>
        </is>
      </c>
      <c r="H767" s="14" t="inlineStr"/>
      <c r="I767" s="14" t="inlineStr">
        <is>
          <t>No</t>
        </is>
      </c>
      <c r="J767" s="14" t="inlineStr">
        <is>
          <t>Catalogo</t>
        </is>
      </c>
      <c r="K767" s="14" t="inlineStr">
        <is>
          <t>0-3 anni</t>
        </is>
      </c>
      <c r="L767" s="14" t="inlineStr">
        <is>
          <t>Catalogo Minibombo 2026 (ISBN 9791281054103)</t>
        </is>
      </c>
      <c r="M767" s="16" t="n">
        <v>9.9</v>
      </c>
      <c r="N767" s="14" t="inlineStr">
        <is>
          <t>Catalogo Minibombo 2026</t>
        </is>
      </c>
      <c r="O767" s="16">
        <f>IF(ISNUMBER(M767),ROUND(M767*(1-Condizioni!$B$2),2),"")</f>
        <v/>
      </c>
      <c r="P767" s="17" t="inlineStr">
        <is>
          <t>Sì</t>
        </is>
      </c>
    </row>
    <row r="768">
      <c r="A768" s="14" t="inlineStr">
        <is>
          <t>Minibombo</t>
        </is>
      </c>
      <c r="B768" s="14" t="inlineStr">
        <is>
          <t>Chi c’è sotto il cappello?</t>
        </is>
      </c>
      <c r="C768" s="14" t="inlineStr">
        <is>
          <t>Elena Galloni</t>
        </is>
      </c>
      <c r="D768" s="14" t="inlineStr">
        <is>
          <t>Catalogo Minibombo 2026</t>
        </is>
      </c>
      <c r="E768" s="14" t="inlineStr">
        <is>
          <t>da 1 anno</t>
        </is>
      </c>
      <c r="F768" s="14" t="inlineStr">
        <is>
          <t>0-3 anni</t>
        </is>
      </c>
      <c r="G768" s="14" t="inlineStr">
        <is>
          <t>Libro cartonato</t>
        </is>
      </c>
      <c r="H768" s="14" t="inlineStr"/>
      <c r="I768" s="14" t="inlineStr">
        <is>
          <t>No</t>
        </is>
      </c>
      <c r="J768" s="14" t="inlineStr">
        <is>
          <t>Catalogo</t>
        </is>
      </c>
      <c r="K768" s="14" t="inlineStr">
        <is>
          <t>0-3 anni</t>
        </is>
      </c>
      <c r="L768" s="14" t="inlineStr">
        <is>
          <t>Catalogo Minibombo 2026 (ISBN 9788898177929)</t>
        </is>
      </c>
      <c r="M768" s="16" t="n">
        <v>10.9</v>
      </c>
      <c r="N768" s="14" t="inlineStr">
        <is>
          <t>Catalogo Minibombo 2026</t>
        </is>
      </c>
      <c r="O768" s="16">
        <f>IF(ISNUMBER(M768),ROUND(M768*(1-Condizioni!$B$2),2),"")</f>
        <v/>
      </c>
      <c r="P768" s="17" t="inlineStr">
        <is>
          <t>No</t>
        </is>
      </c>
    </row>
    <row r="769">
      <c r="A769" s="14" t="inlineStr">
        <is>
          <t>Minibombo</t>
        </is>
      </c>
      <c r="B769" s="14" t="inlineStr">
        <is>
          <t>Ciao, tartaruga!</t>
        </is>
      </c>
      <c r="C769" s="14" t="inlineStr">
        <is>
          <t>Kim Crumrine</t>
        </is>
      </c>
      <c r="D769" s="14" t="inlineStr">
        <is>
          <t>Catalogo Minibombo 2026</t>
        </is>
      </c>
      <c r="E769" s="14" t="inlineStr">
        <is>
          <t>dai 2 anni</t>
        </is>
      </c>
      <c r="F769" s="14" t="inlineStr">
        <is>
          <t>0-3 anni</t>
        </is>
      </c>
      <c r="G769" s="14" t="inlineStr">
        <is>
          <t>Libro cartonato</t>
        </is>
      </c>
      <c r="H769" s="14" t="inlineStr"/>
      <c r="I769" s="14" t="inlineStr">
        <is>
          <t>No</t>
        </is>
      </c>
      <c r="J769" s="14" t="inlineStr">
        <is>
          <t>Catalogo</t>
        </is>
      </c>
      <c r="K769" s="14" t="inlineStr">
        <is>
          <t>0-3 anni</t>
        </is>
      </c>
      <c r="L769" s="14" t="inlineStr">
        <is>
          <t>Catalogo Minibombo 2026 (ISBN 9791281054172)</t>
        </is>
      </c>
      <c r="M769" s="16" t="n">
        <v>11.9</v>
      </c>
      <c r="N769" s="14" t="inlineStr">
        <is>
          <t>Catalogo Minibombo 2026</t>
        </is>
      </c>
      <c r="O769" s="16">
        <f>IF(ISNUMBER(M769),ROUND(M769*(1-Condizioni!$B$2),2),"")</f>
        <v/>
      </c>
      <c r="P769" s="17" t="inlineStr">
        <is>
          <t>No</t>
        </is>
      </c>
    </row>
    <row r="770">
      <c r="A770" s="14" t="inlineStr">
        <is>
          <t>Minibombo</t>
        </is>
      </c>
      <c r="B770" s="14" t="inlineStr">
        <is>
          <t>Festa di primavera</t>
        </is>
      </c>
      <c r="C770" s="14" t="inlineStr">
        <is>
          <t>Silvia Borando</t>
        </is>
      </c>
      <c r="D770" s="14" t="inlineStr">
        <is>
          <t>Catalogo Minibombo 2026</t>
        </is>
      </c>
      <c r="E770" s="14" t="inlineStr">
        <is>
          <t>dai 2 anni</t>
        </is>
      </c>
      <c r="F770" s="14" t="inlineStr">
        <is>
          <t>0-3 anni</t>
        </is>
      </c>
      <c r="G770" s="14" t="inlineStr">
        <is>
          <t>Albo illustrato</t>
        </is>
      </c>
      <c r="H770" s="14" t="inlineStr"/>
      <c r="I770" s="14" t="inlineStr">
        <is>
          <t>No</t>
        </is>
      </c>
      <c r="J770" s="14" t="inlineStr">
        <is>
          <t>Catalogo</t>
        </is>
      </c>
      <c r="K770" s="14" t="inlineStr">
        <is>
          <t>0-3 anni</t>
        </is>
      </c>
      <c r="L770" s="14" t="inlineStr">
        <is>
          <t>Catalogo Minibombo 2026 (ISBN 9788898177646)</t>
        </is>
      </c>
      <c r="M770" s="16" t="n">
        <v>13.9</v>
      </c>
      <c r="N770" s="14" t="inlineStr">
        <is>
          <t>Catalogo Minibombo 2026</t>
        </is>
      </c>
      <c r="O770" s="16">
        <f>IF(ISNUMBER(M770),ROUND(M770*(1-Condizioni!$B$2),2),"")</f>
        <v/>
      </c>
      <c r="P770" s="17" t="inlineStr">
        <is>
          <t>No</t>
        </is>
      </c>
    </row>
    <row r="771">
      <c r="A771" s="14" t="inlineStr">
        <is>
          <t>Minibombo</t>
        </is>
      </c>
      <c r="B771" s="14" t="inlineStr">
        <is>
          <t>Grande Gatto Piccolo Gatto</t>
        </is>
      </c>
      <c r="C771" s="14" t="inlineStr">
        <is>
          <t>Silvia Borando</t>
        </is>
      </c>
      <c r="D771" s="14" t="inlineStr">
        <is>
          <t>Catalogo Minibombo 2026</t>
        </is>
      </c>
      <c r="E771" s="14" t="inlineStr">
        <is>
          <t>dai 2 anni</t>
        </is>
      </c>
      <c r="F771" s="14" t="inlineStr">
        <is>
          <t>0-3 anni</t>
        </is>
      </c>
      <c r="G771" s="14" t="inlineStr">
        <is>
          <t>Albo illustrato</t>
        </is>
      </c>
      <c r="H771" s="14" t="inlineStr"/>
      <c r="I771" s="14" t="inlineStr">
        <is>
          <t>No</t>
        </is>
      </c>
      <c r="J771" s="14" t="inlineStr">
        <is>
          <t>Catalogo</t>
        </is>
      </c>
      <c r="K771" s="14" t="inlineStr">
        <is>
          <t>0-3 anni</t>
        </is>
      </c>
      <c r="L771" s="14" t="inlineStr">
        <is>
          <t>Catalogo Minibombo 2026 (ISBN 9788898177301)</t>
        </is>
      </c>
      <c r="M771" s="16" t="n">
        <v>13.9</v>
      </c>
      <c r="N771" s="14" t="inlineStr">
        <is>
          <t>Catalogo Minibombo 2026</t>
        </is>
      </c>
      <c r="O771" s="16">
        <f>IF(ISNUMBER(M771),ROUND(M771*(1-Condizioni!$B$2),2),"")</f>
        <v/>
      </c>
      <c r="P771" s="17" t="inlineStr">
        <is>
          <t>Sì</t>
        </is>
      </c>
    </row>
    <row r="772">
      <c r="A772" s="14" t="inlineStr">
        <is>
          <t>Minibombo</t>
        </is>
      </c>
      <c r="B772" s="14" t="inlineStr">
        <is>
          <t>Hai preso tutto?</t>
        </is>
      </c>
      <c r="C772" s="14" t="inlineStr">
        <is>
          <t>Chiara Vignocchi e Silvia Borando</t>
        </is>
      </c>
      <c r="D772" s="14" t="inlineStr">
        <is>
          <t>Catalogo Minibombo 2026</t>
        </is>
      </c>
      <c r="E772" s="14" t="inlineStr">
        <is>
          <t>dai 2 anni</t>
        </is>
      </c>
      <c r="F772" s="14" t="inlineStr">
        <is>
          <t>0-3 anni</t>
        </is>
      </c>
      <c r="G772" s="14" t="inlineStr">
        <is>
          <t>Albo illustrato</t>
        </is>
      </c>
      <c r="H772" s="14" t="inlineStr"/>
      <c r="I772" s="14" t="inlineStr">
        <is>
          <t>No</t>
        </is>
      </c>
      <c r="J772" s="14" t="inlineStr">
        <is>
          <t>Catalogo</t>
        </is>
      </c>
      <c r="K772" s="14" t="inlineStr">
        <is>
          <t>0-3 anni</t>
        </is>
      </c>
      <c r="L772" s="14" t="inlineStr">
        <is>
          <t>Catalogo Minibombo 2026 (ISBN 9788898177653)</t>
        </is>
      </c>
      <c r="M772" s="16" t="n">
        <v>11.9</v>
      </c>
      <c r="N772" s="14" t="inlineStr">
        <is>
          <t>Catalogo Minibombo 2026</t>
        </is>
      </c>
      <c r="O772" s="16">
        <f>IF(ISNUMBER(M772),ROUND(M772*(1-Condizioni!$B$2),2),"")</f>
        <v/>
      </c>
      <c r="P772" s="17" t="inlineStr">
        <is>
          <t>No</t>
        </is>
      </c>
    </row>
    <row r="773">
      <c r="A773" s="14" t="inlineStr">
        <is>
          <t>Minibombo</t>
        </is>
      </c>
      <c r="B773" s="14" t="inlineStr">
        <is>
          <t>Ho un buco nel calzino</t>
        </is>
      </c>
      <c r="C773" s="14" t="inlineStr">
        <is>
          <t>Silvia Borando</t>
        </is>
      </c>
      <c r="D773" s="14" t="inlineStr">
        <is>
          <t>Catalogo Minibombo 2026</t>
        </is>
      </c>
      <c r="E773" s="14" t="inlineStr">
        <is>
          <t>da 1 anno</t>
        </is>
      </c>
      <c r="F773" s="14" t="inlineStr">
        <is>
          <t>0-3 anni</t>
        </is>
      </c>
      <c r="G773" s="14" t="inlineStr">
        <is>
          <t>Libro cartonato</t>
        </is>
      </c>
      <c r="H773" s="14" t="inlineStr"/>
      <c r="I773" s="14" t="inlineStr">
        <is>
          <t>No</t>
        </is>
      </c>
      <c r="J773" s="14" t="inlineStr">
        <is>
          <t>Catalogo</t>
        </is>
      </c>
      <c r="K773" s="14" t="inlineStr">
        <is>
          <t>0-3 anni</t>
        </is>
      </c>
      <c r="L773" s="14" t="inlineStr">
        <is>
          <t>Catalogo Minibombo 2026 (ISBN 9788898177820)</t>
        </is>
      </c>
      <c r="M773" s="16" t="n">
        <v>9.9</v>
      </c>
      <c r="N773" s="14" t="inlineStr">
        <is>
          <t>Catalogo Minibombo 2026</t>
        </is>
      </c>
      <c r="O773" s="16">
        <f>IF(ISNUMBER(M773),ROUND(M773*(1-Condizioni!$B$2),2),"")</f>
        <v/>
      </c>
      <c r="P773" s="17" t="inlineStr">
        <is>
          <t>No</t>
        </is>
      </c>
    </row>
    <row r="774">
      <c r="A774" s="14" t="inlineStr">
        <is>
          <t>Minibombo</t>
        </is>
      </c>
      <c r="B774" s="14" t="inlineStr">
        <is>
          <t>Ho un sasso nella scarpa</t>
        </is>
      </c>
      <c r="C774" s="14" t="inlineStr">
        <is>
          <t>Silvia Borando</t>
        </is>
      </c>
      <c r="D774" s="14" t="inlineStr">
        <is>
          <t>Catalogo Minibombo 2026</t>
        </is>
      </c>
      <c r="E774" s="14" t="inlineStr">
        <is>
          <t>da 1 anno</t>
        </is>
      </c>
      <c r="F774" s="14" t="inlineStr">
        <is>
          <t>0-3 anni</t>
        </is>
      </c>
      <c r="G774" s="14" t="inlineStr">
        <is>
          <t>Libro cartonato</t>
        </is>
      </c>
      <c r="H774" s="14" t="inlineStr"/>
      <c r="I774" s="14" t="inlineStr">
        <is>
          <t>No</t>
        </is>
      </c>
      <c r="J774" s="14" t="inlineStr">
        <is>
          <t>Catalogo</t>
        </is>
      </c>
      <c r="K774" s="14" t="inlineStr">
        <is>
          <t>0-3 anni</t>
        </is>
      </c>
      <c r="L774" s="14" t="inlineStr">
        <is>
          <t>Catalogo Minibombo 2026 (ISBN 9788898177837)</t>
        </is>
      </c>
      <c r="M774" s="16" t="n">
        <v>9.9</v>
      </c>
      <c r="N774" s="14" t="inlineStr">
        <is>
          <t>Catalogo Minibombo 2026</t>
        </is>
      </c>
      <c r="O774" s="16">
        <f>IF(ISNUMBER(M774),ROUND(M774*(1-Condizioni!$B$2),2),"")</f>
        <v/>
      </c>
      <c r="P774" s="17" t="inlineStr">
        <is>
          <t>No</t>
        </is>
      </c>
    </row>
    <row r="775">
      <c r="A775" s="14" t="inlineStr">
        <is>
          <t>Minibombo</t>
        </is>
      </c>
      <c r="B775" s="14" t="inlineStr">
        <is>
          <t>Il libro bianco - Ed. speciale</t>
        </is>
      </c>
      <c r="C775" s="14" t="inlineStr">
        <is>
          <t>Silvia Borando, Elisabetta Pica e Lorenzo Clerici</t>
        </is>
      </c>
      <c r="D775" s="14" t="inlineStr">
        <is>
          <t>Catalogo Minibombo 2026</t>
        </is>
      </c>
      <c r="E775" s="14" t="inlineStr">
        <is>
          <t>dai 2 anni</t>
        </is>
      </c>
      <c r="F775" s="14" t="inlineStr">
        <is>
          <t>0-3 anni</t>
        </is>
      </c>
      <c r="G775" s="14" t="inlineStr">
        <is>
          <t>Albo illustrato</t>
        </is>
      </c>
      <c r="H775" s="14" t="inlineStr"/>
      <c r="I775" s="14" t="inlineStr">
        <is>
          <t>No</t>
        </is>
      </c>
      <c r="J775" s="14" t="inlineStr">
        <is>
          <t>Catalogo</t>
        </is>
      </c>
      <c r="K775" s="14" t="inlineStr">
        <is>
          <t>0-3 anni</t>
        </is>
      </c>
      <c r="L775" s="14" t="inlineStr">
        <is>
          <t>Catalogo Minibombo 2026 (ISBN 9788898177899)</t>
        </is>
      </c>
      <c r="M775" s="16" t="n">
        <v>13.9</v>
      </c>
      <c r="N775" s="14" t="inlineStr">
        <is>
          <t>Catalogo Minibombo 2026</t>
        </is>
      </c>
      <c r="O775" s="16">
        <f>IF(ISNUMBER(M775),ROUND(M775*(1-Condizioni!$B$2),2),"")</f>
        <v/>
      </c>
      <c r="P775" s="17" t="inlineStr">
        <is>
          <t>Sì</t>
        </is>
      </c>
    </row>
    <row r="776">
      <c r="A776" s="14" t="inlineStr">
        <is>
          <t>Minibombo</t>
        </is>
      </c>
      <c r="B776" s="14" t="inlineStr">
        <is>
          <t>Il libro cane</t>
        </is>
      </c>
      <c r="C776" s="14" t="inlineStr">
        <is>
          <t>Lorenzo Clerici</t>
        </is>
      </c>
      <c r="D776" s="14" t="inlineStr">
        <is>
          <t>Catalogo Minibombo 2026</t>
        </is>
      </c>
      <c r="E776" s="14" t="inlineStr">
        <is>
          <t>dai 2 anni</t>
        </is>
      </c>
      <c r="F776" s="14" t="inlineStr">
        <is>
          <t>0-3 anni</t>
        </is>
      </c>
      <c r="G776" s="14" t="inlineStr">
        <is>
          <t>Albo illustrato</t>
        </is>
      </c>
      <c r="H776" s="14" t="inlineStr"/>
      <c r="I776" s="14" t="inlineStr">
        <is>
          <t>No</t>
        </is>
      </c>
      <c r="J776" s="14" t="inlineStr">
        <is>
          <t>Catalogo</t>
        </is>
      </c>
      <c r="K776" s="14" t="inlineStr">
        <is>
          <t>0-3 anni</t>
        </is>
      </c>
      <c r="L776" s="14" t="inlineStr">
        <is>
          <t>Catalogo Minibombo 2026 (ISBN 9788898177028)</t>
        </is>
      </c>
      <c r="M776" s="16" t="n">
        <v>9.9</v>
      </c>
      <c r="N776" s="14" t="inlineStr">
        <is>
          <t>Catalogo Minibombo 2026</t>
        </is>
      </c>
      <c r="O776" s="16">
        <f>IF(ISNUMBER(M776),ROUND(M776*(1-Condizioni!$B$2),2),"")</f>
        <v/>
      </c>
      <c r="P776" s="17" t="inlineStr">
        <is>
          <t>No</t>
        </is>
      </c>
    </row>
    <row r="777">
      <c r="A777" s="14" t="inlineStr">
        <is>
          <t>Minibombo</t>
        </is>
      </c>
      <c r="B777" s="14" t="inlineStr">
        <is>
          <t>Il libro criceto</t>
        </is>
      </c>
      <c r="C777" s="14" t="inlineStr">
        <is>
          <t>Silvia Borando</t>
        </is>
      </c>
      <c r="D777" s="14" t="inlineStr">
        <is>
          <t>Catalogo Minibombo 2026</t>
        </is>
      </c>
      <c r="E777" s="14" t="inlineStr">
        <is>
          <t>dai 2 anni</t>
        </is>
      </c>
      <c r="F777" s="14" t="inlineStr">
        <is>
          <t>0-3 anni</t>
        </is>
      </c>
      <c r="G777" s="14" t="inlineStr">
        <is>
          <t>Albo illustrato</t>
        </is>
      </c>
      <c r="H777" s="14" t="inlineStr"/>
      <c r="I777" s="14" t="inlineStr">
        <is>
          <t>No</t>
        </is>
      </c>
      <c r="J777" s="14" t="inlineStr">
        <is>
          <t>Catalogo</t>
        </is>
      </c>
      <c r="K777" s="14" t="inlineStr">
        <is>
          <t>0-3 anni</t>
        </is>
      </c>
      <c r="L777" s="14" t="inlineStr">
        <is>
          <t>Catalogo Minibombo 2026 (ISBN 9788898177103)</t>
        </is>
      </c>
      <c r="M777" s="16" t="n">
        <v>9.9</v>
      </c>
      <c r="N777" s="14" t="inlineStr">
        <is>
          <t>Catalogo Minibombo 2026</t>
        </is>
      </c>
      <c r="O777" s="16">
        <f>IF(ISNUMBER(M777),ROUND(M777*(1-Condizioni!$B$2),2),"")</f>
        <v/>
      </c>
      <c r="P777" s="17" t="inlineStr">
        <is>
          <t>No</t>
        </is>
      </c>
    </row>
    <row r="778">
      <c r="A778" s="14" t="inlineStr">
        <is>
          <t>Minibombo</t>
        </is>
      </c>
      <c r="B778" s="14" t="inlineStr">
        <is>
          <t>Il libro gatto</t>
        </is>
      </c>
      <c r="C778" s="14" t="inlineStr">
        <is>
          <t>Silvia Borando</t>
        </is>
      </c>
      <c r="D778" s="14" t="inlineStr">
        <is>
          <t>Catalogo Minibombo 2026</t>
        </is>
      </c>
      <c r="E778" s="14" t="inlineStr">
        <is>
          <t>dai 2 anni</t>
        </is>
      </c>
      <c r="F778" s="14" t="inlineStr">
        <is>
          <t>0-3 anni</t>
        </is>
      </c>
      <c r="G778" s="14" t="inlineStr">
        <is>
          <t>Albo illustrato</t>
        </is>
      </c>
      <c r="H778" s="14" t="inlineStr"/>
      <c r="I778" s="14" t="inlineStr">
        <is>
          <t>No</t>
        </is>
      </c>
      <c r="J778" s="14" t="inlineStr">
        <is>
          <t>Catalogo</t>
        </is>
      </c>
      <c r="K778" s="14" t="inlineStr">
        <is>
          <t>0-3 anni</t>
        </is>
      </c>
      <c r="L778" s="14" t="inlineStr">
        <is>
          <t>Catalogo Minibombo 2026 (ISBN 9788898177035)</t>
        </is>
      </c>
      <c r="M778" s="16" t="n">
        <v>9.9</v>
      </c>
      <c r="N778" s="14" t="inlineStr">
        <is>
          <t>Catalogo Minibombo 2026</t>
        </is>
      </c>
      <c r="O778" s="16">
        <f>IF(ISNUMBER(M778),ROUND(M778*(1-Condizioni!$B$2),2),"")</f>
        <v/>
      </c>
      <c r="P778" s="17" t="inlineStr">
        <is>
          <t>No</t>
        </is>
      </c>
    </row>
    <row r="779">
      <c r="A779" s="14" t="inlineStr">
        <is>
          <t>Minibombo</t>
        </is>
      </c>
      <c r="B779" s="14" t="inlineStr">
        <is>
          <t>Il piccolo fienile rosso</t>
        </is>
      </c>
      <c r="C779" s="14" t="inlineStr">
        <is>
          <t>Kim Crumrine</t>
        </is>
      </c>
      <c r="D779" s="14" t="inlineStr">
        <is>
          <t>Catalogo Minibombo 2026</t>
        </is>
      </c>
      <c r="E779" s="14" t="inlineStr">
        <is>
          <t>da 1 anno</t>
        </is>
      </c>
      <c r="F779" s="14" t="inlineStr">
        <is>
          <t>0-3 anni</t>
        </is>
      </c>
      <c r="G779" s="14" t="inlineStr">
        <is>
          <t>Libro cartonato</t>
        </is>
      </c>
      <c r="H779" s="14" t="inlineStr"/>
      <c r="I779" s="14" t="inlineStr">
        <is>
          <t>No</t>
        </is>
      </c>
      <c r="J779" s="14" t="inlineStr">
        <is>
          <t>Catalogo</t>
        </is>
      </c>
      <c r="K779" s="14" t="inlineStr">
        <is>
          <t>0-3 anni</t>
        </is>
      </c>
      <c r="L779" s="14" t="inlineStr">
        <is>
          <t>Catalogo Minibombo 2026 (ISBN 9791281054035)</t>
        </is>
      </c>
      <c r="M779" s="16" t="n">
        <v>11.9</v>
      </c>
      <c r="N779" s="14" t="inlineStr">
        <is>
          <t>Catalogo Minibombo 2026</t>
        </is>
      </c>
      <c r="O779" s="16">
        <f>IF(ISNUMBER(M779),ROUND(M779*(1-Condizioni!$B$2),2),"")</f>
        <v/>
      </c>
      <c r="P779" s="17" t="inlineStr">
        <is>
          <t>Sì</t>
        </is>
      </c>
    </row>
    <row r="780">
      <c r="A780" s="14" t="inlineStr">
        <is>
          <t>Minibombo</t>
        </is>
      </c>
      <c r="B780" s="14" t="inlineStr">
        <is>
          <t>La gara di canto</t>
        </is>
      </c>
      <c r="C780" s="14" t="inlineStr">
        <is>
          <t>Oliver Weiss</t>
        </is>
      </c>
      <c r="D780" s="14" t="inlineStr">
        <is>
          <t>Catalogo Minibombo 2026</t>
        </is>
      </c>
      <c r="E780" s="14" t="inlineStr">
        <is>
          <t>dai 2 anni</t>
        </is>
      </c>
      <c r="F780" s="14" t="inlineStr">
        <is>
          <t>0-3 anni</t>
        </is>
      </c>
      <c r="G780" s="14" t="inlineStr">
        <is>
          <t>Libro cartonato</t>
        </is>
      </c>
      <c r="H780" s="14" t="inlineStr"/>
      <c r="I780" s="14" t="inlineStr">
        <is>
          <t>No</t>
        </is>
      </c>
      <c r="J780" s="14" t="inlineStr">
        <is>
          <t>Catalogo</t>
        </is>
      </c>
      <c r="K780" s="14" t="inlineStr">
        <is>
          <t>0-3 anni</t>
        </is>
      </c>
      <c r="L780" s="14" t="inlineStr">
        <is>
          <t>Catalogo Minibombo 2026 (ISBN 9791281054202)</t>
        </is>
      </c>
      <c r="M780" s="16" t="n">
        <v>13.9</v>
      </c>
      <c r="N780" s="14" t="inlineStr">
        <is>
          <t>Catalogo Minibombo 2026</t>
        </is>
      </c>
      <c r="O780" s="16">
        <f>IF(ISNUMBER(M780),ROUND(M780*(1-Condizioni!$B$2),2),"")</f>
        <v/>
      </c>
      <c r="P780" s="17" t="inlineStr">
        <is>
          <t>No</t>
        </is>
      </c>
    </row>
    <row r="781">
      <c r="A781" s="14" t="inlineStr">
        <is>
          <t>Minibombo</t>
        </is>
      </c>
      <c r="B781" s="14" t="inlineStr">
        <is>
          <t>La mia famiglia mi somiglia</t>
        </is>
      </c>
      <c r="C781" s="14" t="inlineStr">
        <is>
          <t>Teresa Sdralevich</t>
        </is>
      </c>
      <c r="D781" s="14" t="inlineStr">
        <is>
          <t>Catalogo Minibombo 2026</t>
        </is>
      </c>
      <c r="E781" s="14" t="inlineStr">
        <is>
          <t>da 1 anno</t>
        </is>
      </c>
      <c r="F781" s="14" t="inlineStr">
        <is>
          <t>0-3 anni</t>
        </is>
      </c>
      <c r="G781" s="14" t="inlineStr">
        <is>
          <t>Libro cartonato</t>
        </is>
      </c>
      <c r="H781" s="14" t="inlineStr"/>
      <c r="I781" s="14" t="inlineStr">
        <is>
          <t>No</t>
        </is>
      </c>
      <c r="J781" s="14" t="inlineStr">
        <is>
          <t>Catalogo</t>
        </is>
      </c>
      <c r="K781" s="14" t="inlineStr">
        <is>
          <t>0-3 anni</t>
        </is>
      </c>
      <c r="L781" s="14" t="inlineStr">
        <is>
          <t>Catalogo Minibombo 2026 (ISBN 9788898177783)</t>
        </is>
      </c>
      <c r="M781" s="16" t="n">
        <v>9.9</v>
      </c>
      <c r="N781" s="14" t="inlineStr">
        <is>
          <t>Catalogo Minibombo 2026</t>
        </is>
      </c>
      <c r="O781" s="16">
        <f>IF(ISNUMBER(M781),ROUND(M781*(1-Condizioni!$B$2),2),"")</f>
        <v/>
      </c>
      <c r="P781" s="17" t="inlineStr">
        <is>
          <t>No</t>
        </is>
      </c>
    </row>
    <row r="782">
      <c r="A782" s="14" t="inlineStr">
        <is>
          <t>Minibombo</t>
        </is>
      </c>
      <c r="B782" s="14" t="inlineStr">
        <is>
          <t>La mia famiglia è uno zoo</t>
        </is>
      </c>
      <c r="C782" s="14" t="inlineStr">
        <is>
          <t>Teresa Sdralevich</t>
        </is>
      </c>
      <c r="D782" s="14" t="inlineStr">
        <is>
          <t>Catalogo Minibombo 2026</t>
        </is>
      </c>
      <c r="E782" s="14" t="inlineStr">
        <is>
          <t>da 1 anno</t>
        </is>
      </c>
      <c r="F782" s="14" t="inlineStr">
        <is>
          <t>0-3 anni</t>
        </is>
      </c>
      <c r="G782" s="14" t="inlineStr">
        <is>
          <t>Libro cartonato</t>
        </is>
      </c>
      <c r="H782" s="14" t="inlineStr"/>
      <c r="I782" s="14" t="inlineStr">
        <is>
          <t>No</t>
        </is>
      </c>
      <c r="J782" s="14" t="inlineStr">
        <is>
          <t>Catalogo</t>
        </is>
      </c>
      <c r="K782" s="14" t="inlineStr">
        <is>
          <t>0-3 anni</t>
        </is>
      </c>
      <c r="L782" s="14" t="inlineStr">
        <is>
          <t>Catalogo Minibombo 2026 (ISBN 9788898177790)</t>
        </is>
      </c>
      <c r="M782" s="16" t="n">
        <v>9.9</v>
      </c>
      <c r="N782" s="14" t="inlineStr">
        <is>
          <t>Catalogo Minibombo 2026</t>
        </is>
      </c>
      <c r="O782" s="16">
        <f>IF(ISNUMBER(M782),ROUND(M782*(1-Condizioni!$B$2),2),"")</f>
        <v/>
      </c>
      <c r="P782" s="17" t="inlineStr">
        <is>
          <t>Sì</t>
        </is>
      </c>
    </row>
    <row r="783">
      <c r="A783" s="14" t="inlineStr">
        <is>
          <t>Minibombo</t>
        </is>
      </c>
      <c r="B783" s="14" t="inlineStr">
        <is>
          <t>L’aeroplano blu</t>
        </is>
      </c>
      <c r="C783" s="14" t="inlineStr">
        <is>
          <t>Silvia Borando</t>
        </is>
      </c>
      <c r="D783" s="14" t="inlineStr">
        <is>
          <t>Catalogo Minibombo 2026</t>
        </is>
      </c>
      <c r="E783" s="14" t="inlineStr">
        <is>
          <t>dai 2 anni</t>
        </is>
      </c>
      <c r="F783" s="14" t="inlineStr">
        <is>
          <t>0-3 anni</t>
        </is>
      </c>
      <c r="G783" s="14" t="inlineStr">
        <is>
          <t>Albo illustrato</t>
        </is>
      </c>
      <c r="H783" s="14" t="inlineStr"/>
      <c r="I783" s="14" t="inlineStr">
        <is>
          <t>No</t>
        </is>
      </c>
      <c r="J783" s="14" t="inlineStr">
        <is>
          <t>Catalogo</t>
        </is>
      </c>
      <c r="K783" s="14" t="inlineStr">
        <is>
          <t>0-3 anni</t>
        </is>
      </c>
      <c r="L783" s="14" t="inlineStr">
        <is>
          <t>Catalogo Minibombo 2026 (ISBN 9791281054158)</t>
        </is>
      </c>
      <c r="M783" s="16" t="n">
        <v>13.9</v>
      </c>
      <c r="N783" s="14" t="inlineStr">
        <is>
          <t>Catalogo Minibombo 2026</t>
        </is>
      </c>
      <c r="O783" s="16">
        <f>IF(ISNUMBER(M783),ROUND(M783*(1-Condizioni!$B$2),2),"")</f>
        <v/>
      </c>
      <c r="P783" s="17" t="inlineStr">
        <is>
          <t>No</t>
        </is>
      </c>
    </row>
    <row r="784">
      <c r="A784" s="14" t="inlineStr">
        <is>
          <t>Minibombo</t>
        </is>
      </c>
      <c r="B784" s="14" t="inlineStr">
        <is>
          <t>Nascondino</t>
        </is>
      </c>
      <c r="C784" s="14" t="inlineStr">
        <is>
          <t>Silvia Borando</t>
        </is>
      </c>
      <c r="D784" s="14" t="inlineStr">
        <is>
          <t>Catalogo Minibombo 2026</t>
        </is>
      </c>
      <c r="E784" s="14" t="inlineStr">
        <is>
          <t>dai 2 anni</t>
        </is>
      </c>
      <c r="F784" s="14" t="inlineStr">
        <is>
          <t>0-3 anni</t>
        </is>
      </c>
      <c r="G784" s="14" t="inlineStr">
        <is>
          <t>Albo illustrato</t>
        </is>
      </c>
      <c r="H784" s="14" t="inlineStr"/>
      <c r="I784" s="14" t="inlineStr">
        <is>
          <t>No</t>
        </is>
      </c>
      <c r="J784" s="14" t="inlineStr">
        <is>
          <t>Catalogo</t>
        </is>
      </c>
      <c r="K784" s="14" t="inlineStr">
        <is>
          <t>0-3 anni</t>
        </is>
      </c>
      <c r="L784" s="14" t="inlineStr">
        <is>
          <t>Catalogo Minibombo 2026 (ISBN 9788898177325)</t>
        </is>
      </c>
      <c r="M784" s="16" t="n">
        <v>11.9</v>
      </c>
      <c r="N784" s="14" t="inlineStr">
        <is>
          <t>Catalogo Minibombo 2026</t>
        </is>
      </c>
      <c r="O784" s="16">
        <f>IF(ISNUMBER(M784),ROUND(M784*(1-Condizioni!$B$2),2),"")</f>
        <v/>
      </c>
      <c r="P784" s="17" t="inlineStr">
        <is>
          <t>No</t>
        </is>
      </c>
    </row>
    <row r="785">
      <c r="A785" s="14" t="inlineStr">
        <is>
          <t>Minibombo</t>
        </is>
      </c>
      <c r="B785" s="14" t="inlineStr">
        <is>
          <t>Niente da fare</t>
        </is>
      </c>
      <c r="C785" s="14" t="inlineStr">
        <is>
          <t>Silvia Borando</t>
        </is>
      </c>
      <c r="D785" s="14" t="inlineStr">
        <is>
          <t>Catalogo Minibombo 2026</t>
        </is>
      </c>
      <c r="E785" s="14" t="inlineStr">
        <is>
          <t>dai 2 anni</t>
        </is>
      </c>
      <c r="F785" s="14" t="inlineStr">
        <is>
          <t>0-3 anni</t>
        </is>
      </c>
      <c r="G785" s="14" t="inlineStr">
        <is>
          <t>Albo illustrato</t>
        </is>
      </c>
      <c r="H785" s="14" t="inlineStr"/>
      <c r="I785" s="14" t="inlineStr">
        <is>
          <t>No</t>
        </is>
      </c>
      <c r="J785" s="14" t="inlineStr">
        <is>
          <t>Catalogo</t>
        </is>
      </c>
      <c r="K785" s="14" t="inlineStr">
        <is>
          <t>0-3 anni</t>
        </is>
      </c>
      <c r="L785" s="14" t="inlineStr">
        <is>
          <t>Catalogo Minibombo 2026 (ISBN 9788898177530)</t>
        </is>
      </c>
      <c r="M785" s="16" t="n">
        <v>12.9</v>
      </c>
      <c r="N785" s="14" t="inlineStr">
        <is>
          <t>Catalogo Minibombo 2026</t>
        </is>
      </c>
      <c r="O785" s="16">
        <f>IF(ISNUMBER(M785),ROUND(M785*(1-Condizioni!$B$2),2),"")</f>
        <v/>
      </c>
      <c r="P785" s="17" t="inlineStr">
        <is>
          <t>No</t>
        </is>
      </c>
    </row>
    <row r="786">
      <c r="A786" s="14" t="inlineStr">
        <is>
          <t>Minibombo</t>
        </is>
      </c>
      <c r="B786" s="14" t="inlineStr">
        <is>
          <t>Orso, buco!</t>
        </is>
      </c>
      <c r="C786" s="14" t="inlineStr">
        <is>
          <t>Nicola Grossi</t>
        </is>
      </c>
      <c r="D786" s="14" t="inlineStr">
        <is>
          <t>Catalogo Minibombo 2026</t>
        </is>
      </c>
      <c r="E786" s="14" t="inlineStr">
        <is>
          <t>dai 2 anni</t>
        </is>
      </c>
      <c r="F786" s="14" t="inlineStr">
        <is>
          <t>0-3 anni</t>
        </is>
      </c>
      <c r="G786" s="14" t="inlineStr">
        <is>
          <t>Albo illustrato</t>
        </is>
      </c>
      <c r="H786" s="14" t="inlineStr"/>
      <c r="I786" s="14" t="inlineStr">
        <is>
          <t>No</t>
        </is>
      </c>
      <c r="J786" s="14" t="inlineStr">
        <is>
          <t>Catalogo</t>
        </is>
      </c>
      <c r="K786" s="14" t="inlineStr">
        <is>
          <t>0-3 anni</t>
        </is>
      </c>
      <c r="L786" s="14" t="inlineStr">
        <is>
          <t>Catalogo Minibombo 2026 (ISBN 9788898177066)</t>
        </is>
      </c>
      <c r="M786" s="16" t="n">
        <v>11.9</v>
      </c>
      <c r="N786" s="14" t="inlineStr">
        <is>
          <t>Catalogo Minibombo 2026</t>
        </is>
      </c>
      <c r="O786" s="16">
        <f>IF(ISNUMBER(M786),ROUND(M786*(1-Condizioni!$B$2),2),"")</f>
        <v/>
      </c>
      <c r="P786" s="17" t="inlineStr">
        <is>
          <t>Sì</t>
        </is>
      </c>
    </row>
    <row r="787">
      <c r="A787" s="14" t="inlineStr">
        <is>
          <t>Minibombo</t>
        </is>
      </c>
      <c r="B787" s="14" t="inlineStr">
        <is>
          <t>Orso, buco! (ed. cartonata)</t>
        </is>
      </c>
      <c r="C787" s="14" t="inlineStr">
        <is>
          <t>Nicola Grossi</t>
        </is>
      </c>
      <c r="D787" s="14" t="inlineStr">
        <is>
          <t>Catalogo Minibombo 2026</t>
        </is>
      </c>
      <c r="E787" s="14" t="inlineStr">
        <is>
          <t>da 1 anno</t>
        </is>
      </c>
      <c r="F787" s="14" t="inlineStr">
        <is>
          <t>0-3 anni</t>
        </is>
      </c>
      <c r="G787" s="14" t="inlineStr">
        <is>
          <t>Libro cartonato</t>
        </is>
      </c>
      <c r="H787" s="14" t="inlineStr"/>
      <c r="I787" s="14" t="inlineStr">
        <is>
          <t>No</t>
        </is>
      </c>
      <c r="J787" s="14" t="inlineStr">
        <is>
          <t>Catalogo</t>
        </is>
      </c>
      <c r="K787" s="14" t="inlineStr">
        <is>
          <t>0-3 anni</t>
        </is>
      </c>
      <c r="L787" s="14" t="inlineStr">
        <is>
          <t>Catalogo Minibombo 2026 (ISBN 9791281054264)</t>
        </is>
      </c>
      <c r="M787" s="16" t="n">
        <v>10.9</v>
      </c>
      <c r="N787" s="14" t="inlineStr">
        <is>
          <t>Catalogo Minibombo 2026</t>
        </is>
      </c>
      <c r="O787" s="16">
        <f>IF(ISNUMBER(M787),ROUND(M787*(1-Condizioni!$B$2),2),"")</f>
        <v/>
      </c>
      <c r="P787" s="17" t="inlineStr">
        <is>
          <t>No</t>
        </is>
      </c>
    </row>
    <row r="788">
      <c r="A788" s="14" t="inlineStr">
        <is>
          <t>Minibombo</t>
        </is>
      </c>
      <c r="B788" s="14" t="inlineStr">
        <is>
          <t>Quadrato al mare</t>
        </is>
      </c>
      <c r="C788" s="14" t="inlineStr">
        <is>
          <t>Silvia Borando</t>
        </is>
      </c>
      <c r="D788" s="14" t="inlineStr">
        <is>
          <t>Catalogo Minibombo 2026</t>
        </is>
      </c>
      <c r="E788" s="14" t="inlineStr">
        <is>
          <t>da 1 anno</t>
        </is>
      </c>
      <c r="F788" s="14" t="inlineStr">
        <is>
          <t>0-3 anni</t>
        </is>
      </c>
      <c r="G788" s="14" t="inlineStr">
        <is>
          <t>Libro cartonato</t>
        </is>
      </c>
      <c r="H788" s="14" t="inlineStr"/>
      <c r="I788" s="14" t="inlineStr">
        <is>
          <t>No</t>
        </is>
      </c>
      <c r="J788" s="14" t="inlineStr">
        <is>
          <t>Catalogo</t>
        </is>
      </c>
      <c r="K788" s="14" t="inlineStr">
        <is>
          <t>0-3 anni</t>
        </is>
      </c>
      <c r="L788" s="14" t="inlineStr">
        <is>
          <t>Catalogo Minibombo 2026 (ISBN 9791281054097)</t>
        </is>
      </c>
      <c r="M788" s="16" t="n">
        <v>9.9</v>
      </c>
      <c r="N788" s="14" t="inlineStr">
        <is>
          <t>Catalogo Minibombo 2026</t>
        </is>
      </c>
      <c r="O788" s="16">
        <f>IF(ISNUMBER(M788),ROUND(M788*(1-Condizioni!$B$2),2),"")</f>
        <v/>
      </c>
      <c r="P788" s="17" t="inlineStr">
        <is>
          <t>No</t>
        </is>
      </c>
    </row>
    <row r="789">
      <c r="A789" s="14" t="inlineStr">
        <is>
          <t>Minibombo</t>
        </is>
      </c>
      <c r="B789" s="14" t="inlineStr">
        <is>
          <t>Raccontami una storia</t>
        </is>
      </c>
      <c r="C789" s="14" t="inlineStr">
        <is>
          <t>Elisabetta Pica e Silvia Borando</t>
        </is>
      </c>
      <c r="D789" s="14" t="inlineStr">
        <is>
          <t>Catalogo Minibombo 2026</t>
        </is>
      </c>
      <c r="E789" s="14" t="inlineStr">
        <is>
          <t>dai 2 anni</t>
        </is>
      </c>
      <c r="F789" s="14" t="inlineStr">
        <is>
          <t>0-3 anni</t>
        </is>
      </c>
      <c r="G789" s="14" t="inlineStr">
        <is>
          <t>Albo illustrato</t>
        </is>
      </c>
      <c r="H789" s="14" t="inlineStr"/>
      <c r="I789" s="14" t="inlineStr">
        <is>
          <t>No</t>
        </is>
      </c>
      <c r="J789" s="14" t="inlineStr">
        <is>
          <t>Catalogo</t>
        </is>
      </c>
      <c r="K789" s="14" t="inlineStr">
        <is>
          <t>0-3 anni</t>
        </is>
      </c>
      <c r="L789" s="14" t="inlineStr">
        <is>
          <t>Catalogo Minibombo 2026 (ISBN 9788898177868)</t>
        </is>
      </c>
      <c r="M789" s="16" t="n">
        <v>11.9</v>
      </c>
      <c r="N789" s="14" t="inlineStr">
        <is>
          <t>Catalogo Minibombo 2026</t>
        </is>
      </c>
      <c r="O789" s="16">
        <f>IF(ISNUMBER(M789),ROUND(M789*(1-Condizioni!$B$2),2),"")</f>
        <v/>
      </c>
      <c r="P789" s="17" t="inlineStr">
        <is>
          <t>No</t>
        </is>
      </c>
    </row>
    <row r="790">
      <c r="A790" s="14" t="inlineStr">
        <is>
          <t>Minibombo</t>
        </is>
      </c>
      <c r="B790" s="14" t="inlineStr">
        <is>
          <t>Riccio dal barbiere</t>
        </is>
      </c>
      <c r="C790" s="14" t="inlineStr">
        <is>
          <t>Silvia Borando</t>
        </is>
      </c>
      <c r="D790" s="14" t="inlineStr">
        <is>
          <t>Catalogo Minibombo 2026</t>
        </is>
      </c>
      <c r="E790" s="14" t="inlineStr">
        <is>
          <t>dai 2 anni</t>
        </is>
      </c>
      <c r="F790" s="14" t="inlineStr">
        <is>
          <t>0-3 anni</t>
        </is>
      </c>
      <c r="G790" s="14" t="inlineStr">
        <is>
          <t>Albo illustrato</t>
        </is>
      </c>
      <c r="H790" s="14" t="inlineStr"/>
      <c r="I790" s="14" t="inlineStr">
        <is>
          <t>No</t>
        </is>
      </c>
      <c r="J790" s="14" t="inlineStr">
        <is>
          <t>Catalogo</t>
        </is>
      </c>
      <c r="K790" s="14" t="inlineStr">
        <is>
          <t>0-3 anni</t>
        </is>
      </c>
      <c r="L790" s="14" t="inlineStr">
        <is>
          <t>Catalogo Minibombo 2026 (ISBN 9788898177516)</t>
        </is>
      </c>
      <c r="M790" s="16" t="n">
        <v>9.9</v>
      </c>
      <c r="N790" s="14" t="inlineStr">
        <is>
          <t>Catalogo Minibombo 2026</t>
        </is>
      </c>
      <c r="O790" s="16">
        <f>IF(ISNUMBER(M790),ROUND(M790*(1-Condizioni!$B$2),2),"")</f>
        <v/>
      </c>
      <c r="P790" s="17" t="inlineStr">
        <is>
          <t>No</t>
        </is>
      </c>
    </row>
    <row r="791">
      <c r="A791" s="14" t="inlineStr">
        <is>
          <t>Minibombo</t>
        </is>
      </c>
      <c r="B791" s="14" t="inlineStr">
        <is>
          <t>Se ti dessi mezza mela</t>
        </is>
      </c>
      <c r="C791" s="14" t="inlineStr">
        <is>
          <t>Silvia Borando</t>
        </is>
      </c>
      <c r="D791" s="14" t="inlineStr">
        <is>
          <t>Catalogo Minibombo 2026</t>
        </is>
      </c>
      <c r="E791" s="14" t="inlineStr">
        <is>
          <t>dai 2 anni</t>
        </is>
      </c>
      <c r="F791" s="14" t="inlineStr">
        <is>
          <t>0-3 anni</t>
        </is>
      </c>
      <c r="G791" s="14" t="inlineStr">
        <is>
          <t>Albo illustrato</t>
        </is>
      </c>
      <c r="H791" s="14" t="inlineStr"/>
      <c r="I791" s="14" t="inlineStr">
        <is>
          <t>No</t>
        </is>
      </c>
      <c r="J791" s="14" t="inlineStr">
        <is>
          <t>Catalogo</t>
        </is>
      </c>
      <c r="K791" s="14" t="inlineStr">
        <is>
          <t>0-3 anni</t>
        </is>
      </c>
      <c r="L791" s="14" t="inlineStr">
        <is>
          <t>Catalogo Minibombo 2026 (ISBN 9791281054042)</t>
        </is>
      </c>
      <c r="M791" s="16" t="n">
        <v>13.9</v>
      </c>
      <c r="N791" s="14" t="inlineStr">
        <is>
          <t>Catalogo Minibombo 2026</t>
        </is>
      </c>
      <c r="O791" s="16">
        <f>IF(ISNUMBER(M791),ROUND(M791*(1-Condizioni!$B$2),2),"")</f>
        <v/>
      </c>
      <c r="P791" s="17" t="inlineStr">
        <is>
          <t>No</t>
        </is>
      </c>
    </row>
    <row r="792">
      <c r="A792" s="14" t="inlineStr">
        <is>
          <t>Minibombo</t>
        </is>
      </c>
      <c r="B792" s="14" t="inlineStr">
        <is>
          <t>Si vede non si vede</t>
        </is>
      </c>
      <c r="C792" s="14" t="inlineStr">
        <is>
          <t>Silvia Borando</t>
        </is>
      </c>
      <c r="D792" s="14" t="inlineStr">
        <is>
          <t>Catalogo Minibombo 2026</t>
        </is>
      </c>
      <c r="E792" s="14" t="inlineStr">
        <is>
          <t>da 1 anno</t>
        </is>
      </c>
      <c r="F792" s="14" t="inlineStr">
        <is>
          <t>0-3 anni</t>
        </is>
      </c>
      <c r="G792" s="14" t="inlineStr">
        <is>
          <t>Libro cartonato</t>
        </is>
      </c>
      <c r="H792" s="14" t="inlineStr"/>
      <c r="I792" s="14" t="inlineStr">
        <is>
          <t>No</t>
        </is>
      </c>
      <c r="J792" s="14" t="inlineStr">
        <is>
          <t>Catalogo</t>
        </is>
      </c>
      <c r="K792" s="14" t="inlineStr">
        <is>
          <t>0-3 anni</t>
        </is>
      </c>
      <c r="L792" s="14" t="inlineStr">
        <is>
          <t>Catalogo Minibombo 2026 (ISBN 9788898177967)</t>
        </is>
      </c>
      <c r="M792" s="16" t="n">
        <v>10.9</v>
      </c>
      <c r="N792" s="14" t="inlineStr">
        <is>
          <t>Catalogo Minibombo 2026</t>
        </is>
      </c>
      <c r="O792" s="16">
        <f>IF(ISNUMBER(M792),ROUND(M792*(1-Condizioni!$B$2),2),"")</f>
        <v/>
      </c>
      <c r="P792" s="17" t="inlineStr">
        <is>
          <t>No</t>
        </is>
      </c>
    </row>
    <row r="793">
      <c r="A793" s="14" t="inlineStr">
        <is>
          <t>Minibombo</t>
        </is>
      </c>
      <c r="B793" s="14" t="inlineStr">
        <is>
          <t>Triangolo al circo</t>
        </is>
      </c>
      <c r="C793" s="14" t="inlineStr">
        <is>
          <t>Silvia Borando</t>
        </is>
      </c>
      <c r="D793" s="14" t="inlineStr">
        <is>
          <t>Catalogo Minibombo 2026</t>
        </is>
      </c>
      <c r="E793" s="14" t="inlineStr">
        <is>
          <t>da 1 anno</t>
        </is>
      </c>
      <c r="F793" s="14" t="inlineStr">
        <is>
          <t>0-3 anni</t>
        </is>
      </c>
      <c r="G793" s="14" t="inlineStr">
        <is>
          <t>Libro cartonato</t>
        </is>
      </c>
      <c r="H793" s="14" t="inlineStr"/>
      <c r="I793" s="14" t="inlineStr">
        <is>
          <t>No</t>
        </is>
      </c>
      <c r="J793" s="14" t="inlineStr">
        <is>
          <t>Catalogo</t>
        </is>
      </c>
      <c r="K793" s="14" t="inlineStr">
        <is>
          <t>0-3 anni</t>
        </is>
      </c>
      <c r="L793" s="14" t="inlineStr">
        <is>
          <t>Catalogo Minibombo 2026 (ISBN 9791281054080)</t>
        </is>
      </c>
      <c r="M793" s="16" t="n">
        <v>9.9</v>
      </c>
      <c r="N793" s="14" t="inlineStr">
        <is>
          <t>Catalogo Minibombo 2026</t>
        </is>
      </c>
      <c r="O793" s="16">
        <f>IF(ISNUMBER(M793),ROUND(M793*(1-Condizioni!$B$2),2),"")</f>
        <v/>
      </c>
      <c r="P793" s="17" t="inlineStr">
        <is>
          <t>No</t>
        </is>
      </c>
    </row>
    <row r="794">
      <c r="A794" s="14" t="inlineStr">
        <is>
          <t>Minibombo</t>
        </is>
      </c>
      <c r="B794" s="14" t="inlineStr">
        <is>
          <t>Tutino con la terra</t>
        </is>
      </c>
      <c r="C794" s="14" t="inlineStr">
        <is>
          <t>Lorenzo Clerici</t>
        </is>
      </c>
      <c r="D794" s="14" t="inlineStr">
        <is>
          <t>Catalogo Minibombo 2026</t>
        </is>
      </c>
      <c r="E794" s="14" t="inlineStr">
        <is>
          <t>da 1 anno</t>
        </is>
      </c>
      <c r="F794" s="14" t="inlineStr">
        <is>
          <t>0-3 anni</t>
        </is>
      </c>
      <c r="G794" s="14" t="inlineStr">
        <is>
          <t>Libro cartonato</t>
        </is>
      </c>
      <c r="H794" s="14" t="inlineStr"/>
      <c r="I794" s="14" t="inlineStr">
        <is>
          <t>No</t>
        </is>
      </c>
      <c r="J794" s="14" t="inlineStr">
        <is>
          <t>Catalogo</t>
        </is>
      </c>
      <c r="K794" s="14" t="inlineStr">
        <is>
          <t>0-3 anni</t>
        </is>
      </c>
      <c r="L794" s="14" t="inlineStr">
        <is>
          <t>Catalogo Minibombo 2026 (ISBN 9791281054127)</t>
        </is>
      </c>
      <c r="M794" s="16" t="n">
        <v>9.9</v>
      </c>
      <c r="N794" s="14" t="inlineStr">
        <is>
          <t>Catalogo Minibombo 2026</t>
        </is>
      </c>
      <c r="O794" s="16">
        <f>IF(ISNUMBER(M794),ROUND(M794*(1-Condizioni!$B$2),2),"")</f>
        <v/>
      </c>
      <c r="P794" s="17" t="inlineStr">
        <is>
          <t>Sì</t>
        </is>
      </c>
    </row>
    <row r="795">
      <c r="A795" s="14" t="inlineStr">
        <is>
          <t>Minibombo</t>
        </is>
      </c>
      <c r="B795" s="14" t="inlineStr">
        <is>
          <t>Tutino e il vento</t>
        </is>
      </c>
      <c r="C795" s="14" t="inlineStr">
        <is>
          <t>Lorenzo Clerici</t>
        </is>
      </c>
      <c r="D795" s="14" t="inlineStr">
        <is>
          <t>Catalogo Minibombo 2026</t>
        </is>
      </c>
      <c r="E795" s="14" t="inlineStr">
        <is>
          <t>da 1 anno</t>
        </is>
      </c>
      <c r="F795" s="14" t="inlineStr">
        <is>
          <t>0-3 anni</t>
        </is>
      </c>
      <c r="G795" s="14" t="inlineStr">
        <is>
          <t>Libro cartonato</t>
        </is>
      </c>
      <c r="H795" s="14" t="inlineStr"/>
      <c r="I795" s="14" t="inlineStr">
        <is>
          <t>No</t>
        </is>
      </c>
      <c r="J795" s="14" t="inlineStr">
        <is>
          <t>Catalogo</t>
        </is>
      </c>
      <c r="K795" s="14" t="inlineStr">
        <is>
          <t>0-3 anni</t>
        </is>
      </c>
      <c r="L795" s="14" t="inlineStr">
        <is>
          <t>Catalogo Minibombo 2026 (ISBN 9788898177738)</t>
        </is>
      </c>
      <c r="M795" s="16" t="n">
        <v>9.9</v>
      </c>
      <c r="N795" s="14" t="inlineStr">
        <is>
          <t>Catalogo Minibombo 2026</t>
        </is>
      </c>
      <c r="O795" s="16">
        <f>IF(ISNUMBER(M795),ROUND(M795*(1-Condizioni!$B$2),2),"")</f>
        <v/>
      </c>
      <c r="P795" s="17" t="inlineStr">
        <is>
          <t>No</t>
        </is>
      </c>
    </row>
    <row r="796">
      <c r="A796" s="14" t="inlineStr">
        <is>
          <t>Minibombo</t>
        </is>
      </c>
      <c r="B796" s="14" t="inlineStr">
        <is>
          <t>Tutino e la pozzanghera</t>
        </is>
      </c>
      <c r="C796" s="14" t="inlineStr">
        <is>
          <t>Lorenzo Clerici</t>
        </is>
      </c>
      <c r="D796" s="14" t="inlineStr">
        <is>
          <t>Catalogo Minibombo 2026</t>
        </is>
      </c>
      <c r="E796" s="14" t="inlineStr">
        <is>
          <t>da 1 anno</t>
        </is>
      </c>
      <c r="F796" s="14" t="inlineStr">
        <is>
          <t>0-3 anni</t>
        </is>
      </c>
      <c r="G796" s="14" t="inlineStr">
        <is>
          <t>Libro cartonato</t>
        </is>
      </c>
      <c r="H796" s="14" t="inlineStr"/>
      <c r="I796" s="14" t="inlineStr">
        <is>
          <t>No</t>
        </is>
      </c>
      <c r="J796" s="14" t="inlineStr">
        <is>
          <t>Catalogo</t>
        </is>
      </c>
      <c r="K796" s="14" t="inlineStr">
        <is>
          <t>0-3 anni</t>
        </is>
      </c>
      <c r="L796" s="14" t="inlineStr">
        <is>
          <t>Catalogo Minibombo 2026 (ISBN 9788898177721)</t>
        </is>
      </c>
      <c r="M796" s="16" t="n">
        <v>9.9</v>
      </c>
      <c r="N796" s="14" t="inlineStr">
        <is>
          <t>Catalogo Minibombo 2026</t>
        </is>
      </c>
      <c r="O796" s="16">
        <f>IF(ISNUMBER(M796),ROUND(M796*(1-Condizioni!$B$2),2),"")</f>
        <v/>
      </c>
      <c r="P796" s="17" t="inlineStr">
        <is>
          <t>No</t>
        </is>
      </c>
    </row>
    <row r="797">
      <c r="A797" s="14" t="inlineStr">
        <is>
          <t>Minibombo</t>
        </is>
      </c>
      <c r="B797" s="14" t="inlineStr">
        <is>
          <t>Tutino e l’albero</t>
        </is>
      </c>
      <c r="C797" s="14" t="inlineStr">
        <is>
          <t>Lorenzo Clerici</t>
        </is>
      </c>
      <c r="D797" s="14" t="inlineStr">
        <is>
          <t>Catalogo Minibombo 2026</t>
        </is>
      </c>
      <c r="E797" s="14" t="inlineStr">
        <is>
          <t>da 1 anno</t>
        </is>
      </c>
      <c r="F797" s="14" t="inlineStr">
        <is>
          <t>0-3 anni</t>
        </is>
      </c>
      <c r="G797" s="14" t="inlineStr">
        <is>
          <t>Libro cartonato</t>
        </is>
      </c>
      <c r="H797" s="14" t="inlineStr"/>
      <c r="I797" s="14" t="inlineStr">
        <is>
          <t>No</t>
        </is>
      </c>
      <c r="J797" s="14" t="inlineStr">
        <is>
          <t>Catalogo</t>
        </is>
      </c>
      <c r="K797" s="14" t="inlineStr">
        <is>
          <t>0-3 anni</t>
        </is>
      </c>
      <c r="L797" s="14" t="inlineStr">
        <is>
          <t>Catalogo Minibombo 2026 (ISBN 9788898177714)</t>
        </is>
      </c>
      <c r="M797" s="16" t="n">
        <v>9.9</v>
      </c>
      <c r="N797" s="14" t="inlineStr">
        <is>
          <t>Catalogo Minibombo 2026</t>
        </is>
      </c>
      <c r="O797" s="16">
        <f>IF(ISNUMBER(M797),ROUND(M797*(1-Condizioni!$B$2),2),"")</f>
        <v/>
      </c>
      <c r="P797" s="17" t="inlineStr">
        <is>
          <t>No</t>
        </is>
      </c>
    </row>
    <row r="798">
      <c r="A798" s="14" t="inlineStr">
        <is>
          <t>Minibombo</t>
        </is>
      </c>
      <c r="B798" s="14" t="inlineStr">
        <is>
          <t>Tutino ha un po’ di fame</t>
        </is>
      </c>
      <c r="C798" s="14" t="inlineStr">
        <is>
          <t>Lorenzo Clerici</t>
        </is>
      </c>
      <c r="D798" s="14" t="inlineStr">
        <is>
          <t>Catalogo Minibombo 2026</t>
        </is>
      </c>
      <c r="E798" s="14" t="inlineStr">
        <is>
          <t>da 1 anno</t>
        </is>
      </c>
      <c r="F798" s="14" t="inlineStr">
        <is>
          <t>0-3 anni</t>
        </is>
      </c>
      <c r="G798" s="14" t="inlineStr">
        <is>
          <t>Libro cartonato</t>
        </is>
      </c>
      <c r="H798" s="14" t="inlineStr"/>
      <c r="I798" s="14" t="inlineStr">
        <is>
          <t>No</t>
        </is>
      </c>
      <c r="J798" s="14" t="inlineStr">
        <is>
          <t>Catalogo</t>
        </is>
      </c>
      <c r="K798" s="14" t="inlineStr">
        <is>
          <t>0-3 anni</t>
        </is>
      </c>
      <c r="L798" s="14" t="inlineStr">
        <is>
          <t>Catalogo Minibombo 2026 (ISBN 9788898177745)</t>
        </is>
      </c>
      <c r="M798" s="16" t="n">
        <v>9.9</v>
      </c>
      <c r="N798" s="14" t="inlineStr">
        <is>
          <t>Catalogo Minibombo 2026</t>
        </is>
      </c>
      <c r="O798" s="16">
        <f>IF(ISNUMBER(M798),ROUND(M798*(1-Condizioni!$B$2),2),"")</f>
        <v/>
      </c>
      <c r="P798" s="17" t="inlineStr">
        <is>
          <t>No</t>
        </is>
      </c>
    </row>
    <row r="799">
      <c r="A799" s="14" t="inlineStr">
        <is>
          <t>Minibombo</t>
        </is>
      </c>
      <c r="B799" s="14" t="inlineStr">
        <is>
          <t>Tutino nella neve</t>
        </is>
      </c>
      <c r="C799" s="14" t="inlineStr">
        <is>
          <t>Lorenzo Clerici</t>
        </is>
      </c>
      <c r="D799" s="14" t="inlineStr">
        <is>
          <t>Catalogo Minibombo 2026</t>
        </is>
      </c>
      <c r="E799" s="14" t="inlineStr">
        <is>
          <t>da 1 anno</t>
        </is>
      </c>
      <c r="F799" s="14" t="inlineStr">
        <is>
          <t>0-3 anni</t>
        </is>
      </c>
      <c r="G799" s="14" t="inlineStr">
        <is>
          <t>Libro cartonato</t>
        </is>
      </c>
      <c r="H799" s="14" t="inlineStr"/>
      <c r="I799" s="14" t="inlineStr">
        <is>
          <t>No</t>
        </is>
      </c>
      <c r="J799" s="14" t="inlineStr">
        <is>
          <t>Catalogo</t>
        </is>
      </c>
      <c r="K799" s="14" t="inlineStr">
        <is>
          <t>0-3 anni</t>
        </is>
      </c>
      <c r="L799" s="14" t="inlineStr">
        <is>
          <t>Catalogo Minibombo 2026 (ISBN 9791281054134)</t>
        </is>
      </c>
      <c r="M799" s="16" t="n">
        <v>9.9</v>
      </c>
      <c r="N799" s="14" t="inlineStr">
        <is>
          <t>Catalogo Minibombo 2026</t>
        </is>
      </c>
      <c r="O799" s="16">
        <f>IF(ISNUMBER(M799),ROUND(M799*(1-Condizioni!$B$2),2),"")</f>
        <v/>
      </c>
      <c r="P799" s="17" t="inlineStr">
        <is>
          <t>Sì</t>
        </is>
      </c>
    </row>
    <row r="800">
      <c r="A800" s="14" t="inlineStr">
        <is>
          <t>Minibombo</t>
        </is>
      </c>
      <c r="B800" s="14" t="inlineStr">
        <is>
          <t>Tutino non ha sonno</t>
        </is>
      </c>
      <c r="C800" s="14" t="inlineStr">
        <is>
          <t>Lorenzo Clerici</t>
        </is>
      </c>
      <c r="D800" s="14" t="inlineStr">
        <is>
          <t>Catalogo Minibombo 2026</t>
        </is>
      </c>
      <c r="E800" s="14" t="inlineStr">
        <is>
          <t>da 1 anno</t>
        </is>
      </c>
      <c r="F800" s="14" t="inlineStr">
        <is>
          <t>0-3 anni</t>
        </is>
      </c>
      <c r="G800" s="14" t="inlineStr">
        <is>
          <t>Libro cartonato</t>
        </is>
      </c>
      <c r="H800" s="14" t="inlineStr"/>
      <c r="I800" s="14" t="inlineStr">
        <is>
          <t>No</t>
        </is>
      </c>
      <c r="J800" s="14" t="inlineStr">
        <is>
          <t>Catalogo</t>
        </is>
      </c>
      <c r="K800" s="14" t="inlineStr">
        <is>
          <t>0-3 anni</t>
        </is>
      </c>
      <c r="L800" s="14" t="inlineStr">
        <is>
          <t>Catalogo Minibombo 2026 (ISBN 9788898177752)</t>
        </is>
      </c>
      <c r="M800" s="16" t="n">
        <v>9.9</v>
      </c>
      <c r="N800" s="14" t="inlineStr">
        <is>
          <t>Catalogo Minibombo 2026</t>
        </is>
      </c>
      <c r="O800" s="16">
        <f>IF(ISNUMBER(M800),ROUND(M800*(1-Condizioni!$B$2),2),"")</f>
        <v/>
      </c>
      <c r="P800" s="17" t="inlineStr">
        <is>
          <t>No</t>
        </is>
      </c>
    </row>
    <row r="801">
      <c r="A801" s="14" t="inlineStr">
        <is>
          <t>Minibombo</t>
        </is>
      </c>
      <c r="B801" s="14" t="inlineStr">
        <is>
          <t>Un bello spavento</t>
        </is>
      </c>
      <c r="C801" s="14" t="inlineStr">
        <is>
          <t>Elena Galloni</t>
        </is>
      </c>
      <c r="D801" s="14" t="inlineStr">
        <is>
          <t>Catalogo Minibombo 2026</t>
        </is>
      </c>
      <c r="E801" s="14" t="inlineStr">
        <is>
          <t>dai 2 anni</t>
        </is>
      </c>
      <c r="F801" s="14" t="inlineStr">
        <is>
          <t>0-3 anni</t>
        </is>
      </c>
      <c r="G801" s="14" t="inlineStr">
        <is>
          <t>Albo illustrato</t>
        </is>
      </c>
      <c r="H801" s="14" t="inlineStr"/>
      <c r="I801" s="14" t="inlineStr">
        <is>
          <t>No</t>
        </is>
      </c>
      <c r="J801" s="14" t="inlineStr">
        <is>
          <t>Catalogo</t>
        </is>
      </c>
      <c r="K801" s="14" t="inlineStr">
        <is>
          <t>0-3 anni</t>
        </is>
      </c>
      <c r="L801" s="14" t="inlineStr">
        <is>
          <t>Catalogo Minibombo 2026 (ISBN 9788898177639)</t>
        </is>
      </c>
      <c r="M801" s="16" t="n">
        <v>11.9</v>
      </c>
      <c r="N801" s="14" t="inlineStr">
        <is>
          <t>Catalogo Minibombo 2026</t>
        </is>
      </c>
      <c r="O801" s="16">
        <f>IF(ISNUMBER(M801),ROUND(M801*(1-Condizioni!$B$2),2),"")</f>
        <v/>
      </c>
      <c r="P801" s="17" t="inlineStr">
        <is>
          <t>No</t>
        </is>
      </c>
    </row>
    <row r="802">
      <c r="A802" s="14" t="inlineStr">
        <is>
          <t>Minibombo</t>
        </is>
      </c>
      <c r="B802" s="14" t="inlineStr">
        <is>
          <t>Un coniglietto molto ubbidiente</t>
        </is>
      </c>
      <c r="C802" s="14" t="inlineStr">
        <is>
          <t>Silvia Borando</t>
        </is>
      </c>
      <c r="D802" s="14" t="inlineStr">
        <is>
          <t>Catalogo Minibombo 2026</t>
        </is>
      </c>
      <c r="E802" s="14" t="inlineStr">
        <is>
          <t>dai 2 anni</t>
        </is>
      </c>
      <c r="F802" s="14" t="inlineStr">
        <is>
          <t>0-3 anni</t>
        </is>
      </c>
      <c r="G802" s="14" t="inlineStr">
        <is>
          <t>Albo illustrato</t>
        </is>
      </c>
      <c r="H802" s="14" t="inlineStr"/>
      <c r="I802" s="14" t="inlineStr">
        <is>
          <t>No</t>
        </is>
      </c>
      <c r="J802" s="14" t="inlineStr">
        <is>
          <t>Catalogo</t>
        </is>
      </c>
      <c r="K802" s="14" t="inlineStr">
        <is>
          <t>0-3 anni</t>
        </is>
      </c>
      <c r="L802" s="14" t="inlineStr">
        <is>
          <t>Catalogo Minibombo 2026 (ISBN 9791281054028)</t>
        </is>
      </c>
      <c r="M802" s="16" t="n">
        <v>12.9</v>
      </c>
      <c r="N802" s="14" t="inlineStr">
        <is>
          <t>Catalogo Minibombo 2026</t>
        </is>
      </c>
      <c r="O802" s="16">
        <f>IF(ISNUMBER(M802),ROUND(M802*(1-Condizioni!$B$2),2),"")</f>
        <v/>
      </c>
      <c r="P802" s="17" t="inlineStr">
        <is>
          <t>No</t>
        </is>
      </c>
    </row>
    <row r="803">
      <c r="A803" s="14" t="inlineStr">
        <is>
          <t>Minibombo</t>
        </is>
      </c>
      <c r="B803" s="14" t="inlineStr">
        <is>
          <t>Vicino lontano</t>
        </is>
      </c>
      <c r="C803" s="14" t="inlineStr">
        <is>
          <t>Silvia Borando</t>
        </is>
      </c>
      <c r="D803" s="14" t="inlineStr">
        <is>
          <t>Catalogo Minibombo 2026</t>
        </is>
      </c>
      <c r="E803" s="14" t="inlineStr">
        <is>
          <t>da 1 anno</t>
        </is>
      </c>
      <c r="F803" s="14" t="inlineStr">
        <is>
          <t>0-3 anni</t>
        </is>
      </c>
      <c r="G803" s="14" t="inlineStr">
        <is>
          <t>Libro cartonato</t>
        </is>
      </c>
      <c r="H803" s="14" t="inlineStr"/>
      <c r="I803" s="14" t="inlineStr">
        <is>
          <t>No</t>
        </is>
      </c>
      <c r="J803" s="14" t="inlineStr">
        <is>
          <t>Catalogo</t>
        </is>
      </c>
      <c r="K803" s="14" t="inlineStr">
        <is>
          <t>0-3 anni</t>
        </is>
      </c>
      <c r="L803" s="14" t="inlineStr">
        <is>
          <t>Catalogo Minibombo 2026 (ISBN 9788898177950)</t>
        </is>
      </c>
      <c r="M803" s="16" t="n">
        <v>10.9</v>
      </c>
      <c r="N803" s="14" t="inlineStr">
        <is>
          <t>Catalogo Minibombo 2026</t>
        </is>
      </c>
      <c r="O803" s="16">
        <f>IF(ISNUMBER(M803),ROUND(M803*(1-Condizioni!$B$2),2),"")</f>
        <v/>
      </c>
      <c r="P803" s="17" t="inlineStr">
        <is>
          <t>No</t>
        </is>
      </c>
    </row>
    <row r="804">
      <c r="A804" s="14" t="inlineStr">
        <is>
          <t>Minibombo</t>
        </is>
      </c>
      <c r="B804" s="14" t="inlineStr">
        <is>
          <t>Zebra dalla sarta</t>
        </is>
      </c>
      <c r="C804" s="14" t="inlineStr">
        <is>
          <t>Silvia Borando</t>
        </is>
      </c>
      <c r="D804" s="14" t="inlineStr">
        <is>
          <t>Catalogo Minibombo 2026</t>
        </is>
      </c>
      <c r="E804" s="14" t="inlineStr">
        <is>
          <t>dai 2 anni</t>
        </is>
      </c>
      <c r="F804" s="14" t="inlineStr">
        <is>
          <t>0-3 anni</t>
        </is>
      </c>
      <c r="G804" s="14" t="inlineStr">
        <is>
          <t>Albo illustrato</t>
        </is>
      </c>
      <c r="H804" s="14" t="inlineStr"/>
      <c r="I804" s="14" t="inlineStr">
        <is>
          <t>No</t>
        </is>
      </c>
      <c r="J804" s="14" t="inlineStr">
        <is>
          <t>Catalogo</t>
        </is>
      </c>
      <c r="K804" s="14" t="inlineStr">
        <is>
          <t>0-3 anni</t>
        </is>
      </c>
      <c r="L804" s="14" t="inlineStr">
        <is>
          <t>Catalogo Minibombo 2026 (ISBN 9788898177523)</t>
        </is>
      </c>
      <c r="M804" s="16" t="n">
        <v>9.9</v>
      </c>
      <c r="N804" s="14" t="inlineStr">
        <is>
          <t>Catalogo Minibombo 2026</t>
        </is>
      </c>
      <c r="O804" s="16">
        <f>IF(ISNUMBER(M804),ROUND(M804*(1-Condizioni!$B$2),2),"")</f>
        <v/>
      </c>
      <c r="P804" s="17" t="inlineStr">
        <is>
          <t>No</t>
        </is>
      </c>
    </row>
    <row r="805">
      <c r="A805" s="14" t="inlineStr">
        <is>
          <t>Minibombo</t>
        </is>
      </c>
      <c r="B805" s="14" t="inlineStr">
        <is>
          <t>Affamato come un lupo</t>
        </is>
      </c>
      <c r="C805" s="14" t="inlineStr">
        <is>
          <t>Silvia Borando</t>
        </is>
      </c>
      <c r="D805" s="14" t="inlineStr">
        <is>
          <t>Catalogo Minibombo 2026</t>
        </is>
      </c>
      <c r="E805" s="14" t="inlineStr">
        <is>
          <t>dai 3 anni</t>
        </is>
      </c>
      <c r="F805" s="14" t="inlineStr">
        <is>
          <t>3-6 anni</t>
        </is>
      </c>
      <c r="G805" s="14" t="inlineStr">
        <is>
          <t>Albo illustrato</t>
        </is>
      </c>
      <c r="H805" s="14" t="inlineStr"/>
      <c r="I805" s="14" t="inlineStr">
        <is>
          <t>No</t>
        </is>
      </c>
      <c r="J805" s="14" t="inlineStr">
        <is>
          <t>Catalogo</t>
        </is>
      </c>
      <c r="K805" s="14" t="inlineStr">
        <is>
          <t>3-6 anni</t>
        </is>
      </c>
      <c r="L805" s="14" t="inlineStr">
        <is>
          <t>Catalogo Minibombo 2026 (ISBN 9788898177387)</t>
        </is>
      </c>
      <c r="M805" s="16" t="n">
        <v>12.9</v>
      </c>
      <c r="N805" s="14" t="inlineStr">
        <is>
          <t>Catalogo Minibombo 2026</t>
        </is>
      </c>
      <c r="O805" s="16">
        <f>IF(ISNUMBER(M805),ROUND(M805*(1-Condizioni!$B$2),2),"")</f>
        <v/>
      </c>
      <c r="P805" s="17" t="inlineStr">
        <is>
          <t>Sì</t>
        </is>
      </c>
    </row>
    <row r="806">
      <c r="A806" s="14" t="inlineStr">
        <is>
          <t>Minibombo</t>
        </is>
      </c>
      <c r="B806" s="14" t="inlineStr">
        <is>
          <t>Affamato come un lupo – versione in simboli (InBook)</t>
        </is>
      </c>
      <c r="C806" s="14" t="inlineStr">
        <is>
          <t>traduzione in simboli a cura di reti di biblioteche</t>
        </is>
      </c>
      <c r="D806" s="14" t="inlineStr">
        <is>
          <t>InBook (non edizione Minibombo)</t>
        </is>
      </c>
      <c r="E806" s="14" t="inlineStr">
        <is>
          <t>n.d.</t>
        </is>
      </c>
      <c r="F806" s="14" t="inlineStr">
        <is>
          <t>3-6 anni</t>
        </is>
      </c>
      <c r="G806" s="14" t="inlineStr">
        <is>
          <t>Libro in simboli (CAA)</t>
        </is>
      </c>
      <c r="H806" s="14" t="inlineStr">
        <is>
          <t>Inclusione: libro in simboli</t>
        </is>
      </c>
      <c r="I806" s="18" t="inlineStr">
        <is>
          <t>Sì</t>
        </is>
      </c>
      <c r="J806" s="14" t="inlineStr">
        <is>
          <t>Tolto: versione in simboli InBook, non in vendita</t>
        </is>
      </c>
      <c r="K806" s="14" t="inlineStr">
        <is>
          <t>3-6 anni, CAA</t>
        </is>
      </c>
      <c r="L806" s="14" t="inlineStr">
        <is>
          <t>https://www.055firenze.it/art/216489/libri-in-simboli-nasce-la-prima-Rete-Operativa-Toscana-delle-Biblioteche-Inbook-libri-in-simboli</t>
        </is>
      </c>
      <c r="M806" s="19" t="n"/>
      <c r="N806" s="14" t="inlineStr"/>
      <c r="O806" s="16">
        <f>IF(ISNUMBER(M806),ROUND(M806*(1-Condizioni!$B$2),2),"")</f>
        <v/>
      </c>
      <c r="P806" s="17" t="inlineStr">
        <is>
          <t>No</t>
        </is>
      </c>
    </row>
    <row r="807">
      <c r="A807" s="14" t="inlineStr">
        <is>
          <t>Minibombo</t>
        </is>
      </c>
      <c r="B807" s="14" t="inlineStr">
        <is>
          <t>Allarme rosso!</t>
        </is>
      </c>
      <c r="C807" s="14" t="inlineStr">
        <is>
          <t>Marco Scalcione</t>
        </is>
      </c>
      <c r="D807" s="14" t="inlineStr">
        <is>
          <t>Catalogo Minibombo 2026</t>
        </is>
      </c>
      <c r="E807" s="14" t="inlineStr">
        <is>
          <t>dai 3 anni</t>
        </is>
      </c>
      <c r="F807" s="14" t="inlineStr">
        <is>
          <t>3-6 anni</t>
        </is>
      </c>
      <c r="G807" s="14" t="inlineStr">
        <is>
          <t>Albo illustrato</t>
        </is>
      </c>
      <c r="H807" s="14" t="inlineStr"/>
      <c r="I807" s="14" t="inlineStr">
        <is>
          <t>No</t>
        </is>
      </c>
      <c r="J807" s="14" t="inlineStr">
        <is>
          <t>Catalogo</t>
        </is>
      </c>
      <c r="K807" s="14" t="inlineStr">
        <is>
          <t>3-6 anni</t>
        </is>
      </c>
      <c r="L807" s="14" t="inlineStr">
        <is>
          <t>Catalogo Minibombo 2026 (ISBN 9788898177394)</t>
        </is>
      </c>
      <c r="M807" s="16" t="n">
        <v>12.9</v>
      </c>
      <c r="N807" s="14" t="inlineStr">
        <is>
          <t>Catalogo Minibombo 2026</t>
        </is>
      </c>
      <c r="O807" s="16">
        <f>IF(ISNUMBER(M807),ROUND(M807*(1-Condizioni!$B$2),2),"")</f>
        <v/>
      </c>
      <c r="P807" s="17" t="inlineStr">
        <is>
          <t>Sì</t>
        </is>
      </c>
    </row>
    <row r="808">
      <c r="A808" s="14" t="inlineStr">
        <is>
          <t>Minibombo</t>
        </is>
      </c>
      <c r="B808" s="14" t="inlineStr">
        <is>
          <t>Chi c’è tra i ritagli?</t>
        </is>
      </c>
      <c r="C808" s="14" t="inlineStr">
        <is>
          <t>Silvia Borando</t>
        </is>
      </c>
      <c r="D808" s="14" t="inlineStr">
        <is>
          <t>Catalogo Minibombo 2026</t>
        </is>
      </c>
      <c r="E808" s="14" t="inlineStr">
        <is>
          <t>dai 3 anni</t>
        </is>
      </c>
      <c r="F808" s="14" t="inlineStr">
        <is>
          <t>3-6 anni</t>
        </is>
      </c>
      <c r="G808" s="14" t="inlineStr">
        <is>
          <t>Albo illustrato</t>
        </is>
      </c>
      <c r="H808" s="14" t="inlineStr"/>
      <c r="I808" s="14" t="inlineStr">
        <is>
          <t>No</t>
        </is>
      </c>
      <c r="J808" s="14" t="inlineStr">
        <is>
          <t>Catalogo</t>
        </is>
      </c>
      <c r="K808" s="14" t="inlineStr">
        <is>
          <t>3-6 anni</t>
        </is>
      </c>
      <c r="L808" s="14" t="inlineStr">
        <is>
          <t>Catalogo Minibombo 2026 (ISBN 9788898177141)</t>
        </is>
      </c>
      <c r="M808" s="16" t="n">
        <v>12.9</v>
      </c>
      <c r="N808" s="14" t="inlineStr">
        <is>
          <t>Catalogo Minibombo 2026</t>
        </is>
      </c>
      <c r="O808" s="16">
        <f>IF(ISNUMBER(M808),ROUND(M808*(1-Condizioni!$B$2),2),"")</f>
        <v/>
      </c>
      <c r="P808" s="17" t="inlineStr">
        <is>
          <t>No</t>
        </is>
      </c>
    </row>
    <row r="809">
      <c r="A809" s="14" t="inlineStr">
        <is>
          <t>Minibombo</t>
        </is>
      </c>
      <c r="B809" s="14" t="inlineStr">
        <is>
          <t>Chi ha il coraggio?</t>
        </is>
      </c>
      <c r="C809" s="14" t="inlineStr">
        <is>
          <t>Silvia Borando</t>
        </is>
      </c>
      <c r="D809" s="14" t="inlineStr">
        <is>
          <t>Catalogo Minibombo 2026</t>
        </is>
      </c>
      <c r="E809" s="14" t="inlineStr">
        <is>
          <t>dai 3 anni</t>
        </is>
      </c>
      <c r="F809" s="14" t="inlineStr">
        <is>
          <t>3-6 anni</t>
        </is>
      </c>
      <c r="G809" s="14" t="inlineStr">
        <is>
          <t>Albo illustrato</t>
        </is>
      </c>
      <c r="H809" s="14" t="inlineStr"/>
      <c r="I809" s="14" t="inlineStr">
        <is>
          <t>No</t>
        </is>
      </c>
      <c r="J809" s="14" t="inlineStr">
        <is>
          <t>Catalogo</t>
        </is>
      </c>
      <c r="K809" s="14" t="inlineStr">
        <is>
          <t>3-6 anni</t>
        </is>
      </c>
      <c r="L809" s="14" t="inlineStr">
        <is>
          <t>Catalogo Minibombo 2026 (ISBN 9788898177295)</t>
        </is>
      </c>
      <c r="M809" s="16" t="n">
        <v>11.9</v>
      </c>
      <c r="N809" s="14" t="inlineStr">
        <is>
          <t>Catalogo Minibombo 2026</t>
        </is>
      </c>
      <c r="O809" s="16">
        <f>IF(ISNUMBER(M809),ROUND(M809*(1-Condizioni!$B$2),2),"")</f>
        <v/>
      </c>
      <c r="P809" s="17" t="inlineStr">
        <is>
          <t>No</t>
        </is>
      </c>
    </row>
    <row r="810">
      <c r="A810" s="14" t="inlineStr">
        <is>
          <t>Minibombo</t>
        </is>
      </c>
      <c r="B810" s="14" t="inlineStr">
        <is>
          <t>Chi mi ha rubato il naso?</t>
        </is>
      </c>
      <c r="C810" s="14" t="inlineStr">
        <is>
          <t>Lorenzo Clerici</t>
        </is>
      </c>
      <c r="D810" s="14" t="inlineStr">
        <is>
          <t>Catalogo Minibombo 2026</t>
        </is>
      </c>
      <c r="E810" s="14" t="inlineStr">
        <is>
          <t>dai 3 anni</t>
        </is>
      </c>
      <c r="F810" s="14" t="inlineStr">
        <is>
          <t>3-6 anni</t>
        </is>
      </c>
      <c r="G810" s="14" t="inlineStr">
        <is>
          <t>Albo illustrato</t>
        </is>
      </c>
      <c r="H810" s="14" t="inlineStr"/>
      <c r="I810" s="14" t="inlineStr">
        <is>
          <t>No</t>
        </is>
      </c>
      <c r="J810" s="14" t="inlineStr">
        <is>
          <t>Catalogo</t>
        </is>
      </c>
      <c r="K810" s="14" t="inlineStr">
        <is>
          <t>3-6 anni</t>
        </is>
      </c>
      <c r="L810" s="14" t="inlineStr">
        <is>
          <t>Catalogo Minibombo 2026 (ISBN 9788898177011)</t>
        </is>
      </c>
      <c r="M810" s="16" t="n">
        <v>11.9</v>
      </c>
      <c r="N810" s="14" t="inlineStr">
        <is>
          <t>Catalogo Minibombo 2026</t>
        </is>
      </c>
      <c r="O810" s="16">
        <f>IF(ISNUMBER(M810),ROUND(M810*(1-Condizioni!$B$2),2),"")</f>
        <v/>
      </c>
      <c r="P810" s="17" t="inlineStr">
        <is>
          <t>No</t>
        </is>
      </c>
    </row>
    <row r="811">
      <c r="A811" s="14" t="inlineStr">
        <is>
          <t>Minibombo</t>
        </is>
      </c>
      <c r="B811" s="14" t="inlineStr">
        <is>
          <t>Come riconoscere un innaffiatoio e molti altri oggetti in giardino</t>
        </is>
      </c>
      <c r="C811" s="14" t="inlineStr">
        <is>
          <t>Silvia Borando</t>
        </is>
      </c>
      <c r="D811" s="14" t="inlineStr">
        <is>
          <t>Catalogo Minibombo 2026</t>
        </is>
      </c>
      <c r="E811" s="14" t="inlineStr">
        <is>
          <t>dai 3 anni</t>
        </is>
      </c>
      <c r="F811" s="14" t="inlineStr">
        <is>
          <t>3-6 anni</t>
        </is>
      </c>
      <c r="G811" s="14" t="inlineStr">
        <is>
          <t>Albo illustrato</t>
        </is>
      </c>
      <c r="H811" s="14" t="inlineStr"/>
      <c r="I811" s="14" t="inlineStr">
        <is>
          <t>No</t>
        </is>
      </c>
      <c r="J811" s="14" t="inlineStr">
        <is>
          <t>Catalogo</t>
        </is>
      </c>
      <c r="K811" s="14" t="inlineStr">
        <is>
          <t>3-6 anni</t>
        </is>
      </c>
      <c r="L811" s="14" t="inlineStr">
        <is>
          <t>Catalogo Minibombo 2026 (ISBN 9791281054219)</t>
        </is>
      </c>
      <c r="M811" s="16" t="n">
        <v>14.9</v>
      </c>
      <c r="N811" s="14" t="inlineStr">
        <is>
          <t>Catalogo Minibombo 2026</t>
        </is>
      </c>
      <c r="O811" s="16">
        <f>IF(ISNUMBER(M811),ROUND(M811*(1-Condizioni!$B$2),2),"")</f>
        <v/>
      </c>
      <c r="P811" s="17" t="inlineStr">
        <is>
          <t>No</t>
        </is>
      </c>
    </row>
    <row r="812">
      <c r="A812" s="14" t="inlineStr">
        <is>
          <t>Minibombo</t>
        </is>
      </c>
      <c r="B812" s="14" t="inlineStr">
        <is>
          <t>Come riconoscere una forchetta e molti altri oggetti di casa</t>
        </is>
      </c>
      <c r="C812" s="14" t="inlineStr">
        <is>
          <t>Silvia Borando</t>
        </is>
      </c>
      <c r="D812" s="14" t="inlineStr">
        <is>
          <t>Catalogo Minibombo 2026</t>
        </is>
      </c>
      <c r="E812" s="14" t="inlineStr">
        <is>
          <t>dai 3 anni</t>
        </is>
      </c>
      <c r="F812" s="14" t="inlineStr">
        <is>
          <t>3-6 anni</t>
        </is>
      </c>
      <c r="G812" s="14" t="inlineStr">
        <is>
          <t>Albo illustrato</t>
        </is>
      </c>
      <c r="H812" s="14" t="inlineStr"/>
      <c r="I812" s="14" t="inlineStr">
        <is>
          <t>No</t>
        </is>
      </c>
      <c r="J812" s="14" t="inlineStr">
        <is>
          <t>Catalogo</t>
        </is>
      </c>
      <c r="K812" s="14" t="inlineStr">
        <is>
          <t>3-6 anni</t>
        </is>
      </c>
      <c r="L812" s="14" t="inlineStr">
        <is>
          <t>Catalogo Minibombo 2026 (ISBN 9791281054189)</t>
        </is>
      </c>
      <c r="M812" s="16" t="n">
        <v>14.9</v>
      </c>
      <c r="N812" s="14" t="inlineStr">
        <is>
          <t>Catalogo Minibombo 2026</t>
        </is>
      </c>
      <c r="O812" s="16">
        <f>IF(ISNUMBER(M812),ROUND(M812*(1-Condizioni!$B$2),2),"")</f>
        <v/>
      </c>
      <c r="P812" s="17" t="inlineStr">
        <is>
          <t>No</t>
        </is>
      </c>
    </row>
    <row r="813">
      <c r="A813" s="14" t="inlineStr">
        <is>
          <t>Minibombo</t>
        </is>
      </c>
      <c r="B813" s="14" t="inlineStr">
        <is>
          <t>Cose mai viste</t>
        </is>
      </c>
      <c r="C813" s="14" t="inlineStr">
        <is>
          <t>Silvia Borando</t>
        </is>
      </c>
      <c r="D813" s="14" t="inlineStr">
        <is>
          <t>Catalogo Minibombo 2026</t>
        </is>
      </c>
      <c r="E813" s="14" t="inlineStr">
        <is>
          <t>dai 3 anni</t>
        </is>
      </c>
      <c r="F813" s="14" t="inlineStr">
        <is>
          <t>3-6 anni</t>
        </is>
      </c>
      <c r="G813" s="14" t="inlineStr">
        <is>
          <t>Albo illustrato</t>
        </is>
      </c>
      <c r="H813" s="14" t="inlineStr"/>
      <c r="I813" s="14" t="inlineStr">
        <is>
          <t>No</t>
        </is>
      </c>
      <c r="J813" s="14" t="inlineStr">
        <is>
          <t>Catalogo</t>
        </is>
      </c>
      <c r="K813" s="14" t="inlineStr">
        <is>
          <t>3-6 anni</t>
        </is>
      </c>
      <c r="L813" s="14" t="inlineStr">
        <is>
          <t>Catalogo Minibombo 2026 (ISBN 9788898177462)</t>
        </is>
      </c>
      <c r="M813" s="16" t="n">
        <v>12.9</v>
      </c>
      <c r="N813" s="14" t="inlineStr">
        <is>
          <t>Catalogo Minibombo 2026</t>
        </is>
      </c>
      <c r="O813" s="16">
        <f>IF(ISNUMBER(M813),ROUND(M813*(1-Condizioni!$B$2),2),"")</f>
        <v/>
      </c>
      <c r="P813" s="17" t="inlineStr">
        <is>
          <t>No</t>
        </is>
      </c>
    </row>
    <row r="814">
      <c r="A814" s="14" t="inlineStr">
        <is>
          <t>Minibombo</t>
        </is>
      </c>
      <c r="B814" s="14" t="inlineStr">
        <is>
          <t>Dalla chioma</t>
        </is>
      </c>
      <c r="C814" s="14" t="inlineStr">
        <is>
          <t>Chiara Vignocchi, Paolo Chiarinotti e Silvia Borando</t>
        </is>
      </c>
      <c r="D814" s="14" t="inlineStr">
        <is>
          <t>Catalogo Minibombo 2026</t>
        </is>
      </c>
      <c r="E814" s="14" t="inlineStr">
        <is>
          <t>dai 3 anni</t>
        </is>
      </c>
      <c r="F814" s="14" t="inlineStr">
        <is>
          <t>3-6 anni</t>
        </is>
      </c>
      <c r="G814" s="14" t="inlineStr">
        <is>
          <t>Albo illustrato</t>
        </is>
      </c>
      <c r="H814" s="14" t="inlineStr"/>
      <c r="I814" s="14" t="inlineStr">
        <is>
          <t>No</t>
        </is>
      </c>
      <c r="J814" s="14" t="inlineStr">
        <is>
          <t>Catalogo</t>
        </is>
      </c>
      <c r="K814" s="14" t="inlineStr">
        <is>
          <t>3-6 anni</t>
        </is>
      </c>
      <c r="L814" s="14" t="inlineStr">
        <is>
          <t>Catalogo Minibombo 2026 (ISBN 9788898177226)</t>
        </is>
      </c>
      <c r="M814" s="16" t="n">
        <v>13.9</v>
      </c>
      <c r="N814" s="14" t="inlineStr">
        <is>
          <t>Catalogo Minibombo 2026</t>
        </is>
      </c>
      <c r="O814" s="16">
        <f>IF(ISNUMBER(M814),ROUND(M814*(1-Condizioni!$B$2),2),"")</f>
        <v/>
      </c>
      <c r="P814" s="17" t="inlineStr">
        <is>
          <t>No</t>
        </is>
      </c>
    </row>
    <row r="815">
      <c r="A815" s="14" t="inlineStr">
        <is>
          <t>Minibombo</t>
        </is>
      </c>
      <c r="B815" s="14" t="inlineStr">
        <is>
          <t>Due code mai viste</t>
        </is>
      </c>
      <c r="C815" s="14" t="inlineStr">
        <is>
          <t>Alberto Lot</t>
        </is>
      </c>
      <c r="D815" s="14" t="inlineStr">
        <is>
          <t>Catalogo Minibombo 2026</t>
        </is>
      </c>
      <c r="E815" s="14" t="inlineStr">
        <is>
          <t>dai 3 anni</t>
        </is>
      </c>
      <c r="F815" s="14" t="inlineStr">
        <is>
          <t>3-6 anni</t>
        </is>
      </c>
      <c r="G815" s="14" t="inlineStr">
        <is>
          <t>Albo illustrato</t>
        </is>
      </c>
      <c r="H815" s="14" t="inlineStr"/>
      <c r="I815" s="14" t="inlineStr">
        <is>
          <t>No</t>
        </is>
      </c>
      <c r="J815" s="14" t="inlineStr">
        <is>
          <t>Catalogo</t>
        </is>
      </c>
      <c r="K815" s="14" t="inlineStr">
        <is>
          <t>3-6 anni</t>
        </is>
      </c>
      <c r="L815" s="14" t="inlineStr">
        <is>
          <t>Catalogo Minibombo 2026 (ISBN 9788898177622)</t>
        </is>
      </c>
      <c r="M815" s="16" t="n">
        <v>12.9</v>
      </c>
      <c r="N815" s="14" t="inlineStr">
        <is>
          <t>Catalogo Minibombo 2026</t>
        </is>
      </c>
      <c r="O815" s="16">
        <f>IF(ISNUMBER(M815),ROUND(M815*(1-Condizioni!$B$2),2),"")</f>
        <v/>
      </c>
      <c r="P815" s="17" t="inlineStr">
        <is>
          <t>No</t>
        </is>
      </c>
    </row>
    <row r="816">
      <c r="A816" s="14" t="inlineStr">
        <is>
          <t>Minibombo</t>
        </is>
      </c>
      <c r="B816" s="14" t="inlineStr">
        <is>
          <t>Due cozze in riva al mare</t>
        </is>
      </c>
      <c r="C816" s="14" t="inlineStr">
        <is>
          <t>Marco Scalcione</t>
        </is>
      </c>
      <c r="D816" s="14" t="inlineStr">
        <is>
          <t>Catalogo Minibombo 2026</t>
        </is>
      </c>
      <c r="E816" s="14" t="inlineStr">
        <is>
          <t>dai 3 anni</t>
        </is>
      </c>
      <c r="F816" s="14" t="inlineStr">
        <is>
          <t>3-6 anni</t>
        </is>
      </c>
      <c r="G816" s="14" t="inlineStr">
        <is>
          <t>Albo illustrato</t>
        </is>
      </c>
      <c r="H816" s="14" t="inlineStr"/>
      <c r="I816" s="14" t="inlineStr">
        <is>
          <t>No</t>
        </is>
      </c>
      <c r="J816" s="14" t="inlineStr">
        <is>
          <t>Catalogo</t>
        </is>
      </c>
      <c r="K816" s="14" t="inlineStr">
        <is>
          <t>3-6 anni</t>
        </is>
      </c>
      <c r="L816" s="14" t="inlineStr">
        <is>
          <t>Catalogo Minibombo 2026 (ISBN 9788898177776)</t>
        </is>
      </c>
      <c r="M816" s="16" t="n">
        <v>13.9</v>
      </c>
      <c r="N816" s="14" t="inlineStr">
        <is>
          <t>Catalogo Minibombo 2026</t>
        </is>
      </c>
      <c r="O816" s="16">
        <f>IF(ISNUMBER(M816),ROUND(M816*(1-Condizioni!$B$2),2),"")</f>
        <v/>
      </c>
      <c r="P816" s="17" t="inlineStr">
        <is>
          <t>No</t>
        </is>
      </c>
    </row>
    <row r="817">
      <c r="A817" s="14" t="inlineStr">
        <is>
          <t>Minibombo</t>
        </is>
      </c>
      <c r="B817" s="14" t="inlineStr">
        <is>
          <t>Forme in gioco</t>
        </is>
      </c>
      <c r="C817" s="14" t="inlineStr">
        <is>
          <t>Silvia Borando</t>
        </is>
      </c>
      <c r="D817" s="14" t="inlineStr">
        <is>
          <t>Catalogo Minibombo 2026</t>
        </is>
      </c>
      <c r="E817" s="14" t="inlineStr">
        <is>
          <t>dai 3 anni</t>
        </is>
      </c>
      <c r="F817" s="14" t="inlineStr">
        <is>
          <t>3-6 anni</t>
        </is>
      </c>
      <c r="G817" s="14" t="inlineStr">
        <is>
          <t>Albo illustrato</t>
        </is>
      </c>
      <c r="H817" s="14" t="inlineStr"/>
      <c r="I817" s="14" t="inlineStr">
        <is>
          <t>No</t>
        </is>
      </c>
      <c r="J817" s="14" t="inlineStr">
        <is>
          <t>Catalogo</t>
        </is>
      </c>
      <c r="K817" s="14" t="inlineStr">
        <is>
          <t>3-6 anni</t>
        </is>
      </c>
      <c r="L817" s="14" t="inlineStr">
        <is>
          <t>Catalogo Minibombo 2026 (ISBN 9788898177134)</t>
        </is>
      </c>
      <c r="M817" s="16" t="n">
        <v>12.9</v>
      </c>
      <c r="N817" s="14" t="inlineStr">
        <is>
          <t>Catalogo Minibombo 2026</t>
        </is>
      </c>
      <c r="O817" s="16">
        <f>IF(ISNUMBER(M817),ROUND(M817*(1-Condizioni!$B$2),2),"")</f>
        <v/>
      </c>
      <c r="P817" s="17" t="inlineStr">
        <is>
          <t>No</t>
        </is>
      </c>
    </row>
    <row r="818">
      <c r="A818" s="14" t="inlineStr">
        <is>
          <t>Minibombo</t>
        </is>
      </c>
      <c r="B818" s="14" t="inlineStr">
        <is>
          <t>Gabbiano più gabbiano meno</t>
        </is>
      </c>
      <c r="C818" s="14" t="inlineStr">
        <is>
          <t>Silvia Borando e Marco Scalcione</t>
        </is>
      </c>
      <c r="D818" s="14" t="inlineStr">
        <is>
          <t>Catalogo Minibombo 2026</t>
        </is>
      </c>
      <c r="E818" s="14" t="inlineStr">
        <is>
          <t>dai 3 anni</t>
        </is>
      </c>
      <c r="F818" s="14" t="inlineStr">
        <is>
          <t>3-6 anni</t>
        </is>
      </c>
      <c r="G818" s="14" t="inlineStr">
        <is>
          <t>Albo illustrato</t>
        </is>
      </c>
      <c r="H818" s="14" t="inlineStr"/>
      <c r="I818" s="14" t="inlineStr">
        <is>
          <t>No</t>
        </is>
      </c>
      <c r="J818" s="14" t="inlineStr">
        <is>
          <t>Catalogo</t>
        </is>
      </c>
      <c r="K818" s="14" t="inlineStr">
        <is>
          <t>3-6 anni</t>
        </is>
      </c>
      <c r="L818" s="14" t="inlineStr">
        <is>
          <t>Catalogo Minibombo 2026 (ISBN 9788898177400)</t>
        </is>
      </c>
      <c r="M818" s="16" t="n">
        <v>13.9</v>
      </c>
      <c r="N818" s="14" t="inlineStr">
        <is>
          <t>Catalogo Minibombo 2026</t>
        </is>
      </c>
      <c r="O818" s="16">
        <f>IF(ISNUMBER(M818),ROUND(M818*(1-Condizioni!$B$2),2),"")</f>
        <v/>
      </c>
      <c r="P818" s="17" t="inlineStr">
        <is>
          <t>Sì</t>
        </is>
      </c>
    </row>
    <row r="819">
      <c r="A819" s="14" t="inlineStr">
        <is>
          <t>Minibombo</t>
        </is>
      </c>
      <c r="B819" s="14" t="inlineStr">
        <is>
          <t>Gatto Nero, Gatta Bianca</t>
        </is>
      </c>
      <c r="C819" s="14" t="inlineStr">
        <is>
          <t>Silvia Borando</t>
        </is>
      </c>
      <c r="D819" s="14" t="inlineStr">
        <is>
          <t>Catalogo Minibombo 2026</t>
        </is>
      </c>
      <c r="E819" s="14" t="inlineStr">
        <is>
          <t>dai 3 anni</t>
        </is>
      </c>
      <c r="F819" s="14" t="inlineStr">
        <is>
          <t>3-6 anni</t>
        </is>
      </c>
      <c r="G819" s="14" t="inlineStr">
        <is>
          <t>Albo illustrato</t>
        </is>
      </c>
      <c r="H819" s="14" t="inlineStr"/>
      <c r="I819" s="14" t="inlineStr">
        <is>
          <t>No</t>
        </is>
      </c>
      <c r="J819" s="14" t="inlineStr">
        <is>
          <t>Catalogo</t>
        </is>
      </c>
      <c r="K819" s="14" t="inlineStr">
        <is>
          <t>3-6 anni</t>
        </is>
      </c>
      <c r="L819" s="14" t="inlineStr">
        <is>
          <t>Catalogo Minibombo 2026 (ISBN 9788898177073)</t>
        </is>
      </c>
      <c r="M819" s="16" t="n">
        <v>12.9</v>
      </c>
      <c r="N819" s="14" t="inlineStr">
        <is>
          <t>Catalogo Minibombo 2026</t>
        </is>
      </c>
      <c r="O819" s="16">
        <f>IF(ISNUMBER(M819),ROUND(M819*(1-Condizioni!$B$2),2),"")</f>
        <v/>
      </c>
      <c r="P819" s="17" t="inlineStr">
        <is>
          <t>Sì</t>
        </is>
      </c>
    </row>
    <row r="820">
      <c r="A820" s="14" t="inlineStr">
        <is>
          <t>Minibombo</t>
        </is>
      </c>
      <c r="B820" s="14" t="inlineStr">
        <is>
          <t>Gelato!</t>
        </is>
      </c>
      <c r="C820" s="14" t="inlineStr">
        <is>
          <t>Elisabetta Pica e Silvia Borando</t>
        </is>
      </c>
      <c r="D820" s="14" t="inlineStr">
        <is>
          <t>Catalogo Minibombo 2026</t>
        </is>
      </c>
      <c r="E820" s="14" t="inlineStr">
        <is>
          <t>dai 3 anni</t>
        </is>
      </c>
      <c r="F820" s="14" t="inlineStr">
        <is>
          <t>3-6 anni</t>
        </is>
      </c>
      <c r="G820" s="14" t="inlineStr">
        <is>
          <t>Albo illustrato</t>
        </is>
      </c>
      <c r="H820" s="14" t="inlineStr"/>
      <c r="I820" s="14" t="inlineStr">
        <is>
          <t>No</t>
        </is>
      </c>
      <c r="J820" s="14" t="inlineStr">
        <is>
          <t>Catalogo</t>
        </is>
      </c>
      <c r="K820" s="14" t="inlineStr">
        <is>
          <t>3-6 anni</t>
        </is>
      </c>
      <c r="L820" s="14" t="inlineStr">
        <is>
          <t>Catalogo Minibombo 2026 (ISBN 9788898177431)</t>
        </is>
      </c>
      <c r="M820" s="16" t="n">
        <v>11.9</v>
      </c>
      <c r="N820" s="14" t="inlineStr">
        <is>
          <t>Catalogo Minibombo 2026</t>
        </is>
      </c>
      <c r="O820" s="16">
        <f>IF(ISNUMBER(M820),ROUND(M820*(1-Condizioni!$B$2),2),"")</f>
        <v/>
      </c>
      <c r="P820" s="17" t="inlineStr">
        <is>
          <t>No</t>
        </is>
      </c>
    </row>
    <row r="821">
      <c r="A821" s="14" t="inlineStr">
        <is>
          <t>Minibombo</t>
        </is>
      </c>
      <c r="B821" s="14" t="inlineStr">
        <is>
          <t>Guarda fuori</t>
        </is>
      </c>
      <c r="C821" s="14" t="inlineStr">
        <is>
          <t>Silvia Borando</t>
        </is>
      </c>
      <c r="D821" s="14" t="inlineStr">
        <is>
          <t>Catalogo Minibombo 2026</t>
        </is>
      </c>
      <c r="E821" s="14" t="inlineStr">
        <is>
          <t>dai 3 anni</t>
        </is>
      </c>
      <c r="F821" s="14" t="inlineStr">
        <is>
          <t>3-6 anni</t>
        </is>
      </c>
      <c r="G821" s="14" t="inlineStr">
        <is>
          <t>Albo illustrato</t>
        </is>
      </c>
      <c r="H821" s="14" t="inlineStr"/>
      <c r="I821" s="14" t="inlineStr">
        <is>
          <t>No</t>
        </is>
      </c>
      <c r="J821" s="14" t="inlineStr">
        <is>
          <t>Catalogo</t>
        </is>
      </c>
      <c r="K821" s="14" t="inlineStr">
        <is>
          <t>3-6 anni</t>
        </is>
      </c>
      <c r="L821" s="14" t="inlineStr">
        <is>
          <t>Catalogo Minibombo 2026 (ISBN 9788898177370)</t>
        </is>
      </c>
      <c r="M821" s="16" t="n">
        <v>12.9</v>
      </c>
      <c r="N821" s="14" t="inlineStr">
        <is>
          <t>Catalogo Minibombo 2026</t>
        </is>
      </c>
      <c r="O821" s="16">
        <f>IF(ISNUMBER(M821),ROUND(M821*(1-Condizioni!$B$2),2),"")</f>
        <v/>
      </c>
      <c r="P821" s="17" t="inlineStr">
        <is>
          <t>No</t>
        </is>
      </c>
    </row>
    <row r="822">
      <c r="A822" s="14" t="inlineStr">
        <is>
          <t>Minibombo</t>
        </is>
      </c>
      <c r="B822" s="14" t="inlineStr">
        <is>
          <t>Ha visto la mia coda?</t>
        </is>
      </c>
      <c r="C822" s="14" t="inlineStr">
        <is>
          <t>Alberto Lot</t>
        </is>
      </c>
      <c r="D822" s="14" t="inlineStr">
        <is>
          <t>Catalogo Minibombo 2026</t>
        </is>
      </c>
      <c r="E822" s="14" t="inlineStr">
        <is>
          <t>dai 3 anni</t>
        </is>
      </c>
      <c r="F822" s="14" t="inlineStr">
        <is>
          <t>3-6 anni</t>
        </is>
      </c>
      <c r="G822" s="14" t="inlineStr">
        <is>
          <t>Albo illustrato</t>
        </is>
      </c>
      <c r="H822" s="14" t="inlineStr"/>
      <c r="I822" s="14" t="inlineStr">
        <is>
          <t>No</t>
        </is>
      </c>
      <c r="J822" s="14" t="inlineStr">
        <is>
          <t>Catalogo</t>
        </is>
      </c>
      <c r="K822" s="14" t="inlineStr">
        <is>
          <t>3-6 anni</t>
        </is>
      </c>
      <c r="L822" s="14" t="inlineStr">
        <is>
          <t>Catalogo Minibombo 2026 (ISBN 9788898177547)</t>
        </is>
      </c>
      <c r="M822" s="16" t="n">
        <v>12.9</v>
      </c>
      <c r="N822" s="14" t="inlineStr">
        <is>
          <t>Catalogo Minibombo 2026</t>
        </is>
      </c>
      <c r="O822" s="16">
        <f>IF(ISNUMBER(M822),ROUND(M822*(1-Condizioni!$B$2),2),"")</f>
        <v/>
      </c>
      <c r="P822" s="17" t="inlineStr">
        <is>
          <t>Sì</t>
        </is>
      </c>
    </row>
    <row r="823">
      <c r="A823" s="14" t="inlineStr">
        <is>
          <t>Minibombo</t>
        </is>
      </c>
      <c r="B823" s="14" t="inlineStr">
        <is>
          <t>Ho visto una talpa</t>
        </is>
      </c>
      <c r="C823" s="14" t="inlineStr">
        <is>
          <t>Chiara Vignocchi e Silvia Borando</t>
        </is>
      </c>
      <c r="D823" s="14" t="inlineStr">
        <is>
          <t>Catalogo Minibombo 2026</t>
        </is>
      </c>
      <c r="E823" s="14" t="inlineStr">
        <is>
          <t>dai 3 anni</t>
        </is>
      </c>
      <c r="F823" s="14" t="inlineStr">
        <is>
          <t>3-6 anni</t>
        </is>
      </c>
      <c r="G823" s="14" t="inlineStr">
        <is>
          <t>Albo illustrato</t>
        </is>
      </c>
      <c r="H823" s="14" t="inlineStr"/>
      <c r="I823" s="14" t="inlineStr">
        <is>
          <t>No</t>
        </is>
      </c>
      <c r="J823" s="14" t="inlineStr">
        <is>
          <t>Catalogo</t>
        </is>
      </c>
      <c r="K823" s="14" t="inlineStr">
        <is>
          <t>3-6 anni</t>
        </is>
      </c>
      <c r="L823" s="14" t="inlineStr">
        <is>
          <t>Catalogo Minibombo 2026 (ISBN 9788898177455)</t>
        </is>
      </c>
      <c r="M823" s="16" t="n">
        <v>12.9</v>
      </c>
      <c r="N823" s="14" t="inlineStr">
        <is>
          <t>Catalogo Minibombo 2026</t>
        </is>
      </c>
      <c r="O823" s="16">
        <f>IF(ISNUMBER(M823),ROUND(M823*(1-Condizioni!$B$2),2),"")</f>
        <v/>
      </c>
      <c r="P823" s="17" t="inlineStr">
        <is>
          <t>Sì</t>
        </is>
      </c>
    </row>
    <row r="824">
      <c r="A824" s="14" t="inlineStr">
        <is>
          <t>Minibombo</t>
        </is>
      </c>
      <c r="B824" s="14" t="inlineStr">
        <is>
          <t>Il castoro, l’uovo e la gallina</t>
        </is>
      </c>
      <c r="C824" s="14" t="inlineStr">
        <is>
          <t>Eva Francescutto, Chiara Vignocchi e Silvia Borando</t>
        </is>
      </c>
      <c r="D824" s="14" t="inlineStr">
        <is>
          <t>Catalogo Minibombo 2026</t>
        </is>
      </c>
      <c r="E824" s="14" t="inlineStr">
        <is>
          <t>dai 3 anni</t>
        </is>
      </c>
      <c r="F824" s="14" t="inlineStr">
        <is>
          <t>3-6 anni</t>
        </is>
      </c>
      <c r="G824" s="14" t="inlineStr">
        <is>
          <t>Albo illustrato</t>
        </is>
      </c>
      <c r="H824" s="14" t="inlineStr"/>
      <c r="I824" s="14" t="inlineStr">
        <is>
          <t>No</t>
        </is>
      </c>
      <c r="J824" s="14" t="inlineStr">
        <is>
          <t>Catalogo</t>
        </is>
      </c>
      <c r="K824" s="14" t="inlineStr">
        <is>
          <t>3-6 anni</t>
        </is>
      </c>
      <c r="L824" s="14" t="inlineStr">
        <is>
          <t>Catalogo Minibombo 2026 (ISBN 9788898177509)</t>
        </is>
      </c>
      <c r="M824" s="16" t="n">
        <v>11.9</v>
      </c>
      <c r="N824" s="14" t="inlineStr">
        <is>
          <t>Catalogo Minibombo 2026</t>
        </is>
      </c>
      <c r="O824" s="16">
        <f>IF(ISNUMBER(M824),ROUND(M824*(1-Condizioni!$B$2),2),"")</f>
        <v/>
      </c>
      <c r="P824" s="17" t="inlineStr">
        <is>
          <t>No</t>
        </is>
      </c>
    </row>
    <row r="825">
      <c r="A825" s="14" t="inlineStr">
        <is>
          <t>Minibombo</t>
        </is>
      </c>
      <c r="B825" s="14" t="inlineStr">
        <is>
          <t>Il cespuglio</t>
        </is>
      </c>
      <c r="C825" s="14" t="inlineStr">
        <is>
          <t>Dario Pomodoro, Eva Francescutto e Silvia Borando</t>
        </is>
      </c>
      <c r="D825" s="14" t="inlineStr">
        <is>
          <t>Catalogo Minibombo 2026</t>
        </is>
      </c>
      <c r="E825" s="14" t="inlineStr">
        <is>
          <t>dai 3 anni</t>
        </is>
      </c>
      <c r="F825" s="14" t="inlineStr">
        <is>
          <t>3-6 anni</t>
        </is>
      </c>
      <c r="G825" s="14" t="inlineStr">
        <is>
          <t>Albo illustrato</t>
        </is>
      </c>
      <c r="H825" s="14" t="inlineStr"/>
      <c r="I825" s="14" t="inlineStr">
        <is>
          <t>No</t>
        </is>
      </c>
      <c r="J825" s="14" t="inlineStr">
        <is>
          <t>Catalogo</t>
        </is>
      </c>
      <c r="K825" s="14" t="inlineStr">
        <is>
          <t>3-6 anni</t>
        </is>
      </c>
      <c r="L825" s="14" t="inlineStr">
        <is>
          <t>Catalogo Minibombo 2026 (ISBN 9791281054196)</t>
        </is>
      </c>
      <c r="M825" s="16" t="n">
        <v>13.9</v>
      </c>
      <c r="N825" s="14" t="inlineStr">
        <is>
          <t>Catalogo Minibombo 2026</t>
        </is>
      </c>
      <c r="O825" s="16">
        <f>IF(ISNUMBER(M825),ROUND(M825*(1-Condizioni!$B$2),2),"")</f>
        <v/>
      </c>
      <c r="P825" s="17" t="inlineStr">
        <is>
          <t>Sì</t>
        </is>
      </c>
    </row>
    <row r="826">
      <c r="A826" s="14" t="inlineStr">
        <is>
          <t>Minibombo</t>
        </is>
      </c>
      <c r="B826" s="14" t="inlineStr">
        <is>
          <t>Il dubbio</t>
        </is>
      </c>
      <c r="C826" s="14" t="inlineStr">
        <is>
          <t>Silvia Borando e Alberto Lot</t>
        </is>
      </c>
      <c r="D826" s="14" t="inlineStr">
        <is>
          <t>Catalogo Minibombo 2026</t>
        </is>
      </c>
      <c r="E826" s="14" t="inlineStr">
        <is>
          <t>dai 3 anni</t>
        </is>
      </c>
      <c r="F826" s="14" t="inlineStr">
        <is>
          <t>3-6 anni</t>
        </is>
      </c>
      <c r="G826" s="14" t="inlineStr">
        <is>
          <t>Albo illustrato</t>
        </is>
      </c>
      <c r="H826" s="14" t="inlineStr"/>
      <c r="I826" s="14" t="inlineStr">
        <is>
          <t>No</t>
        </is>
      </c>
      <c r="J826" s="14" t="inlineStr">
        <is>
          <t>Catalogo</t>
        </is>
      </c>
      <c r="K826" s="14" t="inlineStr">
        <is>
          <t>3-6 anni</t>
        </is>
      </c>
      <c r="L826" s="14" t="inlineStr">
        <is>
          <t>Catalogo Minibombo 2026 (ISBN 9788898177844)</t>
        </is>
      </c>
      <c r="M826" s="16" t="n">
        <v>13.9</v>
      </c>
      <c r="N826" s="14" t="inlineStr">
        <is>
          <t>Catalogo Minibombo 2026</t>
        </is>
      </c>
      <c r="O826" s="16">
        <f>IF(ISNUMBER(M826),ROUND(M826*(1-Condizioni!$B$2),2),"")</f>
        <v/>
      </c>
      <c r="P826" s="17" t="inlineStr">
        <is>
          <t>Sì</t>
        </is>
      </c>
    </row>
    <row r="827">
      <c r="A827" s="14" t="inlineStr">
        <is>
          <t>Minibombo</t>
        </is>
      </c>
      <c r="B827" s="14" t="inlineStr">
        <is>
          <t>Il grande debutto</t>
        </is>
      </c>
      <c r="C827" s="14" t="inlineStr">
        <is>
          <t>Eva Francescutto e Alberto Lot</t>
        </is>
      </c>
      <c r="D827" s="14" t="inlineStr">
        <is>
          <t>Catalogo Minibombo 2026</t>
        </is>
      </c>
      <c r="E827" s="14" t="inlineStr">
        <is>
          <t>dai 3 anni</t>
        </is>
      </c>
      <c r="F827" s="14" t="inlineStr">
        <is>
          <t>3-6 anni</t>
        </is>
      </c>
      <c r="G827" s="14" t="inlineStr">
        <is>
          <t>Albo illustrato</t>
        </is>
      </c>
      <c r="H827" s="14" t="inlineStr"/>
      <c r="I827" s="14" t="inlineStr">
        <is>
          <t>No</t>
        </is>
      </c>
      <c r="J827" s="14" t="inlineStr">
        <is>
          <t>Catalogo</t>
        </is>
      </c>
      <c r="K827" s="14" t="inlineStr">
        <is>
          <t>3-6 anni</t>
        </is>
      </c>
      <c r="L827" s="14" t="inlineStr">
        <is>
          <t>Catalogo Minibombo 2026 (ISBN 9788898177554)</t>
        </is>
      </c>
      <c r="M827" s="16" t="n">
        <v>11.9</v>
      </c>
      <c r="N827" s="14" t="inlineStr">
        <is>
          <t>Catalogo Minibombo 2026</t>
        </is>
      </c>
      <c r="O827" s="16">
        <f>IF(ISNUMBER(M827),ROUND(M827*(1-Condizioni!$B$2),2),"")</f>
        <v/>
      </c>
      <c r="P827" s="17" t="inlineStr">
        <is>
          <t>No</t>
        </is>
      </c>
    </row>
    <row r="828">
      <c r="A828" s="14" t="inlineStr">
        <is>
          <t>Minibombo</t>
        </is>
      </c>
      <c r="B828" s="14" t="inlineStr">
        <is>
          <t>Il libro gatto – versione in simboli (InBook)</t>
        </is>
      </c>
      <c r="C828" s="14" t="inlineStr">
        <is>
          <t>traduzione in simboli a cura di reti di biblioteche</t>
        </is>
      </c>
      <c r="D828" s="14" t="inlineStr">
        <is>
          <t>InBook (non edizione Minibombo)</t>
        </is>
      </c>
      <c r="E828" s="14" t="inlineStr">
        <is>
          <t>n.d.</t>
        </is>
      </c>
      <c r="F828" s="14" t="inlineStr">
        <is>
          <t>3-6 anni</t>
        </is>
      </c>
      <c r="G828" s="14" t="inlineStr">
        <is>
          <t>Libro in simboli (CAA)</t>
        </is>
      </c>
      <c r="H828" s="14" t="inlineStr">
        <is>
          <t>Inclusione: libro in simboli</t>
        </is>
      </c>
      <c r="I828" s="18" t="inlineStr">
        <is>
          <t>Sì</t>
        </is>
      </c>
      <c r="J828" s="14" t="inlineStr">
        <is>
          <t>Tolto: versione in simboli InBook, non in vendita</t>
        </is>
      </c>
      <c r="K828" s="14" t="inlineStr">
        <is>
          <t>3-6 anni, CAA</t>
        </is>
      </c>
      <c r="L828" s="14" t="inlineStr">
        <is>
          <t>https://www.055firenze.it/art/216489/libri-in-simboli-nasce-la-prima-Rete-Operativa-Toscana-delle-Biblioteche-Inbook-libri-in-simboli</t>
        </is>
      </c>
      <c r="M828" s="19" t="n"/>
      <c r="N828" s="14" t="inlineStr"/>
      <c r="O828" s="16">
        <f>IF(ISNUMBER(M828),ROUND(M828*(1-Condizioni!$B$2),2),"")</f>
        <v/>
      </c>
      <c r="P828" s="17" t="inlineStr">
        <is>
          <t>No</t>
        </is>
      </c>
    </row>
    <row r="829">
      <c r="A829" s="14" t="inlineStr">
        <is>
          <t>Minibombo</t>
        </is>
      </c>
      <c r="B829" s="14" t="inlineStr">
        <is>
          <t>Il ristorante degli elefanti</t>
        </is>
      </c>
      <c r="C829" s="14" t="inlineStr">
        <is>
          <t>Alberto Lot</t>
        </is>
      </c>
      <c r="D829" s="14" t="inlineStr">
        <is>
          <t>Catalogo Minibombo 2026</t>
        </is>
      </c>
      <c r="E829" s="14" t="inlineStr">
        <is>
          <t>dai 3 anni</t>
        </is>
      </c>
      <c r="F829" s="14" t="inlineStr">
        <is>
          <t>3-6 anni</t>
        </is>
      </c>
      <c r="G829" s="14" t="inlineStr">
        <is>
          <t>Albo illustrato</t>
        </is>
      </c>
      <c r="H829" s="14" t="inlineStr"/>
      <c r="I829" s="14" t="inlineStr">
        <is>
          <t>No</t>
        </is>
      </c>
      <c r="J829" s="14" t="inlineStr">
        <is>
          <t>Catalogo</t>
        </is>
      </c>
      <c r="K829" s="14" t="inlineStr">
        <is>
          <t>3-6 anni</t>
        </is>
      </c>
      <c r="L829" s="14" t="inlineStr">
        <is>
          <t>Catalogo Minibombo 2026 (ISBN 9788898177691)</t>
        </is>
      </c>
      <c r="M829" s="16" t="n">
        <v>12.9</v>
      </c>
      <c r="N829" s="14" t="inlineStr">
        <is>
          <t>Catalogo Minibombo 2026</t>
        </is>
      </c>
      <c r="O829" s="16">
        <f>IF(ISNUMBER(M829),ROUND(M829*(1-Condizioni!$B$2),2),"")</f>
        <v/>
      </c>
      <c r="P829" s="17" t="inlineStr">
        <is>
          <t>No</t>
        </is>
      </c>
    </row>
    <row r="830">
      <c r="A830" s="14" t="inlineStr">
        <is>
          <t>Minibombo</t>
        </is>
      </c>
      <c r="B830" s="14" t="inlineStr">
        <is>
          <t>Ned e Ted</t>
        </is>
      </c>
      <c r="C830" s="14" t="inlineStr">
        <is>
          <t>Angelo Mozzillo ed Elisa Marzano</t>
        </is>
      </c>
      <c r="D830" s="14" t="inlineStr">
        <is>
          <t>Catalogo Minibombo 2026</t>
        </is>
      </c>
      <c r="E830" s="14" t="inlineStr">
        <is>
          <t>dai 3 anni</t>
        </is>
      </c>
      <c r="F830" s="14" t="inlineStr">
        <is>
          <t>3-6 anni</t>
        </is>
      </c>
      <c r="G830" s="14" t="inlineStr">
        <is>
          <t>Albo illustrato</t>
        </is>
      </c>
      <c r="H830" s="14" t="inlineStr"/>
      <c r="I830" s="14" t="inlineStr">
        <is>
          <t>No</t>
        </is>
      </c>
      <c r="J830" s="14" t="inlineStr">
        <is>
          <t>Catalogo</t>
        </is>
      </c>
      <c r="K830" s="14" t="inlineStr">
        <is>
          <t>3-6 anni</t>
        </is>
      </c>
      <c r="L830" s="14" t="inlineStr">
        <is>
          <t>Catalogo Minibombo 2026 (ISBN 9791281054141)</t>
        </is>
      </c>
      <c r="M830" s="16" t="n">
        <v>12.9</v>
      </c>
      <c r="N830" s="14" t="inlineStr">
        <is>
          <t>Catalogo Minibombo 2026</t>
        </is>
      </c>
      <c r="O830" s="16">
        <f>IF(ISNUMBER(M830),ROUND(M830*(1-Condizioni!$B$2),2),"")</f>
        <v/>
      </c>
      <c r="P830" s="17" t="inlineStr">
        <is>
          <t>No</t>
        </is>
      </c>
    </row>
    <row r="831">
      <c r="A831" s="14" t="inlineStr">
        <is>
          <t>Minibombo</t>
        </is>
      </c>
      <c r="B831" s="14" t="inlineStr">
        <is>
          <t>Orso, buco! – versione in simboli (InBook)</t>
        </is>
      </c>
      <c r="C831" s="14" t="inlineStr">
        <is>
          <t>traduzione in simboli a cura di reti di biblioteche</t>
        </is>
      </c>
      <c r="D831" s="14" t="inlineStr">
        <is>
          <t>InBook (non edizione Minibombo)</t>
        </is>
      </c>
      <c r="E831" s="14" t="inlineStr">
        <is>
          <t>n.d.</t>
        </is>
      </c>
      <c r="F831" s="14" t="inlineStr">
        <is>
          <t>3-6 anni</t>
        </is>
      </c>
      <c r="G831" s="14" t="inlineStr">
        <is>
          <t>Libro in simboli (CAA)</t>
        </is>
      </c>
      <c r="H831" s="14" t="inlineStr">
        <is>
          <t>Inclusione: libro in simboli</t>
        </is>
      </c>
      <c r="I831" s="18" t="inlineStr">
        <is>
          <t>Sì</t>
        </is>
      </c>
      <c r="J831" s="14" t="inlineStr">
        <is>
          <t>Tolto: versione in simboli InBook, non in vendita</t>
        </is>
      </c>
      <c r="K831" s="14" t="inlineStr">
        <is>
          <t>3-6 anni, CAA</t>
        </is>
      </c>
      <c r="L831" s="14" t="inlineStr">
        <is>
          <t>https://www.055firenze.it/art/216489/libri-in-simboli-nasce-la-prima-Rete-Operativa-Toscana-delle-Biblioteche-Inbook-libri-in-simboli</t>
        </is>
      </c>
      <c r="M831" s="19" t="n"/>
      <c r="N831" s="14" t="inlineStr"/>
      <c r="O831" s="16">
        <f>IF(ISNUMBER(M831),ROUND(M831*(1-Condizioni!$B$2),2),"")</f>
        <v/>
      </c>
      <c r="P831" s="17" t="inlineStr">
        <is>
          <t>No</t>
        </is>
      </c>
    </row>
    <row r="832">
      <c r="A832" s="14" t="inlineStr">
        <is>
          <t>Minibombo</t>
        </is>
      </c>
      <c r="B832" s="14" t="inlineStr">
        <is>
          <t>Questo libro fa di tutto</t>
        </is>
      </c>
      <c r="C832" s="14" t="inlineStr">
        <is>
          <t>Silvia Borando</t>
        </is>
      </c>
      <c r="D832" s="14" t="inlineStr">
        <is>
          <t>Catalogo Minibombo 2026</t>
        </is>
      </c>
      <c r="E832" s="14" t="inlineStr">
        <is>
          <t>dai 3 anni</t>
        </is>
      </c>
      <c r="F832" s="14" t="inlineStr">
        <is>
          <t>3-6 anni</t>
        </is>
      </c>
      <c r="G832" s="14" t="inlineStr">
        <is>
          <t>Albo illustrato</t>
        </is>
      </c>
      <c r="H832" s="14" t="inlineStr"/>
      <c r="I832" s="14" t="inlineStr">
        <is>
          <t>No</t>
        </is>
      </c>
      <c r="J832" s="14" t="inlineStr">
        <is>
          <t>Catalogo</t>
        </is>
      </c>
      <c r="K832" s="14" t="inlineStr">
        <is>
          <t>3-6 anni</t>
        </is>
      </c>
      <c r="L832" s="14" t="inlineStr">
        <is>
          <t>Catalogo Minibombo 2026 (ISBN 9788898177318)</t>
        </is>
      </c>
      <c r="M832" s="16" t="n">
        <v>11.9</v>
      </c>
      <c r="N832" s="14" t="inlineStr">
        <is>
          <t>Catalogo Minibombo 2026</t>
        </is>
      </c>
      <c r="O832" s="16">
        <f>IF(ISNUMBER(M832),ROUND(M832*(1-Condizioni!$B$2),2),"")</f>
        <v/>
      </c>
      <c r="P832" s="17" t="inlineStr">
        <is>
          <t>No</t>
        </is>
      </c>
    </row>
    <row r="833">
      <c r="A833" s="14" t="inlineStr">
        <is>
          <t>Minibombo</t>
        </is>
      </c>
      <c r="B833" s="14" t="inlineStr">
        <is>
          <t>Se incontrassi un orso</t>
        </is>
      </c>
      <c r="C833" s="14" t="inlineStr">
        <is>
          <t>Silvia Borando</t>
        </is>
      </c>
      <c r="D833" s="14" t="inlineStr">
        <is>
          <t>Catalogo Minibombo 2026</t>
        </is>
      </c>
      <c r="E833" s="14" t="inlineStr">
        <is>
          <t>dai 3 anni</t>
        </is>
      </c>
      <c r="F833" s="14" t="inlineStr">
        <is>
          <t>3-6 anni</t>
        </is>
      </c>
      <c r="G833" s="14" t="inlineStr">
        <is>
          <t>Albo illustrato</t>
        </is>
      </c>
      <c r="H833" s="14" t="inlineStr"/>
      <c r="I833" s="14" t="inlineStr">
        <is>
          <t>No</t>
        </is>
      </c>
      <c r="J833" s="14" t="inlineStr">
        <is>
          <t>Catalogo</t>
        </is>
      </c>
      <c r="K833" s="14" t="inlineStr">
        <is>
          <t>3-6 anni</t>
        </is>
      </c>
      <c r="L833" s="14" t="inlineStr">
        <is>
          <t>Catalogo Minibombo 2026 (ISBN 9788898177769)</t>
        </is>
      </c>
      <c r="M833" s="16" t="n">
        <v>12.9</v>
      </c>
      <c r="N833" s="14" t="inlineStr">
        <is>
          <t>Catalogo Minibombo 2026</t>
        </is>
      </c>
      <c r="O833" s="16">
        <f>IF(ISNUMBER(M833),ROUND(M833*(1-Condizioni!$B$2),2),"")</f>
        <v/>
      </c>
      <c r="P833" s="17" t="inlineStr">
        <is>
          <t>No</t>
        </is>
      </c>
    </row>
    <row r="834">
      <c r="A834" s="14" t="inlineStr">
        <is>
          <t>Minibombo</t>
        </is>
      </c>
      <c r="B834" s="14" t="inlineStr">
        <is>
          <t>Solo un puntino</t>
        </is>
      </c>
      <c r="C834" s="14" t="inlineStr">
        <is>
          <t>Elisabetta Pica, Chiara Vignocchi e Silvia Borando</t>
        </is>
      </c>
      <c r="D834" s="14" t="inlineStr">
        <is>
          <t>Catalogo Minibombo 2026</t>
        </is>
      </c>
      <c r="E834" s="14" t="inlineStr">
        <is>
          <t>dai 3 anni</t>
        </is>
      </c>
      <c r="F834" s="14" t="inlineStr">
        <is>
          <t>3-6 anni</t>
        </is>
      </c>
      <c r="G834" s="14" t="inlineStr">
        <is>
          <t>Albo illustrato</t>
        </is>
      </c>
      <c r="H834" s="14" t="inlineStr"/>
      <c r="I834" s="14" t="inlineStr">
        <is>
          <t>No</t>
        </is>
      </c>
      <c r="J834" s="14" t="inlineStr">
        <is>
          <t>Catalogo</t>
        </is>
      </c>
      <c r="K834" s="14" t="inlineStr">
        <is>
          <t>3-6 anni</t>
        </is>
      </c>
      <c r="L834" s="14" t="inlineStr">
        <is>
          <t>Catalogo Minibombo 2026 (ISBN 9788898177158)</t>
        </is>
      </c>
      <c r="M834" s="16" t="n">
        <v>11.9</v>
      </c>
      <c r="N834" s="14" t="inlineStr">
        <is>
          <t>Catalogo Minibombo 2026</t>
        </is>
      </c>
      <c r="O834" s="16">
        <f>IF(ISNUMBER(M834),ROUND(M834*(1-Condizioni!$B$2),2),"")</f>
        <v/>
      </c>
      <c r="P834" s="17" t="inlineStr">
        <is>
          <t>No</t>
        </is>
      </c>
    </row>
    <row r="835">
      <c r="A835" s="14" t="inlineStr">
        <is>
          <t>Minibombo</t>
        </is>
      </c>
      <c r="B835" s="14" t="inlineStr">
        <is>
          <t>Storie brevi</t>
        </is>
      </c>
      <c r="C835" s="14" t="inlineStr">
        <is>
          <t>Silvia Borando</t>
        </is>
      </c>
      <c r="D835" s="14" t="inlineStr">
        <is>
          <t>Catalogo Minibombo 2026</t>
        </is>
      </c>
      <c r="E835" s="14" t="inlineStr">
        <is>
          <t>dai 3 anni</t>
        </is>
      </c>
      <c r="F835" s="14" t="inlineStr">
        <is>
          <t>3-6 anni</t>
        </is>
      </c>
      <c r="G835" s="14" t="inlineStr">
        <is>
          <t>Albo illustrato</t>
        </is>
      </c>
      <c r="H835" s="14" t="inlineStr"/>
      <c r="I835" s="14" t="inlineStr">
        <is>
          <t>No</t>
        </is>
      </c>
      <c r="J835" s="14" t="inlineStr">
        <is>
          <t>Catalogo</t>
        </is>
      </c>
      <c r="K835" s="14" t="inlineStr">
        <is>
          <t>3-6 anni</t>
        </is>
      </c>
      <c r="L835" s="14" t="inlineStr">
        <is>
          <t>Catalogo Minibombo 2026 (ISBN 9788898177875)</t>
        </is>
      </c>
      <c r="M835" s="16" t="n">
        <v>12.9</v>
      </c>
      <c r="N835" s="14" t="inlineStr">
        <is>
          <t>Catalogo Minibombo 2026</t>
        </is>
      </c>
      <c r="O835" s="16">
        <f>IF(ISNUMBER(M835),ROUND(M835*(1-Condizioni!$B$2),2),"")</f>
        <v/>
      </c>
      <c r="P835" s="17" t="inlineStr">
        <is>
          <t>Sì</t>
        </is>
      </c>
    </row>
    <row r="836">
      <c r="A836" s="14" t="inlineStr">
        <is>
          <t>Minibombo</t>
        </is>
      </c>
      <c r="B836" s="14" t="inlineStr">
        <is>
          <t>Tutto il contrario</t>
        </is>
      </c>
      <c r="C836" s="14" t="inlineStr">
        <is>
          <t>Silvia Borando</t>
        </is>
      </c>
      <c r="D836" s="14" t="inlineStr">
        <is>
          <t>Catalogo Minibombo 2026</t>
        </is>
      </c>
      <c r="E836" s="14" t="inlineStr">
        <is>
          <t>dai 3 anni</t>
        </is>
      </c>
      <c r="F836" s="14" t="inlineStr">
        <is>
          <t>3-6 anni</t>
        </is>
      </c>
      <c r="G836" s="14" t="inlineStr">
        <is>
          <t>Albo illustrato</t>
        </is>
      </c>
      <c r="H836" s="14" t="inlineStr"/>
      <c r="I836" s="14" t="inlineStr">
        <is>
          <t>No</t>
        </is>
      </c>
      <c r="J836" s="14" t="inlineStr">
        <is>
          <t>Catalogo</t>
        </is>
      </c>
      <c r="K836" s="14" t="inlineStr">
        <is>
          <t>3-6 anni</t>
        </is>
      </c>
      <c r="L836" s="14" t="inlineStr">
        <is>
          <t>Catalogo Minibombo 2026 (ISBN 9788898177615)</t>
        </is>
      </c>
      <c r="M836" s="16" t="n">
        <v>12.9</v>
      </c>
      <c r="N836" s="14" t="inlineStr">
        <is>
          <t>Catalogo Minibombo 2026</t>
        </is>
      </c>
      <c r="O836" s="16">
        <f>IF(ISNUMBER(M836),ROUND(M836*(1-Condizioni!$B$2),2),"")</f>
        <v/>
      </c>
      <c r="P836" s="17" t="inlineStr">
        <is>
          <t>No</t>
        </is>
      </c>
    </row>
    <row r="837">
      <c r="A837" s="14" t="inlineStr">
        <is>
          <t>Minibombo</t>
        </is>
      </c>
      <c r="B837" s="14" t="inlineStr">
        <is>
          <t>Un colore bellissimo</t>
        </is>
      </c>
      <c r="C837" s="14" t="inlineStr">
        <is>
          <t>Marco Scalcione</t>
        </is>
      </c>
      <c r="D837" s="14" t="inlineStr">
        <is>
          <t>Catalogo Minibombo 2026</t>
        </is>
      </c>
      <c r="E837" s="14" t="inlineStr">
        <is>
          <t>dai 3 anni</t>
        </is>
      </c>
      <c r="F837" s="14" t="inlineStr">
        <is>
          <t>3-6 anni</t>
        </is>
      </c>
      <c r="G837" s="14" t="inlineStr">
        <is>
          <t>Albo illustrato</t>
        </is>
      </c>
      <c r="H837" s="14" t="inlineStr"/>
      <c r="I837" s="14" t="inlineStr">
        <is>
          <t>No</t>
        </is>
      </c>
      <c r="J837" s="14" t="inlineStr">
        <is>
          <t>Catalogo</t>
        </is>
      </c>
      <c r="K837" s="14" t="inlineStr">
        <is>
          <t>3-6 anni</t>
        </is>
      </c>
      <c r="L837" s="14" t="inlineStr">
        <is>
          <t>Catalogo Minibombo 2026 (ISBN 9788898177448)</t>
        </is>
      </c>
      <c r="M837" s="16" t="n">
        <v>11.9</v>
      </c>
      <c r="N837" s="14" t="inlineStr">
        <is>
          <t>Catalogo Minibombo 2026</t>
        </is>
      </c>
      <c r="O837" s="16">
        <f>IF(ISNUMBER(M837),ROUND(M837*(1-Condizioni!$B$2),2),"")</f>
        <v/>
      </c>
      <c r="P837" s="17" t="inlineStr">
        <is>
          <t>No</t>
        </is>
      </c>
    </row>
    <row r="838">
      <c r="A838" s="14" t="inlineStr">
        <is>
          <t>Minibombo</t>
        </is>
      </c>
      <c r="B838" s="14" t="inlineStr">
        <is>
          <t>Un mare di tristezza</t>
        </is>
      </c>
      <c r="C838" s="14" t="inlineStr">
        <is>
          <t>Anna Iudica, Chiara Vignocchi e Silvia Borando</t>
        </is>
      </c>
      <c r="D838" s="14" t="inlineStr">
        <is>
          <t>Catalogo Minibombo 2026</t>
        </is>
      </c>
      <c r="E838" s="14" t="inlineStr">
        <is>
          <t>dai 3 anni</t>
        </is>
      </c>
      <c r="F838" s="14" t="inlineStr">
        <is>
          <t>3-6 anni</t>
        </is>
      </c>
      <c r="G838" s="14" t="inlineStr">
        <is>
          <t>Albo illustrato</t>
        </is>
      </c>
      <c r="H838" s="14" t="inlineStr"/>
      <c r="I838" s="14" t="inlineStr">
        <is>
          <t>No</t>
        </is>
      </c>
      <c r="J838" s="14" t="inlineStr">
        <is>
          <t>Catalogo</t>
        </is>
      </c>
      <c r="K838" s="14" t="inlineStr">
        <is>
          <t>3-6 anni</t>
        </is>
      </c>
      <c r="L838" s="14" t="inlineStr">
        <is>
          <t>Catalogo Minibombo 2026 (ISBN 9788898177240)</t>
        </is>
      </c>
      <c r="M838" s="16" t="n">
        <v>11.9</v>
      </c>
      <c r="N838" s="14" t="inlineStr">
        <is>
          <t>Catalogo Minibombo 2026</t>
        </is>
      </c>
      <c r="O838" s="16">
        <f>IF(ISNUMBER(M838),ROUND(M838*(1-Condizioni!$B$2),2),"")</f>
        <v/>
      </c>
      <c r="P838" s="17" t="inlineStr">
        <is>
          <t>No</t>
        </is>
      </c>
    </row>
    <row r="839">
      <c r="A839" s="14" t="inlineStr">
        <is>
          <t>Minibombo</t>
        </is>
      </c>
      <c r="B839" s="14" t="inlineStr">
        <is>
          <t>Un sasso nella strada</t>
        </is>
      </c>
      <c r="C839" s="14" t="inlineStr">
        <is>
          <t>Ilaria Antonini, Barbara Balduzzi e Marco Scalcione</t>
        </is>
      </c>
      <c r="D839" s="14" t="inlineStr">
        <is>
          <t>Catalogo Minibombo 2026</t>
        </is>
      </c>
      <c r="E839" s="14" t="inlineStr">
        <is>
          <t>dai 3 anni</t>
        </is>
      </c>
      <c r="F839" s="14" t="inlineStr">
        <is>
          <t>3-6 anni</t>
        </is>
      </c>
      <c r="G839" s="14" t="inlineStr">
        <is>
          <t>Albo illustrato</t>
        </is>
      </c>
      <c r="H839" s="14" t="inlineStr"/>
      <c r="I839" s="14" t="inlineStr">
        <is>
          <t>No</t>
        </is>
      </c>
      <c r="J839" s="14" t="inlineStr">
        <is>
          <t>Catalogo</t>
        </is>
      </c>
      <c r="K839" s="14" t="inlineStr">
        <is>
          <t>3-6 anni</t>
        </is>
      </c>
      <c r="L839" s="14" t="inlineStr">
        <is>
          <t>Catalogo Minibombo 2026 (ISBN 9788898177233)</t>
        </is>
      </c>
      <c r="M839" s="16" t="n">
        <v>11.9</v>
      </c>
      <c r="N839" s="14" t="inlineStr">
        <is>
          <t>Catalogo Minibombo 2026</t>
        </is>
      </c>
      <c r="O839" s="16">
        <f>IF(ISNUMBER(M839),ROUND(M839*(1-Condizioni!$B$2),2),"")</f>
        <v/>
      </c>
      <c r="P839" s="17" t="inlineStr">
        <is>
          <t>No</t>
        </is>
      </c>
    </row>
    <row r="840">
      <c r="A840" s="14" t="inlineStr">
        <is>
          <t>Minibombo</t>
        </is>
      </c>
      <c r="B840" s="14" t="inlineStr">
        <is>
          <t>Un segreto importante</t>
        </is>
      </c>
      <c r="C840" s="14" t="inlineStr">
        <is>
          <t>Angelo Mozzillo ed Elisa Marzano</t>
        </is>
      </c>
      <c r="D840" s="14" t="inlineStr">
        <is>
          <t>Catalogo Minibombo 2026</t>
        </is>
      </c>
      <c r="E840" s="14" t="inlineStr">
        <is>
          <t>dai 3 anni</t>
        </is>
      </c>
      <c r="F840" s="14" t="inlineStr">
        <is>
          <t>3-6 anni</t>
        </is>
      </c>
      <c r="G840" s="14" t="inlineStr">
        <is>
          <t>Albo illustrato</t>
        </is>
      </c>
      <c r="H840" s="14" t="inlineStr"/>
      <c r="I840" s="14" t="inlineStr">
        <is>
          <t>No</t>
        </is>
      </c>
      <c r="J840" s="14" t="inlineStr">
        <is>
          <t>Catalogo</t>
        </is>
      </c>
      <c r="K840" s="14" t="inlineStr">
        <is>
          <t>3-6 anni</t>
        </is>
      </c>
      <c r="L840" s="14" t="inlineStr">
        <is>
          <t>Catalogo Minibombo 2026 (ISBN 9788898177882)</t>
        </is>
      </c>
      <c r="M840" s="16" t="n">
        <v>13.9</v>
      </c>
      <c r="N840" s="14" t="inlineStr">
        <is>
          <t>Catalogo Minibombo 2026</t>
        </is>
      </c>
      <c r="O840" s="16">
        <f>IF(ISNUMBER(M840),ROUND(M840*(1-Condizioni!$B$2),2),"")</f>
        <v/>
      </c>
      <c r="P840" s="17" t="inlineStr">
        <is>
          <t>Sì</t>
        </is>
      </c>
    </row>
    <row r="841">
      <c r="A841" s="14" t="inlineStr">
        <is>
          <t>People</t>
        </is>
      </c>
      <c r="B841" s="14" t="inlineStr">
        <is>
          <t>Immagina. Crea. Vivi!</t>
        </is>
      </c>
      <c r="C841" s="14" t="inlineStr">
        <is>
          <t>n.d.</t>
        </is>
      </c>
      <c r="D841" s="14" t="inlineStr">
        <is>
          <t>Kids</t>
        </is>
      </c>
      <c r="E841" s="14" t="inlineStr">
        <is>
          <t>da 5 anni</t>
        </is>
      </c>
      <c r="F841" s="14" t="inlineStr">
        <is>
          <t>3-6 anni</t>
        </is>
      </c>
      <c r="G841" s="14" t="inlineStr">
        <is>
          <t>Albo illustrato</t>
        </is>
      </c>
      <c r="H841" s="14" t="inlineStr"/>
      <c r="I841" s="14" t="inlineStr">
        <is>
          <t>No</t>
        </is>
      </c>
      <c r="J841" s="14" t="inlineStr">
        <is>
          <t>Verificata (IBS / editore)</t>
        </is>
      </c>
      <c r="K841" s="14" t="inlineStr">
        <is>
          <t>3-6 anni</t>
        </is>
      </c>
      <c r="L841" s="14" t="inlineStr">
        <is>
          <t>https://www.hoepli.it/editori/people.html</t>
        </is>
      </c>
      <c r="M841" s="16" t="n">
        <v>9</v>
      </c>
      <c r="N841" s="14" t="inlineStr">
        <is>
          <t>https://www.ibs.it/x/e/9791259794178</t>
        </is>
      </c>
      <c r="O841" s="16">
        <f>IF(ISNUMBER(M841),ROUND(M841*(1-Condizioni!$B$2),2),"")</f>
        <v/>
      </c>
      <c r="P841" s="17" t="inlineStr">
        <is>
          <t>Sì</t>
        </is>
      </c>
    </row>
    <row r="842">
      <c r="A842" s="14" t="inlineStr">
        <is>
          <t>People</t>
        </is>
      </c>
      <c r="B842" s="14" t="inlineStr">
        <is>
          <t>Io non ho paura del lupo</t>
        </is>
      </c>
      <c r="C842" s="14" t="inlineStr">
        <is>
          <t>Tommaso D'Errico</t>
        </is>
      </c>
      <c r="D842" s="14" t="inlineStr">
        <is>
          <t>Kids</t>
        </is>
      </c>
      <c r="E842" s="14" t="inlineStr">
        <is>
          <t>14+</t>
        </is>
      </c>
      <c r="F842" s="14" t="inlineStr">
        <is>
          <t>Adolescenza (14+)</t>
        </is>
      </c>
      <c r="G842" s="14" t="inlineStr">
        <is>
          <t>Albo illustrato</t>
        </is>
      </c>
      <c r="H842" s="14" t="inlineStr"/>
      <c r="I842" s="14" t="inlineStr">
        <is>
          <t>No</t>
        </is>
      </c>
      <c r="J842" s="14" t="inlineStr">
        <is>
          <t>Verificata (Bottegart)</t>
        </is>
      </c>
      <c r="K842" s="14" t="inlineStr">
        <is>
          <t>adolescenza</t>
        </is>
      </c>
      <c r="L842" s="14" t="inlineStr">
        <is>
          <t>https://www.ibs.it/libri/editori/people</t>
        </is>
      </c>
      <c r="M842" s="16" t="n">
        <v>18</v>
      </c>
      <c r="N842" s="14" t="inlineStr">
        <is>
          <t>https://www.ibs.it/x/e/9791259792280</t>
        </is>
      </c>
      <c r="O842" s="16">
        <f>IF(ISNUMBER(M842),ROUND(M842*(1-Condizioni!$B$2),2),"")</f>
        <v/>
      </c>
      <c r="P842" s="17" t="inlineStr">
        <is>
          <t>Sì</t>
        </is>
      </c>
    </row>
    <row r="843">
      <c r="A843" s="14" t="inlineStr">
        <is>
          <t>People</t>
        </is>
      </c>
      <c r="B843" s="14" t="inlineStr">
        <is>
          <t>Non esistono piccoli antifascisti</t>
        </is>
      </c>
      <c r="C843" s="14" t="inlineStr">
        <is>
          <t>Johannes Bückler</t>
        </is>
      </c>
      <c r="D843" s="14" t="inlineStr">
        <is>
          <t>Kids / Immaginazione</t>
        </is>
      </c>
      <c r="E843" s="14" t="inlineStr">
        <is>
          <t>da 12 anni</t>
        </is>
      </c>
      <c r="F843" s="14" t="inlineStr">
        <is>
          <t>Scuola media (11-13)</t>
        </is>
      </c>
      <c r="G843" s="14" t="inlineStr">
        <is>
          <t>Narrativa</t>
        </is>
      </c>
      <c r="H843" s="14" t="inlineStr">
        <is>
          <t>Antifascismo</t>
        </is>
      </c>
      <c r="I843" s="14" t="inlineStr">
        <is>
          <t>No</t>
        </is>
      </c>
      <c r="J843" s="14" t="inlineStr">
        <is>
          <t>Verificata (Bottegart)</t>
        </is>
      </c>
      <c r="K843" s="14" t="inlineStr">
        <is>
          <t>prima/seconda/terza media, narrativa</t>
        </is>
      </c>
      <c r="L843" s="14" t="inlineStr">
        <is>
          <t>https://www.libreriauniversitaria.it/libri-editore_People-people.htm</t>
        </is>
      </c>
      <c r="M843" s="16" t="n">
        <v>16</v>
      </c>
      <c r="N843" s="14" t="inlineStr">
        <is>
          <t>https://www.ibs.it/x/e/9791259792822</t>
        </is>
      </c>
      <c r="O843" s="16">
        <f>IF(ISNUMBER(M843),ROUND(M843*(1-Condizioni!$B$2),2),"")</f>
        <v/>
      </c>
      <c r="P843" s="17" t="inlineStr">
        <is>
          <t>Sì</t>
        </is>
      </c>
    </row>
    <row r="844">
      <c r="A844" s="14" t="inlineStr">
        <is>
          <t>Nero Latte</t>
        </is>
      </c>
      <c r="B844" s="14" t="inlineStr">
        <is>
          <t>Catalogo: poesia e albi illustrati; collabora con circa 30 librerie indipendenti</t>
        </is>
      </c>
      <c r="C844" s="14" t="inlineStr">
        <is>
          <t>Patrizia Baglione (editrice)</t>
        </is>
      </c>
      <c r="D844" s="14" t="inlineStr">
        <is>
          <t>Poesia / Albi illustrati</t>
        </is>
      </c>
      <c r="E844" s="14" t="inlineStr">
        <is>
          <t>n.d.</t>
        </is>
      </c>
      <c r="F844" s="14" t="inlineStr">
        <is>
          <t>n.d. / tutte le età</t>
        </is>
      </c>
      <c r="G844" s="14" t="inlineStr">
        <is>
          <t>—</t>
        </is>
      </c>
      <c r="H844" s="14" t="inlineStr"/>
      <c r="I844" s="14" t="inlineStr">
        <is>
          <t>No</t>
        </is>
      </c>
      <c r="J844" s="15" t="inlineStr">
        <is>
          <t>Da verificare</t>
        </is>
      </c>
      <c r="K844" s="14" t="inlineStr"/>
      <c r="L844" s="14" t="inlineStr">
        <is>
          <t>https://www.pennaespada.it/in-pochi-mesi-la-casa-editrice-in-contatto-con-ben-33-librerie-indipendenti</t>
        </is>
      </c>
      <c r="M844" s="19" t="n"/>
      <c r="N844" s="14" t="inlineStr"/>
      <c r="O844" s="16">
        <f>IF(ISNUMBER(M844),ROUND(M844*(1-Condizioni!$B$2),2),"")</f>
        <v/>
      </c>
      <c r="P844" s="17" t="inlineStr">
        <is>
          <t>Sì</t>
        </is>
      </c>
    </row>
    <row r="845">
      <c r="A845" s="14" t="inlineStr">
        <is>
          <t>Nero Latte</t>
        </is>
      </c>
      <c r="B845" s="14" t="inlineStr">
        <is>
          <t>La bottega di Bepo il sarto</t>
        </is>
      </c>
      <c r="C845" s="14" t="inlineStr">
        <is>
          <t>Alessandra D'Amico</t>
        </is>
      </c>
      <c r="D845" s="14" t="inlineStr">
        <is>
          <t>Albi illustrati</t>
        </is>
      </c>
      <c r="E845" s="14" t="inlineStr">
        <is>
          <t>n.d.</t>
        </is>
      </c>
      <c r="F845" s="14" t="inlineStr">
        <is>
          <t>n.d. / tutte le età</t>
        </is>
      </c>
      <c r="G845" s="14" t="inlineStr">
        <is>
          <t>Albo illustrato</t>
        </is>
      </c>
      <c r="H845" s="14" t="inlineStr"/>
      <c r="I845" s="14" t="inlineStr">
        <is>
          <t>No</t>
        </is>
      </c>
      <c r="J845" s="14" t="inlineStr">
        <is>
          <t>Tolto: fuori catalogo</t>
        </is>
      </c>
      <c r="K845" s="14" t="inlineStr"/>
      <c r="L845" s="14" t="inlineStr">
        <is>
          <t>https://leggeretutti.eu/nasce-una-nuova-casa-editrice-nero_latte-edizioni/</t>
        </is>
      </c>
      <c r="M845" s="19" t="n"/>
      <c r="N845" s="14" t="inlineStr"/>
      <c r="O845" s="16">
        <f>IF(ISNUMBER(M845),ROUND(M845*(1-Condizioni!$B$2),2),"")</f>
        <v/>
      </c>
      <c r="P845" s="17" t="inlineStr">
        <is>
          <t>No</t>
        </is>
      </c>
    </row>
    <row r="846">
      <c r="A846" s="14" t="inlineStr">
        <is>
          <t>Nero Latte</t>
        </is>
      </c>
      <c r="B846" s="14" t="inlineStr">
        <is>
          <t>Verso il mondo (poesia, per adulti)</t>
        </is>
      </c>
      <c r="C846" s="14" t="inlineStr">
        <is>
          <t>Pier Francesco Latte</t>
        </is>
      </c>
      <c r="D846" s="14" t="inlineStr">
        <is>
          <t>Poesia</t>
        </is>
      </c>
      <c r="E846" s="14" t="inlineStr">
        <is>
          <t>adulti</t>
        </is>
      </c>
      <c r="F846" s="14" t="inlineStr">
        <is>
          <t>n.d. / tutte le età</t>
        </is>
      </c>
      <c r="G846" s="14" t="inlineStr">
        <is>
          <t>Poesia</t>
        </is>
      </c>
      <c r="H846" s="14" t="inlineStr"/>
      <c r="I846" s="14" t="inlineStr">
        <is>
          <t>No</t>
        </is>
      </c>
      <c r="J846" s="14" t="inlineStr">
        <is>
          <t>Catalogo</t>
        </is>
      </c>
      <c r="K846" s="14" t="inlineStr"/>
      <c r="L846" s="14" t="inlineStr">
        <is>
          <t>https://leggeretutti.eu/nasce-una-nuova-casa-editrice-nero_latte-edizioni/</t>
        </is>
      </c>
      <c r="M846" s="19" t="n"/>
      <c r="N846" s="14" t="inlineStr"/>
      <c r="O846" s="16">
        <f>IF(ISNUMBER(M846),ROUND(M846*(1-Condizioni!$B$2),2),"")</f>
        <v/>
      </c>
      <c r="P846" s="17" t="inlineStr">
        <is>
          <t>Sì</t>
        </is>
      </c>
    </row>
    <row r="847">
      <c r="A847" s="14" t="inlineStr">
        <is>
          <t>Logos</t>
        </is>
      </c>
      <c r="B847" s="14" t="inlineStr">
        <is>
          <t>Bimba Gatto Acqua Papera</t>
        </is>
      </c>
      <c r="C847" s="14" t="inlineStr">
        <is>
          <t>Ellen Duthie; ill. Daniela Martagón</t>
        </is>
      </c>
      <c r="D847" s="14" t="inlineStr">
        <is>
          <t>Wonder Ponder</t>
        </is>
      </c>
      <c r="E847" s="14" t="inlineStr">
        <is>
          <t>0-3 anni</t>
        </is>
      </c>
      <c r="F847" s="14" t="inlineStr">
        <is>
          <t>0-3 anni</t>
        </is>
      </c>
      <c r="G847" s="14" t="inlineStr">
        <is>
          <t>Albo illustrato</t>
        </is>
      </c>
      <c r="H847" s="14" t="inlineStr"/>
      <c r="I847" s="14" t="inlineStr">
        <is>
          <t>No</t>
        </is>
      </c>
      <c r="J847" s="14" t="inlineStr">
        <is>
          <t>Catalogo</t>
        </is>
      </c>
      <c r="K847" s="14" t="inlineStr">
        <is>
          <t>0-3 anni</t>
        </is>
      </c>
      <c r="L847" s="14" t="inlineStr">
        <is>
          <t>https://www.libri.it/bimba-gatto-acqua-papera</t>
        </is>
      </c>
      <c r="M847" s="16" t="n">
        <v>10</v>
      </c>
      <c r="N847" s="14" t="inlineStr">
        <is>
          <t>Lista titoli Logos Edizioni 2026 (PVP)</t>
        </is>
      </c>
      <c r="O847" s="16">
        <f>IF(ISNUMBER(M847),ROUND(M847*(1-Condizioni!$B$2),2),"")</f>
        <v/>
      </c>
      <c r="P847" s="17" t="inlineStr">
        <is>
          <t>No</t>
        </is>
      </c>
    </row>
    <row r="848">
      <c r="A848" s="14" t="inlineStr">
        <is>
          <t>Logos</t>
        </is>
      </c>
      <c r="B848" s="14" t="inlineStr">
        <is>
          <t>Bimbo Uovo Cane Osso</t>
        </is>
      </c>
      <c r="C848" s="14" t="inlineStr">
        <is>
          <t>Ellen Duthie; ill. Daniela Martagón</t>
        </is>
      </c>
      <c r="D848" s="14" t="inlineStr">
        <is>
          <t>Wonder Ponder</t>
        </is>
      </c>
      <c r="E848" s="14" t="inlineStr">
        <is>
          <t>0-3 anni</t>
        </is>
      </c>
      <c r="F848" s="14" t="inlineStr">
        <is>
          <t>0-3 anni</t>
        </is>
      </c>
      <c r="G848" s="14" t="inlineStr">
        <is>
          <t>Albo illustrato</t>
        </is>
      </c>
      <c r="H848" s="14" t="inlineStr"/>
      <c r="I848" s="14" t="inlineStr">
        <is>
          <t>No</t>
        </is>
      </c>
      <c r="J848" s="14" t="inlineStr">
        <is>
          <t>Catalogo</t>
        </is>
      </c>
      <c r="K848" s="14" t="inlineStr">
        <is>
          <t>0-3 anni</t>
        </is>
      </c>
      <c r="L848" s="14" t="inlineStr">
        <is>
          <t>https://www.libri.it/bimbo-uovo-cane-osso</t>
        </is>
      </c>
      <c r="M848" s="16" t="n">
        <v>10</v>
      </c>
      <c r="N848" s="14" t="inlineStr">
        <is>
          <t>Lista titoli Logos Edizioni 2026 (PVP)</t>
        </is>
      </c>
      <c r="O848" s="16">
        <f>IF(ISNUMBER(M848),ROUND(M848*(1-Condizioni!$B$2),2),"")</f>
        <v/>
      </c>
      <c r="P848" s="17" t="inlineStr">
        <is>
          <t>No</t>
        </is>
      </c>
    </row>
    <row r="849">
      <c r="A849" s="14" t="inlineStr">
        <is>
          <t>Logos</t>
        </is>
      </c>
      <c r="B849" s="14" t="inlineStr">
        <is>
          <t>Mio Fratello</t>
        </is>
      </c>
      <c r="C849" s="14" t="inlineStr">
        <is>
          <t>El Hematocrítico; ill. Alberto Vázquez</t>
        </is>
      </c>
      <c r="D849" s="14" t="inlineStr">
        <is>
          <t>Ipinipini</t>
        </is>
      </c>
      <c r="E849" s="14" t="inlineStr">
        <is>
          <t>0-3 anni</t>
        </is>
      </c>
      <c r="F849" s="14" t="inlineStr">
        <is>
          <t>0-3 anni</t>
        </is>
      </c>
      <c r="G849" s="14" t="inlineStr">
        <is>
          <t>Albo illustrato</t>
        </is>
      </c>
      <c r="H849" s="14" t="inlineStr"/>
      <c r="I849" s="14" t="inlineStr">
        <is>
          <t>No</t>
        </is>
      </c>
      <c r="J849" s="14" t="inlineStr">
        <is>
          <t>Catalogo</t>
        </is>
      </c>
      <c r="K849" s="14" t="inlineStr">
        <is>
          <t>0-3 anni</t>
        </is>
      </c>
      <c r="L849" s="14" t="inlineStr">
        <is>
          <t>https://www.libri.it/mio-fratello-ipinipini</t>
        </is>
      </c>
      <c r="M849" s="16" t="n">
        <v>10</v>
      </c>
      <c r="N849" s="14" t="inlineStr">
        <is>
          <t>Lista titoli Logos Edizioni 2026 (PVP)</t>
        </is>
      </c>
      <c r="O849" s="16">
        <f>IF(ISNUMBER(M849),ROUND(M849*(1-Condizioni!$B$2),2),"")</f>
        <v/>
      </c>
      <c r="P849" s="17" t="inlineStr">
        <is>
          <t>No</t>
        </is>
      </c>
    </row>
    <row r="850">
      <c r="A850" s="14" t="inlineStr">
        <is>
          <t>Logos</t>
        </is>
      </c>
      <c r="B850" s="14" t="inlineStr">
        <is>
          <t>Stop</t>
        </is>
      </c>
      <c r="C850" s="14" t="inlineStr">
        <is>
          <t>Roger Olmos</t>
        </is>
      </c>
      <c r="D850" s="14" t="inlineStr">
        <is>
          <t>Ipinipini</t>
        </is>
      </c>
      <c r="E850" s="14" t="inlineStr">
        <is>
          <t>0-3 anni</t>
        </is>
      </c>
      <c r="F850" s="14" t="inlineStr">
        <is>
          <t>0-3 anni</t>
        </is>
      </c>
      <c r="G850" s="14" t="inlineStr">
        <is>
          <t>Albo illustrato</t>
        </is>
      </c>
      <c r="H850" s="14" t="inlineStr"/>
      <c r="I850" s="14" t="inlineStr">
        <is>
          <t>No</t>
        </is>
      </c>
      <c r="J850" s="14" t="inlineStr">
        <is>
          <t>Catalogo</t>
        </is>
      </c>
      <c r="K850" s="14" t="inlineStr">
        <is>
          <t>0-3 anni</t>
        </is>
      </c>
      <c r="L850" s="14" t="inlineStr">
        <is>
          <t>https://www.libri.it/stop</t>
        </is>
      </c>
      <c r="M850" s="16" t="n">
        <v>14</v>
      </c>
      <c r="N850" s="14" t="inlineStr">
        <is>
          <t>Lista titoli Logos Edizioni 2026 (PVP)</t>
        </is>
      </c>
      <c r="O850" s="16">
        <f>IF(ISNUMBER(M850),ROUND(M850*(1-Condizioni!$B$2),2),"")</f>
        <v/>
      </c>
      <c r="P850" s="17" t="inlineStr">
        <is>
          <t>No</t>
        </is>
      </c>
    </row>
    <row r="851">
      <c r="A851" s="14" t="inlineStr">
        <is>
          <t>Logos</t>
        </is>
      </c>
      <c r="B851" s="14" t="inlineStr">
        <is>
          <t>Tilu’ Blu Gioca con la Neve</t>
        </is>
      </c>
      <c r="C851" s="14" t="inlineStr">
        <is>
          <t>Daniel Picouly; ill. Frédéric Pillot</t>
        </is>
      </c>
      <c r="D851" s="14" t="inlineStr">
        <is>
          <t>Ipinipini</t>
        </is>
      </c>
      <c r="E851" s="14" t="inlineStr">
        <is>
          <t>0-3 anni</t>
        </is>
      </c>
      <c r="F851" s="14" t="inlineStr">
        <is>
          <t>0-3 anni</t>
        </is>
      </c>
      <c r="G851" s="14" t="inlineStr">
        <is>
          <t>Albo illustrato</t>
        </is>
      </c>
      <c r="H851" s="14" t="inlineStr"/>
      <c r="I851" s="14" t="inlineStr">
        <is>
          <t>No</t>
        </is>
      </c>
      <c r="J851" s="14" t="inlineStr">
        <is>
          <t>Catalogo</t>
        </is>
      </c>
      <c r="K851" s="14" t="inlineStr">
        <is>
          <t>0-3 anni</t>
        </is>
      </c>
      <c r="L851" s="14" t="inlineStr">
        <is>
          <t>https://www.libri.it/tilu-gioca-con-la-neve</t>
        </is>
      </c>
      <c r="M851" s="16" t="n">
        <v>10</v>
      </c>
      <c r="N851" s="14" t="inlineStr">
        <is>
          <t>Lista titoli Logos Edizioni 2026 (PVP)</t>
        </is>
      </c>
      <c r="O851" s="16">
        <f>IF(ISNUMBER(M851),ROUND(M851*(1-Condizioni!$B$2),2),"")</f>
        <v/>
      </c>
      <c r="P851" s="17" t="inlineStr">
        <is>
          <t>No</t>
        </is>
      </c>
    </row>
    <row r="852">
      <c r="A852" s="14" t="inlineStr">
        <is>
          <t>Logos</t>
        </is>
      </c>
      <c r="B852" s="14" t="inlineStr">
        <is>
          <t>Tilu’ Blu non Vuole Andare a Letto</t>
        </is>
      </c>
      <c r="C852" s="14" t="inlineStr">
        <is>
          <t>Daniel Picouly; ill. Frédéric Pillot</t>
        </is>
      </c>
      <c r="D852" s="14" t="inlineStr">
        <is>
          <t>Ipinipini</t>
        </is>
      </c>
      <c r="E852" s="14" t="inlineStr">
        <is>
          <t>0-3 anni</t>
        </is>
      </c>
      <c r="F852" s="14" t="inlineStr">
        <is>
          <t>0-3 anni</t>
        </is>
      </c>
      <c r="G852" s="14" t="inlineStr">
        <is>
          <t>Albo illustrato</t>
        </is>
      </c>
      <c r="H852" s="14" t="inlineStr"/>
      <c r="I852" s="14" t="inlineStr">
        <is>
          <t>No</t>
        </is>
      </c>
      <c r="J852" s="14" t="inlineStr">
        <is>
          <t>Catalogo</t>
        </is>
      </c>
      <c r="K852" s="14" t="inlineStr">
        <is>
          <t>0-3 anni</t>
        </is>
      </c>
      <c r="L852" s="14" t="inlineStr">
        <is>
          <t>https://www.libri.it/tilu-non-vuole-andare-a-letto</t>
        </is>
      </c>
      <c r="M852" s="16" t="n">
        <v>10</v>
      </c>
      <c r="N852" s="14" t="inlineStr">
        <is>
          <t>Lista titoli Logos Edizioni 2026 (PVP)</t>
        </is>
      </c>
      <c r="O852" s="16">
        <f>IF(ISNUMBER(M852),ROUND(M852*(1-Condizioni!$B$2),2),"")</f>
        <v/>
      </c>
      <c r="P852" s="17" t="inlineStr">
        <is>
          <t>No</t>
        </is>
      </c>
    </row>
    <row r="853">
      <c r="A853" s="14" t="inlineStr">
        <is>
          <t>Logos</t>
        </is>
      </c>
      <c r="B853" s="14" t="inlineStr">
        <is>
          <t>Tilù Blu Vuole Andare a Caccia di Uova</t>
        </is>
      </c>
      <c r="C853" s="14" t="inlineStr">
        <is>
          <t>Daniel Picouly; ill. Frédéric Pillot</t>
        </is>
      </c>
      <c r="D853" s="14" t="inlineStr">
        <is>
          <t>Ipinipini</t>
        </is>
      </c>
      <c r="E853" s="14" t="inlineStr">
        <is>
          <t>0-3 anni</t>
        </is>
      </c>
      <c r="F853" s="14" t="inlineStr">
        <is>
          <t>0-3 anni</t>
        </is>
      </c>
      <c r="G853" s="14" t="inlineStr">
        <is>
          <t>Albo illustrato</t>
        </is>
      </c>
      <c r="H853" s="14" t="inlineStr"/>
      <c r="I853" s="14" t="inlineStr">
        <is>
          <t>No</t>
        </is>
      </c>
      <c r="J853" s="14" t="inlineStr">
        <is>
          <t>Catalogo</t>
        </is>
      </c>
      <c r="K853" s="14" t="inlineStr">
        <is>
          <t>0-3 anni</t>
        </is>
      </c>
      <c r="L853" s="14" t="inlineStr">
        <is>
          <t>https://www.libri.it/tilu-blu-vuole-andare-a-caccia-di-uova</t>
        </is>
      </c>
      <c r="M853" s="16" t="n">
        <v>10</v>
      </c>
      <c r="N853" s="14" t="inlineStr">
        <is>
          <t>Lista titoli Logos Edizioni 2026 (PVP)</t>
        </is>
      </c>
      <c r="O853" s="16">
        <f>IF(ISNUMBER(M853),ROUND(M853*(1-Condizioni!$B$2),2),"")</f>
        <v/>
      </c>
      <c r="P853" s="17" t="inlineStr">
        <is>
          <t>No</t>
        </is>
      </c>
    </row>
    <row r="854">
      <c r="A854" s="14" t="inlineStr">
        <is>
          <t>Logos</t>
        </is>
      </c>
      <c r="B854" s="14" t="inlineStr">
        <is>
          <t>Tilù Blu Vuole Bene al Suo Papà</t>
        </is>
      </c>
      <c r="C854" s="14" t="inlineStr">
        <is>
          <t>Daniel Picouly; ill. Frédéric Pillot</t>
        </is>
      </c>
      <c r="D854" s="14" t="inlineStr">
        <is>
          <t>Ipinipini</t>
        </is>
      </c>
      <c r="E854" s="14" t="inlineStr">
        <is>
          <t>0-3 anni</t>
        </is>
      </c>
      <c r="F854" s="14" t="inlineStr">
        <is>
          <t>0-3 anni</t>
        </is>
      </c>
      <c r="G854" s="14" t="inlineStr">
        <is>
          <t>Albo illustrato</t>
        </is>
      </c>
      <c r="H854" s="14" t="inlineStr"/>
      <c r="I854" s="14" t="inlineStr">
        <is>
          <t>No</t>
        </is>
      </c>
      <c r="J854" s="14" t="inlineStr">
        <is>
          <t>Catalogo</t>
        </is>
      </c>
      <c r="K854" s="14" t="inlineStr">
        <is>
          <t>0-3 anni</t>
        </is>
      </c>
      <c r="L854" s="14" t="inlineStr">
        <is>
          <t>https://www.libri.it/tilu-papa</t>
        </is>
      </c>
      <c r="M854" s="16" t="n">
        <v>10</v>
      </c>
      <c r="N854" s="14" t="inlineStr">
        <is>
          <t>Lista titoli Logos Edizioni 2026 (PVP)</t>
        </is>
      </c>
      <c r="O854" s="16">
        <f>IF(ISNUMBER(M854),ROUND(M854*(1-Condizioni!$B$2),2),"")</f>
        <v/>
      </c>
      <c r="P854" s="17" t="inlineStr">
        <is>
          <t>No</t>
        </is>
      </c>
    </row>
    <row r="855">
      <c r="A855" s="14" t="inlineStr">
        <is>
          <t>Logos</t>
        </is>
      </c>
      <c r="B855" s="14" t="inlineStr">
        <is>
          <t>Tilù Blu Vuole Bene alla Sua Mamma</t>
        </is>
      </c>
      <c r="C855" s="14" t="inlineStr">
        <is>
          <t>Daniel Picouly; ill. Frédéric Pillot</t>
        </is>
      </c>
      <c r="D855" s="14" t="inlineStr">
        <is>
          <t>Ipinipini</t>
        </is>
      </c>
      <c r="E855" s="14" t="inlineStr">
        <is>
          <t>0-3 anni</t>
        </is>
      </c>
      <c r="F855" s="14" t="inlineStr">
        <is>
          <t>0-3 anni</t>
        </is>
      </c>
      <c r="G855" s="14" t="inlineStr">
        <is>
          <t>Albo illustrato</t>
        </is>
      </c>
      <c r="H855" s="14" t="inlineStr"/>
      <c r="I855" s="14" t="inlineStr">
        <is>
          <t>No</t>
        </is>
      </c>
      <c r="J855" s="14" t="inlineStr">
        <is>
          <t>Catalogo</t>
        </is>
      </c>
      <c r="K855" s="14" t="inlineStr">
        <is>
          <t>0-3 anni</t>
        </is>
      </c>
      <c r="L855" s="14" t="inlineStr">
        <is>
          <t>https://www.libri.it/tilu-mamma</t>
        </is>
      </c>
      <c r="M855" s="16" t="n">
        <v>10</v>
      </c>
      <c r="N855" s="14" t="inlineStr">
        <is>
          <t>Lista titoli Logos Edizioni 2026 (PVP)</t>
        </is>
      </c>
      <c r="O855" s="16">
        <f>IF(ISNUMBER(M855),ROUND(M855*(1-Condizioni!$B$2),2),"")</f>
        <v/>
      </c>
      <c r="P855" s="17" t="inlineStr">
        <is>
          <t>No</t>
        </is>
      </c>
    </row>
    <row r="856">
      <c r="A856" s="14" t="inlineStr">
        <is>
          <t>Logos</t>
        </is>
      </c>
      <c r="B856" s="14" t="inlineStr">
        <is>
          <t>Tilù Blu Vuole un Vasino con le Ruote</t>
        </is>
      </c>
      <c r="C856" s="14" t="inlineStr">
        <is>
          <t>Daniel Picouly; ill. Frédéric Pillot</t>
        </is>
      </c>
      <c r="D856" s="14" t="inlineStr">
        <is>
          <t>Ipinipini</t>
        </is>
      </c>
      <c r="E856" s="14" t="inlineStr">
        <is>
          <t>0-3 anni</t>
        </is>
      </c>
      <c r="F856" s="14" t="inlineStr">
        <is>
          <t>0-3 anni</t>
        </is>
      </c>
      <c r="G856" s="14" t="inlineStr">
        <is>
          <t>Albo illustrato</t>
        </is>
      </c>
      <c r="H856" s="14" t="inlineStr"/>
      <c r="I856" s="14" t="inlineStr">
        <is>
          <t>No</t>
        </is>
      </c>
      <c r="J856" s="14" t="inlineStr">
        <is>
          <t>Catalogo</t>
        </is>
      </c>
      <c r="K856" s="14" t="inlineStr">
        <is>
          <t>0-3 anni</t>
        </is>
      </c>
      <c r="L856" s="14" t="inlineStr">
        <is>
          <t>https://www.libri.it/tilu-blu-vuole-un-vasino-con-le-ruote</t>
        </is>
      </c>
      <c r="M856" s="16" t="n">
        <v>10</v>
      </c>
      <c r="N856" s="14" t="inlineStr">
        <is>
          <t>Lista titoli Logos Edizioni 2026 (PVP)</t>
        </is>
      </c>
      <c r="O856" s="16">
        <f>IF(ISNUMBER(M856),ROUND(M856*(1-Condizioni!$B$2),2),"")</f>
        <v/>
      </c>
      <c r="P856" s="17" t="inlineStr">
        <is>
          <t>No</t>
        </is>
      </c>
    </row>
    <row r="857">
      <c r="A857" s="14" t="inlineStr">
        <is>
          <t>Logos</t>
        </is>
      </c>
      <c r="B857" s="14" t="inlineStr">
        <is>
          <t>Tilù Blu non Vuole Più il Ciuccio</t>
        </is>
      </c>
      <c r="C857" s="14" t="inlineStr">
        <is>
          <t>Daniel Picouly; ill. Frédéric Pillot</t>
        </is>
      </c>
      <c r="D857" s="14" t="inlineStr">
        <is>
          <t>Ipinipini</t>
        </is>
      </c>
      <c r="E857" s="14" t="inlineStr">
        <is>
          <t>0-3 anni</t>
        </is>
      </c>
      <c r="F857" s="14" t="inlineStr">
        <is>
          <t>0-3 anni</t>
        </is>
      </c>
      <c r="G857" s="14" t="inlineStr">
        <is>
          <t>Albo illustrato</t>
        </is>
      </c>
      <c r="H857" s="14" t="inlineStr"/>
      <c r="I857" s="14" t="inlineStr">
        <is>
          <t>No</t>
        </is>
      </c>
      <c r="J857" s="14" t="inlineStr">
        <is>
          <t>Catalogo</t>
        </is>
      </c>
      <c r="K857" s="14" t="inlineStr">
        <is>
          <t>0-3 anni</t>
        </is>
      </c>
      <c r="L857" s="14" t="inlineStr">
        <is>
          <t>https://www.libri.it/tilu-ciuccio</t>
        </is>
      </c>
      <c r="M857" s="16" t="n">
        <v>10</v>
      </c>
      <c r="N857" s="14" t="inlineStr">
        <is>
          <t>Lista titoli Logos Edizioni 2026 (PVP)</t>
        </is>
      </c>
      <c r="O857" s="16">
        <f>IF(ISNUMBER(M857),ROUND(M857*(1-Condizioni!$B$2),2),"")</f>
        <v/>
      </c>
      <c r="P857" s="17" t="inlineStr">
        <is>
          <t>No</t>
        </is>
      </c>
    </row>
    <row r="858">
      <c r="A858" s="14" t="inlineStr">
        <is>
          <t>Logos</t>
        </is>
      </c>
      <c r="B858" s="14" t="inlineStr">
        <is>
          <t>Tilù Blu non Vuole piu’ Fare i Capricci</t>
        </is>
      </c>
      <c r="C858" s="14" t="inlineStr">
        <is>
          <t>Daniel Picouly; ill. Frédéric Pillot</t>
        </is>
      </c>
      <c r="D858" s="14" t="inlineStr">
        <is>
          <t>Ipinipini</t>
        </is>
      </c>
      <c r="E858" s="14" t="inlineStr">
        <is>
          <t>0-3 anni</t>
        </is>
      </c>
      <c r="F858" s="14" t="inlineStr">
        <is>
          <t>0-3 anni</t>
        </is>
      </c>
      <c r="G858" s="14" t="inlineStr">
        <is>
          <t>Albo illustrato</t>
        </is>
      </c>
      <c r="H858" s="14" t="inlineStr"/>
      <c r="I858" s="14" t="inlineStr">
        <is>
          <t>No</t>
        </is>
      </c>
      <c r="J858" s="14" t="inlineStr">
        <is>
          <t>Catalogo</t>
        </is>
      </c>
      <c r="K858" s="14" t="inlineStr">
        <is>
          <t>0-3 anni</t>
        </is>
      </c>
      <c r="L858" s="14" t="inlineStr">
        <is>
          <t>https://www.libri.it/tilu-blu-non-vuole-piu-fare-i-capricci</t>
        </is>
      </c>
      <c r="M858" s="16" t="n">
        <v>10</v>
      </c>
      <c r="N858" s="14" t="inlineStr">
        <is>
          <t>Lista titoli Logos Edizioni 2026 (PVP)</t>
        </is>
      </c>
      <c r="O858" s="16">
        <f>IF(ISNUMBER(M858),ROUND(M858*(1-Condizioni!$B$2),2),"")</f>
        <v/>
      </c>
      <c r="P858" s="17" t="inlineStr">
        <is>
          <t>No</t>
        </is>
      </c>
    </row>
    <row r="859">
      <c r="A859" s="14" t="inlineStr">
        <is>
          <t>Logos</t>
        </is>
      </c>
      <c r="B859" s="14" t="inlineStr">
        <is>
          <t>Un Cane</t>
        </is>
      </c>
      <c r="C859" s="14" t="inlineStr">
        <is>
          <t>El Hematocrítico; ill. Alberto Vázquez</t>
        </is>
      </c>
      <c r="D859" s="14" t="inlineStr">
        <is>
          <t>Ipinipini</t>
        </is>
      </c>
      <c r="E859" s="14" t="inlineStr">
        <is>
          <t>0-3 anni</t>
        </is>
      </c>
      <c r="F859" s="14" t="inlineStr">
        <is>
          <t>0-3 anni</t>
        </is>
      </c>
      <c r="G859" s="14" t="inlineStr">
        <is>
          <t>Albo illustrato</t>
        </is>
      </c>
      <c r="H859" s="14" t="inlineStr"/>
      <c r="I859" s="14" t="inlineStr">
        <is>
          <t>No</t>
        </is>
      </c>
      <c r="J859" s="14" t="inlineStr">
        <is>
          <t>Catalogo</t>
        </is>
      </c>
      <c r="K859" s="14" t="inlineStr">
        <is>
          <t>0-3 anni</t>
        </is>
      </c>
      <c r="L859" s="14" t="inlineStr">
        <is>
          <t>https://www.libri.it/un-cane-ipinipini</t>
        </is>
      </c>
      <c r="M859" s="16" t="n">
        <v>13</v>
      </c>
      <c r="N859" s="14" t="inlineStr">
        <is>
          <t>Lista titoli Logos Edizioni 2026 (PVP)</t>
        </is>
      </c>
      <c r="O859" s="16">
        <f>IF(ISNUMBER(M859),ROUND(M859*(1-Condizioni!$B$2),2),"")</f>
        <v/>
      </c>
      <c r="P859" s="17" t="inlineStr">
        <is>
          <t>No</t>
        </is>
      </c>
    </row>
    <row r="860">
      <c r="A860" s="14" t="inlineStr">
        <is>
          <t>Logos</t>
        </is>
      </c>
      <c r="B860" s="14" t="inlineStr">
        <is>
          <t>Yipo</t>
        </is>
      </c>
      <c r="C860" s="14" t="inlineStr">
        <is>
          <t>Juan Gedovius</t>
        </is>
      </c>
      <c r="D860" s="14" t="inlineStr">
        <is>
          <t>Ipinipini</t>
        </is>
      </c>
      <c r="E860" s="14" t="inlineStr">
        <is>
          <t>0-3 anni</t>
        </is>
      </c>
      <c r="F860" s="14" t="inlineStr">
        <is>
          <t>0-3 anni</t>
        </is>
      </c>
      <c r="G860" s="14" t="inlineStr">
        <is>
          <t>Albo illustrato</t>
        </is>
      </c>
      <c r="H860" s="14" t="inlineStr"/>
      <c r="I860" s="14" t="inlineStr">
        <is>
          <t>No</t>
        </is>
      </c>
      <c r="J860" s="14" t="inlineStr">
        <is>
          <t>Catalogo</t>
        </is>
      </c>
      <c r="K860" s="14" t="inlineStr">
        <is>
          <t>0-3 anni</t>
        </is>
      </c>
      <c r="L860" s="14" t="inlineStr">
        <is>
          <t>https://www.libri.it/yipo</t>
        </is>
      </c>
      <c r="M860" s="16" t="n">
        <v>14</v>
      </c>
      <c r="N860" s="14" t="inlineStr">
        <is>
          <t>Lista titoli Logos Edizioni 2026 (PVP)</t>
        </is>
      </c>
      <c r="O860" s="16">
        <f>IF(ISNUMBER(M860),ROUND(M860*(1-Condizioni!$B$2),2),"")</f>
        <v/>
      </c>
      <c r="P860" s="17" t="inlineStr">
        <is>
          <t>No</t>
        </is>
      </c>
    </row>
    <row r="861">
      <c r="A861" s="14" t="inlineStr">
        <is>
          <t>Logos</t>
        </is>
      </c>
      <c r="B861" s="14" t="inlineStr">
        <is>
          <t>Buongiorno Piccola Maialina</t>
        </is>
      </c>
      <c r="C861" s="14" t="inlineStr">
        <is>
          <t>Janosch</t>
        </is>
      </c>
      <c r="D861" s="14" t="inlineStr">
        <is>
          <t>Biblioteca Ciopi</t>
        </is>
      </c>
      <c r="E861" s="14" t="inlineStr">
        <is>
          <t>da 3 anni</t>
        </is>
      </c>
      <c r="F861" s="14" t="inlineStr">
        <is>
          <t>3-6 anni</t>
        </is>
      </c>
      <c r="G861" s="14" t="inlineStr">
        <is>
          <t>Narrativa</t>
        </is>
      </c>
      <c r="H861" s="14" t="inlineStr"/>
      <c r="I861" s="14" t="inlineStr">
        <is>
          <t>No</t>
        </is>
      </c>
      <c r="J861" s="14" t="inlineStr">
        <is>
          <t>Catalogo</t>
        </is>
      </c>
      <c r="K861" s="14" t="inlineStr">
        <is>
          <t>3-6 anni, narrativa</t>
        </is>
      </c>
      <c r="L861" s="14" t="inlineStr">
        <is>
          <t>https://www.libri.it/buongiorno-piccola-maialina</t>
        </is>
      </c>
      <c r="M861" s="16" t="n">
        <v>10</v>
      </c>
      <c r="N861" s="14" t="inlineStr">
        <is>
          <t>Lista titoli Logos Edizioni 2026 (PVP)</t>
        </is>
      </c>
      <c r="O861" s="16">
        <f>IF(ISNUMBER(M861),ROUND(M861*(1-Condizioni!$B$2),2),"")</f>
        <v/>
      </c>
      <c r="P861" s="17" t="inlineStr">
        <is>
          <t>No</t>
        </is>
      </c>
    </row>
    <row r="862">
      <c r="A862" s="14" t="inlineStr">
        <is>
          <t>Logos</t>
        </is>
      </c>
      <c r="B862" s="14" t="inlineStr">
        <is>
          <t>Che Paura</t>
        </is>
      </c>
      <c r="C862" s="14" t="inlineStr">
        <is>
          <t>Clotilde Goubely</t>
        </is>
      </c>
      <c r="D862" s="14" t="inlineStr">
        <is>
          <t>Albo Ciopi</t>
        </is>
      </c>
      <c r="E862" s="14" t="inlineStr">
        <is>
          <t>da 3 anni</t>
        </is>
      </c>
      <c r="F862" s="14" t="inlineStr">
        <is>
          <t>3-6 anni</t>
        </is>
      </c>
      <c r="G862" s="14" t="inlineStr">
        <is>
          <t>Albo illustrato</t>
        </is>
      </c>
      <c r="H862" s="14" t="inlineStr"/>
      <c r="I862" s="14" t="inlineStr">
        <is>
          <t>No</t>
        </is>
      </c>
      <c r="J862" s="14" t="inlineStr">
        <is>
          <t>Catalogo</t>
        </is>
      </c>
      <c r="K862" s="14" t="inlineStr">
        <is>
          <t>3-6 anni</t>
        </is>
      </c>
      <c r="L862" s="14" t="inlineStr">
        <is>
          <t>https://www.libri.it/che-paura</t>
        </is>
      </c>
      <c r="M862" s="16" t="n">
        <v>18</v>
      </c>
      <c r="N862" s="14" t="inlineStr">
        <is>
          <t>Lista titoli Logos Edizioni 2026 (PVP)</t>
        </is>
      </c>
      <c r="O862" s="16">
        <f>IF(ISNUMBER(M862),ROUND(M862*(1-Condizioni!$B$2),2),"")</f>
        <v/>
      </c>
      <c r="P862" s="17" t="inlineStr">
        <is>
          <t>No</t>
        </is>
      </c>
    </row>
    <row r="863">
      <c r="A863" s="14" t="inlineStr">
        <is>
          <t>Logos</t>
        </is>
      </c>
      <c r="B863" s="14" t="inlineStr">
        <is>
          <t>Chi Ha Rubato le Uova di Mimosa?</t>
        </is>
      </c>
      <c r="C863" s="14" t="inlineStr">
        <is>
          <t>Clotilde Goubely; ill. clotilde Goubely</t>
        </is>
      </c>
      <c r="D863" s="14" t="inlineStr">
        <is>
          <t>Albo Ciopi</t>
        </is>
      </c>
      <c r="E863" s="14" t="inlineStr">
        <is>
          <t>da 3 anni</t>
        </is>
      </c>
      <c r="F863" s="14" t="inlineStr">
        <is>
          <t>3-6 anni</t>
        </is>
      </c>
      <c r="G863" s="14" t="inlineStr">
        <is>
          <t>Albo illustrato</t>
        </is>
      </c>
      <c r="H863" s="14" t="inlineStr"/>
      <c r="I863" s="14" t="inlineStr">
        <is>
          <t>No</t>
        </is>
      </c>
      <c r="J863" s="14" t="inlineStr">
        <is>
          <t>Catalogo</t>
        </is>
      </c>
      <c r="K863" s="14" t="inlineStr">
        <is>
          <t>3-6 anni</t>
        </is>
      </c>
      <c r="L863" s="14" t="inlineStr">
        <is>
          <t>https://www.libri.it/uova-mimosa</t>
        </is>
      </c>
      <c r="M863" s="16" t="n">
        <v>18</v>
      </c>
      <c r="N863" s="14" t="inlineStr">
        <is>
          <t>Lista titoli Logos Edizioni 2026 (PVP)</t>
        </is>
      </c>
      <c r="O863" s="16">
        <f>IF(ISNUMBER(M863),ROUND(M863*(1-Condizioni!$B$2),2),"")</f>
        <v/>
      </c>
      <c r="P863" s="17" t="inlineStr">
        <is>
          <t>No</t>
        </is>
      </c>
    </row>
    <row r="864">
      <c r="A864" s="14" t="inlineStr">
        <is>
          <t>Logos</t>
        </is>
      </c>
      <c r="B864" s="14" t="inlineStr">
        <is>
          <t>Chi Vuol Essere Mio Amico?</t>
        </is>
      </c>
      <c r="C864" s="14" t="inlineStr">
        <is>
          <t>Clotilde Goubely</t>
        </is>
      </c>
      <c r="D864" s="14" t="inlineStr">
        <is>
          <t>Albo Ciopi</t>
        </is>
      </c>
      <c r="E864" s="14" t="inlineStr">
        <is>
          <t>da 3 anni</t>
        </is>
      </c>
      <c r="F864" s="14" t="inlineStr">
        <is>
          <t>3-6 anni</t>
        </is>
      </c>
      <c r="G864" s="14" t="inlineStr">
        <is>
          <t>Albo illustrato</t>
        </is>
      </c>
      <c r="H864" s="14" t="inlineStr"/>
      <c r="I864" s="14" t="inlineStr">
        <is>
          <t>No</t>
        </is>
      </c>
      <c r="J864" s="14" t="inlineStr">
        <is>
          <t>Catalogo</t>
        </is>
      </c>
      <c r="K864" s="14" t="inlineStr">
        <is>
          <t>3-6 anni</t>
        </is>
      </c>
      <c r="L864" s="14" t="inlineStr">
        <is>
          <t>https://www.libri.it/chi-vuol-essere-mio-amico</t>
        </is>
      </c>
      <c r="M864" s="16" t="n">
        <v>18</v>
      </c>
      <c r="N864" s="14" t="inlineStr">
        <is>
          <t>Lista titoli Logos Edizioni 2026 (PVP)</t>
        </is>
      </c>
      <c r="O864" s="16">
        <f>IF(ISNUMBER(M864),ROUND(M864*(1-Condizioni!$B$2),2),"")</f>
        <v/>
      </c>
      <c r="P864" s="17" t="inlineStr">
        <is>
          <t>No</t>
        </is>
      </c>
    </row>
    <row r="865">
      <c r="A865" s="14" t="inlineStr">
        <is>
          <t>Logos</t>
        </is>
      </c>
      <c r="B865" s="14" t="inlineStr">
        <is>
          <t>Cuz i Cva?</t>
        </is>
      </c>
      <c r="C865" s="14" t="inlineStr">
        <is>
          <t>Carson Ellis</t>
        </is>
      </c>
      <c r="D865" s="14" t="inlineStr">
        <is>
          <t>Albo Ciopi</t>
        </is>
      </c>
      <c r="E865" s="14" t="inlineStr">
        <is>
          <t>da 3 anni</t>
        </is>
      </c>
      <c r="F865" s="14" t="inlineStr">
        <is>
          <t>3-6 anni</t>
        </is>
      </c>
      <c r="G865" s="14" t="inlineStr">
        <is>
          <t>Albo illustrato</t>
        </is>
      </c>
      <c r="H865" s="14" t="inlineStr"/>
      <c r="I865" s="14" t="inlineStr">
        <is>
          <t>No</t>
        </is>
      </c>
      <c r="J865" s="14" t="inlineStr">
        <is>
          <t>Catalogo</t>
        </is>
      </c>
      <c r="K865" s="14" t="inlineStr">
        <is>
          <t>3-6 anni</t>
        </is>
      </c>
      <c r="L865" s="14" t="inlineStr">
        <is>
          <t>https://www.libri.it/cuzz</t>
        </is>
      </c>
      <c r="M865" s="16" t="n">
        <v>17</v>
      </c>
      <c r="N865" s="14" t="inlineStr">
        <is>
          <t>Lista titoli Logos Edizioni 2026 (PVP)</t>
        </is>
      </c>
      <c r="O865" s="16">
        <f>IF(ISNUMBER(M865),ROUND(M865*(1-Condizioni!$B$2),2),"")</f>
        <v/>
      </c>
      <c r="P865" s="17" t="inlineStr">
        <is>
          <t>No</t>
        </is>
      </c>
    </row>
    <row r="866">
      <c r="A866" s="14" t="inlineStr">
        <is>
          <t>Logos</t>
        </is>
      </c>
      <c r="B866" s="14" t="inlineStr">
        <is>
          <t>C’E Posta per Tigre</t>
        </is>
      </c>
      <c r="C866" s="14" t="inlineStr">
        <is>
          <t>Janosch</t>
        </is>
      </c>
      <c r="D866" s="14" t="inlineStr">
        <is>
          <t>Biblioteca Ciopi</t>
        </is>
      </c>
      <c r="E866" s="14" t="inlineStr">
        <is>
          <t>da 3 anni</t>
        </is>
      </c>
      <c r="F866" s="14" t="inlineStr">
        <is>
          <t>3-6 anni</t>
        </is>
      </c>
      <c r="G866" s="14" t="inlineStr">
        <is>
          <t>Narrativa</t>
        </is>
      </c>
      <c r="H866" s="14" t="inlineStr"/>
      <c r="I866" s="14" t="inlineStr">
        <is>
          <t>No</t>
        </is>
      </c>
      <c r="J866" s="14" t="inlineStr">
        <is>
          <t>Catalogo</t>
        </is>
      </c>
      <c r="K866" s="14" t="inlineStr">
        <is>
          <t>3-6 anni, narrativa</t>
        </is>
      </c>
      <c r="L866" s="14" t="inlineStr">
        <is>
          <t>https://www.libri.it/ce-posta-per-tigre</t>
        </is>
      </c>
      <c r="M866" s="16" t="n">
        <v>8</v>
      </c>
      <c r="N866" s="14" t="inlineStr">
        <is>
          <t>Lista titoli Logos Edizioni 2026 (PVP)</t>
        </is>
      </c>
      <c r="O866" s="16">
        <f>IF(ISNUMBER(M866),ROUND(M866*(1-Condizioni!$B$2),2),"")</f>
        <v/>
      </c>
      <c r="P866" s="17" t="inlineStr">
        <is>
          <t>No</t>
        </is>
      </c>
    </row>
    <row r="867">
      <c r="A867" s="14" t="inlineStr">
        <is>
          <t>Logos</t>
        </is>
      </c>
      <c r="B867" s="14" t="inlineStr">
        <is>
          <t>Daisy e la Belva</t>
        </is>
      </c>
      <c r="C867" s="14" t="inlineStr">
        <is>
          <t>Jane Simmons</t>
        </is>
      </c>
      <c r="D867" s="14" t="inlineStr">
        <is>
          <t>Albo Ciopi</t>
        </is>
      </c>
      <c r="E867" s="14" t="inlineStr">
        <is>
          <t>da 3 anni</t>
        </is>
      </c>
      <c r="F867" s="14" t="inlineStr">
        <is>
          <t>3-6 anni</t>
        </is>
      </c>
      <c r="G867" s="14" t="inlineStr">
        <is>
          <t>Albo illustrato</t>
        </is>
      </c>
      <c r="H867" s="14" t="inlineStr"/>
      <c r="I867" s="14" t="inlineStr">
        <is>
          <t>No</t>
        </is>
      </c>
      <c r="J867" s="14" t="inlineStr">
        <is>
          <t>Catalogo</t>
        </is>
      </c>
      <c r="K867" s="14" t="inlineStr">
        <is>
          <t>3-6 anni</t>
        </is>
      </c>
      <c r="L867" s="14" t="inlineStr">
        <is>
          <t>https://www.libri.it/daisy-e-la-bestia</t>
        </is>
      </c>
      <c r="M867" s="16" t="n">
        <v>17</v>
      </c>
      <c r="N867" s="14" t="inlineStr">
        <is>
          <t>Lista titoli Logos Edizioni 2026 (PVP)</t>
        </is>
      </c>
      <c r="O867" s="16">
        <f>IF(ISNUMBER(M867),ROUND(M867*(1-Condizioni!$B$2),2),"")</f>
        <v/>
      </c>
      <c r="P867" s="17" t="inlineStr">
        <is>
          <t>No</t>
        </is>
      </c>
    </row>
    <row r="868">
      <c r="A868" s="14" t="inlineStr">
        <is>
          <t>Logos</t>
        </is>
      </c>
      <c r="B868" s="14" t="inlineStr">
        <is>
          <t>Daisy e l’Uovo</t>
        </is>
      </c>
      <c r="C868" s="14" t="inlineStr">
        <is>
          <t>Jane Simmons</t>
        </is>
      </c>
      <c r="D868" s="14" t="inlineStr">
        <is>
          <t>Albo Ciopi</t>
        </is>
      </c>
      <c r="E868" s="14" t="inlineStr">
        <is>
          <t>da 3 anni</t>
        </is>
      </c>
      <c r="F868" s="14" t="inlineStr">
        <is>
          <t>3-6 anni</t>
        </is>
      </c>
      <c r="G868" s="14" t="inlineStr">
        <is>
          <t>Albo illustrato</t>
        </is>
      </c>
      <c r="H868" s="14" t="inlineStr"/>
      <c r="I868" s="14" t="inlineStr">
        <is>
          <t>No</t>
        </is>
      </c>
      <c r="J868" s="14" t="inlineStr">
        <is>
          <t>Catalogo</t>
        </is>
      </c>
      <c r="K868" s="14" t="inlineStr">
        <is>
          <t>3-6 anni</t>
        </is>
      </c>
      <c r="L868" s="14" t="inlineStr">
        <is>
          <t>https://www.libri.it/daisy-e-l-uovo</t>
        </is>
      </c>
      <c r="M868" s="16" t="n">
        <v>17</v>
      </c>
      <c r="N868" s="14" t="inlineStr">
        <is>
          <t>Lista titoli Logos Edizioni 2026 (PVP)</t>
        </is>
      </c>
      <c r="O868" s="16">
        <f>IF(ISNUMBER(M868),ROUND(M868*(1-Condizioni!$B$2),2),"")</f>
        <v/>
      </c>
      <c r="P868" s="17" t="inlineStr">
        <is>
          <t>No</t>
        </is>
      </c>
    </row>
    <row r="869">
      <c r="A869" s="14" t="inlineStr">
        <is>
          <t>Logos</t>
        </is>
      </c>
      <c r="B869" s="14" t="inlineStr">
        <is>
          <t>Dormi Dormi Tartaruga</t>
        </is>
      </c>
      <c r="C869" s="14" t="inlineStr">
        <is>
          <t>Roberto Aliaga; ill. Alessandra Cimatoribus</t>
        </is>
      </c>
      <c r="D869" s="14" t="inlineStr">
        <is>
          <t>Albo Ciopi</t>
        </is>
      </c>
      <c r="E869" s="14" t="inlineStr">
        <is>
          <t>da 3 anni</t>
        </is>
      </c>
      <c r="F869" s="14" t="inlineStr">
        <is>
          <t>3-6 anni</t>
        </is>
      </c>
      <c r="G869" s="14" t="inlineStr">
        <is>
          <t>Albo illustrato</t>
        </is>
      </c>
      <c r="H869" s="14" t="inlineStr"/>
      <c r="I869" s="14" t="inlineStr">
        <is>
          <t>No</t>
        </is>
      </c>
      <c r="J869" s="14" t="inlineStr">
        <is>
          <t>Catalogo</t>
        </is>
      </c>
      <c r="K869" s="14" t="inlineStr">
        <is>
          <t>3-6 anni</t>
        </is>
      </c>
      <c r="L869" s="14" t="inlineStr">
        <is>
          <t>https://www.libri.it/dormi-dormi-tartaruga-ristampa</t>
        </is>
      </c>
      <c r="M869" s="16" t="n">
        <v>15</v>
      </c>
      <c r="N869" s="14" t="inlineStr">
        <is>
          <t>Lista titoli Logos Edizioni 2026 (PVP)</t>
        </is>
      </c>
      <c r="O869" s="16">
        <f>IF(ISNUMBER(M869),ROUND(M869*(1-Condizioni!$B$2),2),"")</f>
        <v/>
      </c>
      <c r="P869" s="17" t="inlineStr">
        <is>
          <t>No</t>
        </is>
      </c>
    </row>
    <row r="870">
      <c r="A870" s="14" t="inlineStr">
        <is>
          <t>Logos</t>
        </is>
      </c>
      <c r="B870" s="14" t="inlineStr">
        <is>
          <t>Edmondo Va a Scuola</t>
        </is>
      </c>
      <c r="C870" s="14" t="inlineStr">
        <is>
          <t>Thibault Guichon-Laurier; ill. Frédéric Pillot</t>
        </is>
      </c>
      <c r="D870" s="14" t="inlineStr">
        <is>
          <t>Albo Ciopi</t>
        </is>
      </c>
      <c r="E870" s="14" t="inlineStr">
        <is>
          <t>da 3 anni</t>
        </is>
      </c>
      <c r="F870" s="14" t="inlineStr">
        <is>
          <t>3-6 anni</t>
        </is>
      </c>
      <c r="G870" s="14" t="inlineStr">
        <is>
          <t>Albo illustrato</t>
        </is>
      </c>
      <c r="H870" s="14" t="inlineStr"/>
      <c r="I870" s="14" t="inlineStr">
        <is>
          <t>No</t>
        </is>
      </c>
      <c r="J870" s="14" t="inlineStr">
        <is>
          <t>Catalogo</t>
        </is>
      </c>
      <c r="K870" s="14" t="inlineStr">
        <is>
          <t>3-6 anni</t>
        </is>
      </c>
      <c r="L870" s="14" t="inlineStr">
        <is>
          <t>https://www.libri.it/edmondo-scuola</t>
        </is>
      </c>
      <c r="M870" s="16" t="n">
        <v>15</v>
      </c>
      <c r="N870" s="14" t="inlineStr">
        <is>
          <t>Lista titoli Logos Edizioni 2026 (PVP)</t>
        </is>
      </c>
      <c r="O870" s="16">
        <f>IF(ISNUMBER(M870),ROUND(M870*(1-Condizioni!$B$2),2),"")</f>
        <v/>
      </c>
      <c r="P870" s="17" t="inlineStr">
        <is>
          <t>No</t>
        </is>
      </c>
    </row>
    <row r="871">
      <c r="A871" s="14" t="inlineStr">
        <is>
          <t>Logos</t>
        </is>
      </c>
      <c r="B871" s="14" t="inlineStr">
        <is>
          <t>Edmondo Va al Mare</t>
        </is>
      </c>
      <c r="C871" s="14" t="inlineStr">
        <is>
          <t>Thibault Guichon-Laurier; ill. Frédéric Pillot</t>
        </is>
      </c>
      <c r="D871" s="14" t="inlineStr">
        <is>
          <t>Albo Ciopi</t>
        </is>
      </c>
      <c r="E871" s="14" t="inlineStr">
        <is>
          <t>da 3 anni</t>
        </is>
      </c>
      <c r="F871" s="14" t="inlineStr">
        <is>
          <t>3-6 anni</t>
        </is>
      </c>
      <c r="G871" s="14" t="inlineStr">
        <is>
          <t>Albo illustrato</t>
        </is>
      </c>
      <c r="H871" s="14" t="inlineStr"/>
      <c r="I871" s="14" t="inlineStr">
        <is>
          <t>No</t>
        </is>
      </c>
      <c r="J871" s="14" t="inlineStr">
        <is>
          <t>Catalogo</t>
        </is>
      </c>
      <c r="K871" s="14" t="inlineStr">
        <is>
          <t>3-6 anni</t>
        </is>
      </c>
      <c r="L871" s="14" t="inlineStr">
        <is>
          <t>https://www.libri.it/edmondo-mare</t>
        </is>
      </c>
      <c r="M871" s="16" t="n">
        <v>15</v>
      </c>
      <c r="N871" s="14" t="inlineStr">
        <is>
          <t>Lista titoli Logos Edizioni 2026 (PVP)</t>
        </is>
      </c>
      <c r="O871" s="16">
        <f>IF(ISNUMBER(M871),ROUND(M871*(1-Condizioni!$B$2),2),"")</f>
        <v/>
      </c>
      <c r="P871" s="17" t="inlineStr">
        <is>
          <t>No</t>
        </is>
      </c>
    </row>
    <row r="872">
      <c r="A872" s="14" t="inlineStr">
        <is>
          <t>Logos</t>
        </is>
      </c>
      <c r="B872" s="14" t="inlineStr">
        <is>
          <t>Edmondo e Babbo Natale</t>
        </is>
      </c>
      <c r="C872" s="14" t="inlineStr">
        <is>
          <t>Thibault Guichon-Laurier; ill. Frédéric Pillot</t>
        </is>
      </c>
      <c r="D872" s="14" t="inlineStr">
        <is>
          <t>Albo Ciopi</t>
        </is>
      </c>
      <c r="E872" s="14" t="inlineStr">
        <is>
          <t>da 3 anni</t>
        </is>
      </c>
      <c r="F872" s="14" t="inlineStr">
        <is>
          <t>3-6 anni</t>
        </is>
      </c>
      <c r="G872" s="14" t="inlineStr">
        <is>
          <t>Albo illustrato</t>
        </is>
      </c>
      <c r="H872" s="14" t="inlineStr"/>
      <c r="I872" s="14" t="inlineStr">
        <is>
          <t>No</t>
        </is>
      </c>
      <c r="J872" s="14" t="inlineStr">
        <is>
          <t>Catalogo</t>
        </is>
      </c>
      <c r="K872" s="14" t="inlineStr">
        <is>
          <t>3-6 anni</t>
        </is>
      </c>
      <c r="L872" s="14" t="inlineStr">
        <is>
          <t>https://www.libri.it/edmondo-natale</t>
        </is>
      </c>
      <c r="M872" s="16" t="n">
        <v>15</v>
      </c>
      <c r="N872" s="14" t="inlineStr">
        <is>
          <t>Lista titoli Logos Edizioni 2026 (PVP)</t>
        </is>
      </c>
      <c r="O872" s="16">
        <f>IF(ISNUMBER(M872),ROUND(M872*(1-Condizioni!$B$2),2),"")</f>
        <v/>
      </c>
      <c r="P872" s="17" t="inlineStr">
        <is>
          <t>No</t>
        </is>
      </c>
    </row>
    <row r="873">
      <c r="A873" s="14" t="inlineStr">
        <is>
          <t>Logos</t>
        </is>
      </c>
      <c r="B873" s="14" t="inlineStr">
        <is>
          <t>Edmondo e la Cacca Misteriosa</t>
        </is>
      </c>
      <c r="C873" s="14" t="inlineStr">
        <is>
          <t>Thibault Guichon-Laurier; ill. Frédéric Pillot</t>
        </is>
      </c>
      <c r="D873" s="14" t="inlineStr">
        <is>
          <t>Albo Ciopi</t>
        </is>
      </c>
      <c r="E873" s="14" t="inlineStr">
        <is>
          <t>da 3 anni</t>
        </is>
      </c>
      <c r="F873" s="14" t="inlineStr">
        <is>
          <t>3-6 anni</t>
        </is>
      </c>
      <c r="G873" s="14" t="inlineStr">
        <is>
          <t>Albo illustrato</t>
        </is>
      </c>
      <c r="H873" s="14" t="inlineStr"/>
      <c r="I873" s="14" t="inlineStr">
        <is>
          <t>No</t>
        </is>
      </c>
      <c r="J873" s="14" t="inlineStr">
        <is>
          <t>Catalogo</t>
        </is>
      </c>
      <c r="K873" s="14" t="inlineStr">
        <is>
          <t>3-6 anni</t>
        </is>
      </c>
      <c r="L873" s="14" t="inlineStr">
        <is>
          <t>https://www.libri.it/edmondo-cacca</t>
        </is>
      </c>
      <c r="M873" s="16" t="n">
        <v>15</v>
      </c>
      <c r="N873" s="14" t="inlineStr">
        <is>
          <t>Lista titoli Logos Edizioni 2026 (PVP)</t>
        </is>
      </c>
      <c r="O873" s="16">
        <f>IF(ISNUMBER(M873),ROUND(M873*(1-Condizioni!$B$2),2),"")</f>
        <v/>
      </c>
      <c r="P873" s="17" t="inlineStr">
        <is>
          <t>Sì</t>
        </is>
      </c>
    </row>
    <row r="874">
      <c r="A874" s="14" t="inlineStr">
        <is>
          <t>Logos</t>
        </is>
      </c>
      <c r="B874" s="14" t="inlineStr">
        <is>
          <t>Edmondo e la Sua Cuccia</t>
        </is>
      </c>
      <c r="C874" s="14" t="inlineStr">
        <is>
          <t>Thibault Guichon-Laurier; ill. Frédéric Pillot</t>
        </is>
      </c>
      <c r="D874" s="14" t="inlineStr">
        <is>
          <t>Albo Ciopi</t>
        </is>
      </c>
      <c r="E874" s="14" t="inlineStr">
        <is>
          <t>da 3 anni</t>
        </is>
      </c>
      <c r="F874" s="14" t="inlineStr">
        <is>
          <t>3-6 anni</t>
        </is>
      </c>
      <c r="G874" s="14" t="inlineStr">
        <is>
          <t>Albo illustrato</t>
        </is>
      </c>
      <c r="H874" s="14" t="inlineStr"/>
      <c r="I874" s="14" t="inlineStr">
        <is>
          <t>No</t>
        </is>
      </c>
      <c r="J874" s="14" t="inlineStr">
        <is>
          <t>Catalogo</t>
        </is>
      </c>
      <c r="K874" s="14" t="inlineStr">
        <is>
          <t>3-6 anni</t>
        </is>
      </c>
      <c r="L874" s="14" t="inlineStr">
        <is>
          <t>https://www.libri.it/edmondo-cuccia</t>
        </is>
      </c>
      <c r="M874" s="16" t="n">
        <v>15</v>
      </c>
      <c r="N874" s="14" t="inlineStr">
        <is>
          <t>Lista titoli Logos Edizioni 2026 (PVP)</t>
        </is>
      </c>
      <c r="O874" s="16">
        <f>IF(ISNUMBER(M874),ROUND(M874*(1-Condizioni!$B$2),2),"")</f>
        <v/>
      </c>
      <c r="P874" s="17" t="inlineStr">
        <is>
          <t>No</t>
        </is>
      </c>
    </row>
    <row r="875">
      <c r="A875" s="14" t="inlineStr">
        <is>
          <t>Logos</t>
        </is>
      </c>
      <c r="B875" s="14" t="inlineStr">
        <is>
          <t>Edmondo nel Santuario degli Animali</t>
        </is>
      </c>
      <c r="C875" s="14" t="inlineStr">
        <is>
          <t>Thibault Guichon-Laurier; ill. Frédéric Pillot</t>
        </is>
      </c>
      <c r="D875" s="14" t="inlineStr">
        <is>
          <t>Albo Ciopi</t>
        </is>
      </c>
      <c r="E875" s="14" t="inlineStr">
        <is>
          <t>da 3 anni</t>
        </is>
      </c>
      <c r="F875" s="14" t="inlineStr">
        <is>
          <t>3-6 anni</t>
        </is>
      </c>
      <c r="G875" s="14" t="inlineStr">
        <is>
          <t>Albo illustrato</t>
        </is>
      </c>
      <c r="H875" s="14" t="inlineStr"/>
      <c r="I875" s="14" t="inlineStr">
        <is>
          <t>No</t>
        </is>
      </c>
      <c r="J875" s="14" t="inlineStr">
        <is>
          <t>Catalogo</t>
        </is>
      </c>
      <c r="K875" s="14" t="inlineStr">
        <is>
          <t>3-6 anni</t>
        </is>
      </c>
      <c r="L875" s="14" t="inlineStr">
        <is>
          <t>https://www.libri.it/3d/anteprima/edmondosantuario/</t>
        </is>
      </c>
      <c r="M875" s="16" t="n">
        <v>15</v>
      </c>
      <c r="N875" s="14" t="inlineStr">
        <is>
          <t>Lista titoli Logos Edizioni 2026 (PVP)</t>
        </is>
      </c>
      <c r="O875" s="16">
        <f>IF(ISNUMBER(M875),ROUND(M875*(1-Condizioni!$B$2),2),"")</f>
        <v/>
      </c>
      <c r="P875" s="17" t="inlineStr">
        <is>
          <t>No</t>
        </is>
      </c>
    </row>
    <row r="876">
      <c r="A876" s="14" t="inlineStr">
        <is>
          <t>Logos</t>
        </is>
      </c>
      <c r="B876" s="14" t="inlineStr">
        <is>
          <t>Emilio Orso Verde e la Sua Banda</t>
        </is>
      </c>
      <c r="C876" s="14" t="inlineStr">
        <is>
          <t>Janosch</t>
        </is>
      </c>
      <c r="D876" s="14" t="inlineStr">
        <is>
          <t>Biblioteca Ciopi</t>
        </is>
      </c>
      <c r="E876" s="14" t="inlineStr">
        <is>
          <t>da 3 anni</t>
        </is>
      </c>
      <c r="F876" s="14" t="inlineStr">
        <is>
          <t>3-6 anni</t>
        </is>
      </c>
      <c r="G876" s="14" t="inlineStr">
        <is>
          <t>Narrativa</t>
        </is>
      </c>
      <c r="H876" s="14" t="inlineStr"/>
      <c r="I876" s="14" t="inlineStr">
        <is>
          <t>No</t>
        </is>
      </c>
      <c r="J876" s="14" t="inlineStr">
        <is>
          <t>Catalogo</t>
        </is>
      </c>
      <c r="K876" s="14" t="inlineStr">
        <is>
          <t>3-6 anni, narrativa</t>
        </is>
      </c>
      <c r="L876" s="14" t="inlineStr">
        <is>
          <t>https://www.libri.it/emilio-orso-verde-e-la-sua-banda</t>
        </is>
      </c>
      <c r="M876" s="16" t="n">
        <v>8</v>
      </c>
      <c r="N876" s="14" t="inlineStr">
        <is>
          <t>Lista titoli Logos Edizioni 2026 (PVP)</t>
        </is>
      </c>
      <c r="O876" s="16">
        <f>IF(ISNUMBER(M876),ROUND(M876*(1-Condizioni!$B$2),2),"")</f>
        <v/>
      </c>
      <c r="P876" s="17" t="inlineStr">
        <is>
          <t>No</t>
        </is>
      </c>
    </row>
    <row r="877">
      <c r="A877" s="14" t="inlineStr">
        <is>
          <t>Logos</t>
        </is>
      </c>
      <c r="B877" s="14" t="inlineStr">
        <is>
          <t>Forza Daisy!</t>
        </is>
      </c>
      <c r="C877" s="14" t="inlineStr">
        <is>
          <t>Jane Simmons</t>
        </is>
      </c>
      <c r="D877" s="14" t="inlineStr">
        <is>
          <t>Albo Ciopi</t>
        </is>
      </c>
      <c r="E877" s="14" t="inlineStr">
        <is>
          <t>da 3 anni</t>
        </is>
      </c>
      <c r="F877" s="14" t="inlineStr">
        <is>
          <t>3-6 anni</t>
        </is>
      </c>
      <c r="G877" s="14" t="inlineStr">
        <is>
          <t>Albo illustrato</t>
        </is>
      </c>
      <c r="H877" s="14" t="inlineStr"/>
      <c r="I877" s="14" t="inlineStr">
        <is>
          <t>No</t>
        </is>
      </c>
      <c r="J877" s="14" t="inlineStr">
        <is>
          <t>Catalogo</t>
        </is>
      </c>
      <c r="K877" s="14" t="inlineStr">
        <is>
          <t>3-6 anni</t>
        </is>
      </c>
      <c r="L877" s="14" t="inlineStr">
        <is>
          <t>https://www.libri.it/forza-daisy</t>
        </is>
      </c>
      <c r="M877" s="16" t="n">
        <v>17</v>
      </c>
      <c r="N877" s="14" t="inlineStr">
        <is>
          <t>Lista titoli Logos Edizioni 2026 (PVP)</t>
        </is>
      </c>
      <c r="O877" s="16">
        <f>IF(ISNUMBER(M877),ROUND(M877*(1-Condizioni!$B$2),2),"")</f>
        <v/>
      </c>
      <c r="P877" s="17" t="inlineStr">
        <is>
          <t>No</t>
        </is>
      </c>
    </row>
    <row r="878">
      <c r="A878" s="14" t="inlineStr">
        <is>
          <t>Logos</t>
        </is>
      </c>
      <c r="B878" s="14" t="inlineStr">
        <is>
          <t>Grande Festa per Piccolo Tigre</t>
        </is>
      </c>
      <c r="C878" s="14" t="inlineStr">
        <is>
          <t>Janosch</t>
        </is>
      </c>
      <c r="D878" s="14" t="inlineStr">
        <is>
          <t>Biblioteca Ciopi</t>
        </is>
      </c>
      <c r="E878" s="14" t="inlineStr">
        <is>
          <t>da 3 anni</t>
        </is>
      </c>
      <c r="F878" s="14" t="inlineStr">
        <is>
          <t>3-6 anni</t>
        </is>
      </c>
      <c r="G878" s="14" t="inlineStr">
        <is>
          <t>Narrativa</t>
        </is>
      </c>
      <c r="H878" s="14" t="inlineStr"/>
      <c r="I878" s="14" t="inlineStr">
        <is>
          <t>No</t>
        </is>
      </c>
      <c r="J878" s="14" t="inlineStr">
        <is>
          <t>Catalogo</t>
        </is>
      </c>
      <c r="K878" s="14" t="inlineStr">
        <is>
          <t>3-6 anni, narrativa</t>
        </is>
      </c>
      <c r="L878" s="14" t="inlineStr">
        <is>
          <t>https://www.libri.it/grande-festa-per-piccolo-tigre</t>
        </is>
      </c>
      <c r="M878" s="16" t="n">
        <v>8</v>
      </c>
      <c r="N878" s="14" t="inlineStr">
        <is>
          <t>Lista titoli Logos Edizioni 2026 (PVP)</t>
        </is>
      </c>
      <c r="O878" s="16">
        <f>IF(ISNUMBER(M878),ROUND(M878*(1-Condizioni!$B$2),2),"")</f>
        <v/>
      </c>
      <c r="P878" s="17" t="inlineStr">
        <is>
          <t>No</t>
        </is>
      </c>
    </row>
    <row r="879">
      <c r="A879" s="14" t="inlineStr">
        <is>
          <t>Logos</t>
        </is>
      </c>
      <c r="B879" s="14" t="inlineStr">
        <is>
          <t>I Dudù Dove Vanno Quando Muoiono?</t>
        </is>
      </c>
      <c r="C879" s="14" t="inlineStr">
        <is>
          <t>Laurence Salaün; ill. Gilles Rapaport</t>
        </is>
      </c>
      <c r="D879" s="14" t="inlineStr">
        <is>
          <t>Fumetto Ciopi</t>
        </is>
      </c>
      <c r="E879" s="14" t="inlineStr">
        <is>
          <t>da 3 anni</t>
        </is>
      </c>
      <c r="F879" s="14" t="inlineStr">
        <is>
          <t>3-6 anni</t>
        </is>
      </c>
      <c r="G879" s="14" t="inlineStr">
        <is>
          <t>Graphic novel/Fumetto</t>
        </is>
      </c>
      <c r="H879" s="14" t="inlineStr"/>
      <c r="I879" s="14" t="inlineStr">
        <is>
          <t>No</t>
        </is>
      </c>
      <c r="J879" s="14" t="inlineStr">
        <is>
          <t>Catalogo</t>
        </is>
      </c>
      <c r="K879" s="14" t="inlineStr">
        <is>
          <t>3-6 anni</t>
        </is>
      </c>
      <c r="L879" s="14" t="inlineStr">
        <is>
          <t>https://www.libri.it/dove-vanno-i-dudu-quando-muoiono</t>
        </is>
      </c>
      <c r="M879" s="16" t="n">
        <v>10</v>
      </c>
      <c r="N879" s="14" t="inlineStr">
        <is>
          <t>Lista titoli Logos Edizioni 2026 (PVP)</t>
        </is>
      </c>
      <c r="O879" s="16">
        <f>IF(ISNUMBER(M879),ROUND(M879*(1-Condizioni!$B$2),2),"")</f>
        <v/>
      </c>
      <c r="P879" s="17" t="inlineStr">
        <is>
          <t>No</t>
        </is>
      </c>
    </row>
    <row r="880">
      <c r="A880" s="14" t="inlineStr">
        <is>
          <t>Logos</t>
        </is>
      </c>
      <c r="B880" s="14" t="inlineStr">
        <is>
          <t>I Dudù Si Fidanzano?</t>
        </is>
      </c>
      <c r="C880" s="14" t="inlineStr">
        <is>
          <t>Laurence Salaün; ill. Gilles Rapaport</t>
        </is>
      </c>
      <c r="D880" s="14" t="inlineStr">
        <is>
          <t>Fumetto Ciopi</t>
        </is>
      </c>
      <c r="E880" s="14" t="inlineStr">
        <is>
          <t>da 3 anni</t>
        </is>
      </c>
      <c r="F880" s="14" t="inlineStr">
        <is>
          <t>3-6 anni</t>
        </is>
      </c>
      <c r="G880" s="14" t="inlineStr">
        <is>
          <t>Graphic novel/Fumetto</t>
        </is>
      </c>
      <c r="H880" s="14" t="inlineStr"/>
      <c r="I880" s="14" t="inlineStr">
        <is>
          <t>No</t>
        </is>
      </c>
      <c r="J880" s="14" t="inlineStr">
        <is>
          <t>Catalogo</t>
        </is>
      </c>
      <c r="K880" s="14" t="inlineStr">
        <is>
          <t>3-6 anni</t>
        </is>
      </c>
      <c r="L880" s="14" t="inlineStr">
        <is>
          <t>https://www.libri.it/dudu-si-fidanzano</t>
        </is>
      </c>
      <c r="M880" s="16" t="n">
        <v>10</v>
      </c>
      <c r="N880" s="14" t="inlineStr">
        <is>
          <t>Lista titoli Logos Edizioni 2026 (PVP)</t>
        </is>
      </c>
      <c r="O880" s="16">
        <f>IF(ISNUMBER(M880),ROUND(M880*(1-Condizioni!$B$2),2),"")</f>
        <v/>
      </c>
      <c r="P880" s="17" t="inlineStr">
        <is>
          <t>No</t>
        </is>
      </c>
    </row>
    <row r="881">
      <c r="A881" s="14" t="inlineStr">
        <is>
          <t>Logos</t>
        </is>
      </c>
      <c r="B881" s="14" t="inlineStr">
        <is>
          <t>I Dudù Vanno a Scuola?</t>
        </is>
      </c>
      <c r="C881" s="14" t="inlineStr">
        <is>
          <t>Laurence Salaün; ill. Gilles Rapaport</t>
        </is>
      </c>
      <c r="D881" s="14" t="inlineStr">
        <is>
          <t>Fumetto Ciopi</t>
        </is>
      </c>
      <c r="E881" s="14" t="inlineStr">
        <is>
          <t>da 3 anni</t>
        </is>
      </c>
      <c r="F881" s="14" t="inlineStr">
        <is>
          <t>3-6 anni</t>
        </is>
      </c>
      <c r="G881" s="14" t="inlineStr">
        <is>
          <t>Graphic novel/Fumetto</t>
        </is>
      </c>
      <c r="H881" s="14" t="inlineStr"/>
      <c r="I881" s="14" t="inlineStr">
        <is>
          <t>No</t>
        </is>
      </c>
      <c r="J881" s="14" t="inlineStr">
        <is>
          <t>Catalogo</t>
        </is>
      </c>
      <c r="K881" s="14" t="inlineStr">
        <is>
          <t>3-6 anni</t>
        </is>
      </c>
      <c r="L881" s="14" t="inlineStr">
        <is>
          <t>https://www.libri.it/dudu-vanno-a-scuola</t>
        </is>
      </c>
      <c r="M881" s="16" t="n">
        <v>10</v>
      </c>
      <c r="N881" s="14" t="inlineStr">
        <is>
          <t>Lista titoli Logos Edizioni 2026 (PVP)</t>
        </is>
      </c>
      <c r="O881" s="16">
        <f>IF(ISNUMBER(M881),ROUND(M881*(1-Condizioni!$B$2),2),"")</f>
        <v/>
      </c>
      <c r="P881" s="17" t="inlineStr">
        <is>
          <t>No</t>
        </is>
      </c>
    </row>
    <row r="882">
      <c r="A882" s="14" t="inlineStr">
        <is>
          <t>Logos</t>
        </is>
      </c>
      <c r="B882" s="14" t="inlineStr">
        <is>
          <t>Icosachi e Cappuccetto Giallo</t>
        </is>
      </c>
      <c r="C882" s="14" t="inlineStr">
        <is>
          <t>Laurent Rivelaygue; ill. Olivier Tallec</t>
        </is>
      </c>
      <c r="D882" s="14" t="inlineStr">
        <is>
          <t>Fumetto Ciopi</t>
        </is>
      </c>
      <c r="E882" s="14" t="inlineStr">
        <is>
          <t>da 3 anni</t>
        </is>
      </c>
      <c r="F882" s="14" t="inlineStr">
        <is>
          <t>3-6 anni</t>
        </is>
      </c>
      <c r="G882" s="14" t="inlineStr">
        <is>
          <t>Graphic novel/Fumetto</t>
        </is>
      </c>
      <c r="H882" s="14" t="inlineStr"/>
      <c r="I882" s="14" t="inlineStr">
        <is>
          <t>No</t>
        </is>
      </c>
      <c r="J882" s="14" t="inlineStr">
        <is>
          <t>Catalogo</t>
        </is>
      </c>
      <c r="K882" s="14" t="inlineStr">
        <is>
          <t>3-6 anni</t>
        </is>
      </c>
      <c r="L882" s="14" t="inlineStr">
        <is>
          <t>https://www.libri.it/3d/anteprima/icosachicappuccetto/</t>
        </is>
      </c>
      <c r="M882" s="16" t="n">
        <v>12</v>
      </c>
      <c r="N882" s="14" t="inlineStr">
        <is>
          <t>Lista titoli Logos Edizioni 2026 (PVP)</t>
        </is>
      </c>
      <c r="O882" s="16">
        <f>IF(ISNUMBER(M882),ROUND(M882*(1-Condizioni!$B$2),2),"")</f>
        <v/>
      </c>
      <c r="P882" s="17" t="inlineStr">
        <is>
          <t>No</t>
        </is>
      </c>
    </row>
    <row r="883">
      <c r="A883" s="14" t="inlineStr">
        <is>
          <t>Logos</t>
        </is>
      </c>
      <c r="B883" s="14" t="inlineStr">
        <is>
          <t>Icosachi e il Cane Brutto che non Voleva Nessuno</t>
        </is>
      </c>
      <c r="C883" s="14" t="inlineStr">
        <is>
          <t>Laurent Rivelaygue; ill. Olivier Tallec</t>
        </is>
      </c>
      <c r="D883" s="14" t="inlineStr">
        <is>
          <t>Fumetto Ciopi</t>
        </is>
      </c>
      <c r="E883" s="14" t="inlineStr">
        <is>
          <t>da 3 anni</t>
        </is>
      </c>
      <c r="F883" s="14" t="inlineStr">
        <is>
          <t>3-6 anni</t>
        </is>
      </c>
      <c r="G883" s="14" t="inlineStr">
        <is>
          <t>Graphic novel/Fumetto</t>
        </is>
      </c>
      <c r="H883" s="14" t="inlineStr"/>
      <c r="I883" s="14" t="inlineStr">
        <is>
          <t>No</t>
        </is>
      </c>
      <c r="J883" s="14" t="inlineStr">
        <is>
          <t>Catalogo</t>
        </is>
      </c>
      <c r="K883" s="14" t="inlineStr">
        <is>
          <t>3-6 anni</t>
        </is>
      </c>
      <c r="L883" s="14" t="inlineStr">
        <is>
          <t>https://www.libri.it/3d/anteprima/icosachicane/</t>
        </is>
      </c>
      <c r="M883" s="16" t="n">
        <v>12</v>
      </c>
      <c r="N883" s="14" t="inlineStr">
        <is>
          <t>Lista titoli Logos Edizioni 2026 (PVP)</t>
        </is>
      </c>
      <c r="O883" s="16">
        <f>IF(ISNUMBER(M883),ROUND(M883*(1-Condizioni!$B$2),2),"")</f>
        <v/>
      </c>
      <c r="P883" s="17" t="inlineStr">
        <is>
          <t>No</t>
        </is>
      </c>
    </row>
    <row r="884">
      <c r="A884" s="14" t="inlineStr">
        <is>
          <t>Logos</t>
        </is>
      </c>
      <c r="B884" s="14" t="inlineStr">
        <is>
          <t>Icosachi e il Pupazzo di Neve che non Voleva Sciogliersi</t>
        </is>
      </c>
      <c r="C884" s="14" t="inlineStr">
        <is>
          <t>Laurent Rivelaygue; ill. Olivier Tallec</t>
        </is>
      </c>
      <c r="D884" s="14" t="inlineStr">
        <is>
          <t>Fumetto Ciopi</t>
        </is>
      </c>
      <c r="E884" s="14" t="inlineStr">
        <is>
          <t>da 3 anni</t>
        </is>
      </c>
      <c r="F884" s="14" t="inlineStr">
        <is>
          <t>3-6 anni</t>
        </is>
      </c>
      <c r="G884" s="14" t="inlineStr">
        <is>
          <t>Graphic novel/Fumetto</t>
        </is>
      </c>
      <c r="H884" s="14" t="inlineStr"/>
      <c r="I884" s="14" t="inlineStr">
        <is>
          <t>No</t>
        </is>
      </c>
      <c r="J884" s="14" t="inlineStr">
        <is>
          <t>Catalogo</t>
        </is>
      </c>
      <c r="K884" s="14" t="inlineStr">
        <is>
          <t>3-6 anni</t>
        </is>
      </c>
      <c r="L884" s="14" t="inlineStr">
        <is>
          <t>https://www.libri.it/pupazzo-di-neve</t>
        </is>
      </c>
      <c r="M884" s="16" t="n">
        <v>12</v>
      </c>
      <c r="N884" s="14" t="inlineStr">
        <is>
          <t>Lista titoli Logos Edizioni 2026 (PVP)</t>
        </is>
      </c>
      <c r="O884" s="16">
        <f>IF(ISNUMBER(M884),ROUND(M884*(1-Condizioni!$B$2),2),"")</f>
        <v/>
      </c>
      <c r="P884" s="17" t="inlineStr">
        <is>
          <t>No</t>
        </is>
      </c>
    </row>
    <row r="885">
      <c r="A885" s="14" t="inlineStr">
        <is>
          <t>Logos</t>
        </is>
      </c>
      <c r="B885" s="14" t="inlineStr">
        <is>
          <t>Icosachi e la (quasi) Vera Storia di Halloween</t>
        </is>
      </c>
      <c r="C885" s="14" t="inlineStr">
        <is>
          <t>Laurent Rivelaygue; ill. Olivier Tallec</t>
        </is>
      </c>
      <c r="D885" s="14" t="inlineStr">
        <is>
          <t>Fumetto Ciopi</t>
        </is>
      </c>
      <c r="E885" s="14" t="inlineStr">
        <is>
          <t>da 3 anni</t>
        </is>
      </c>
      <c r="F885" s="14" t="inlineStr">
        <is>
          <t>3-6 anni</t>
        </is>
      </c>
      <c r="G885" s="14" t="inlineStr">
        <is>
          <t>Graphic novel/Fumetto</t>
        </is>
      </c>
      <c r="H885" s="14" t="inlineStr"/>
      <c r="I885" s="14" t="inlineStr">
        <is>
          <t>No</t>
        </is>
      </c>
      <c r="J885" s="14" t="inlineStr">
        <is>
          <t>Catalogo</t>
        </is>
      </c>
      <c r="K885" s="14" t="inlineStr">
        <is>
          <t>3-6 anni</t>
        </is>
      </c>
      <c r="L885" s="14" t="inlineStr">
        <is>
          <t>https://www.libri.it/storia-halloween</t>
        </is>
      </c>
      <c r="M885" s="16" t="n">
        <v>12</v>
      </c>
      <c r="N885" s="14" t="inlineStr">
        <is>
          <t>Lista titoli Logos Edizioni 2026 (PVP)</t>
        </is>
      </c>
      <c r="O885" s="16">
        <f>IF(ISNUMBER(M885),ROUND(M885*(1-Condizioni!$B$2),2),"")</f>
        <v/>
      </c>
      <c r="P885" s="17" t="inlineStr">
        <is>
          <t>No</t>
        </is>
      </c>
    </row>
    <row r="886">
      <c r="A886" s="14" t="inlineStr">
        <is>
          <t>Logos</t>
        </is>
      </c>
      <c r="B886" s="14" t="inlineStr">
        <is>
          <t>Icosachi e la Strana Casa che non la Smetteva di Crescere</t>
        </is>
      </c>
      <c r="C886" s="14" t="inlineStr">
        <is>
          <t>Laurent Rivelaygue; ill. Olivier Tallec</t>
        </is>
      </c>
      <c r="D886" s="14" t="inlineStr">
        <is>
          <t>Fumetto Ciopi</t>
        </is>
      </c>
      <c r="E886" s="14" t="inlineStr">
        <is>
          <t>da 3 anni</t>
        </is>
      </c>
      <c r="F886" s="14" t="inlineStr">
        <is>
          <t>3-6 anni</t>
        </is>
      </c>
      <c r="G886" s="14" t="inlineStr">
        <is>
          <t>Graphic novel/Fumetto</t>
        </is>
      </c>
      <c r="H886" s="14" t="inlineStr"/>
      <c r="I886" s="14" t="inlineStr">
        <is>
          <t>No</t>
        </is>
      </c>
      <c r="J886" s="14" t="inlineStr">
        <is>
          <t>Catalogo</t>
        </is>
      </c>
      <c r="K886" s="14" t="inlineStr">
        <is>
          <t>3-6 anni</t>
        </is>
      </c>
      <c r="L886" s="14" t="inlineStr">
        <is>
          <t>https://www.libri.it/icosachi-e-la-strana-casa</t>
        </is>
      </c>
      <c r="M886" s="16" t="n">
        <v>12</v>
      </c>
      <c r="N886" s="14" t="inlineStr">
        <is>
          <t>Lista titoli Logos Edizioni 2026 (PVP)</t>
        </is>
      </c>
      <c r="O886" s="16">
        <f>IF(ISNUMBER(M886),ROUND(M886*(1-Condizioni!$B$2),2),"")</f>
        <v/>
      </c>
      <c r="P886" s="17" t="inlineStr">
        <is>
          <t>No</t>
        </is>
      </c>
    </row>
    <row r="887">
      <c r="A887" s="14" t="inlineStr">
        <is>
          <t>Logos</t>
        </is>
      </c>
      <c r="B887" s="14" t="inlineStr">
        <is>
          <t>Icosachi e la Strana Strega Caduta Dal Cielo</t>
        </is>
      </c>
      <c r="C887" s="14" t="inlineStr">
        <is>
          <t>Laurent Rivelaygue; ill. Olivier Tallec</t>
        </is>
      </c>
      <c r="D887" s="14" t="inlineStr">
        <is>
          <t>Fumetto Ciopi</t>
        </is>
      </c>
      <c r="E887" s="14" t="inlineStr">
        <is>
          <t>da 3 anni</t>
        </is>
      </c>
      <c r="F887" s="14" t="inlineStr">
        <is>
          <t>3-6 anni</t>
        </is>
      </c>
      <c r="G887" s="14" t="inlineStr">
        <is>
          <t>Graphic novel/Fumetto</t>
        </is>
      </c>
      <c r="H887" s="14" t="inlineStr"/>
      <c r="I887" s="14" t="inlineStr">
        <is>
          <t>No</t>
        </is>
      </c>
      <c r="J887" s="14" t="inlineStr">
        <is>
          <t>Catalogo</t>
        </is>
      </c>
      <c r="K887" s="14" t="inlineStr">
        <is>
          <t>3-6 anni</t>
        </is>
      </c>
      <c r="L887" s="14" t="inlineStr">
        <is>
          <t>https://www.libri.it/icosachi-e-la-strana-strega-caduta-dal-cielo</t>
        </is>
      </c>
      <c r="M887" s="16" t="n">
        <v>12</v>
      </c>
      <c r="N887" s="14" t="inlineStr">
        <is>
          <t>Lista titoli Logos Edizioni 2026 (PVP)</t>
        </is>
      </c>
      <c r="O887" s="16">
        <f>IF(ISNUMBER(M887),ROUND(M887*(1-Condizioni!$B$2),2),"")</f>
        <v/>
      </c>
      <c r="P887" s="17" t="inlineStr">
        <is>
          <t>No</t>
        </is>
      </c>
    </row>
    <row r="888">
      <c r="A888" s="14" t="inlineStr">
        <is>
          <t>Logos</t>
        </is>
      </c>
      <c r="B888" s="14" t="inlineStr">
        <is>
          <t>Il Bacio</t>
        </is>
      </c>
      <c r="C888" s="14" t="inlineStr">
        <is>
          <t>Didier Lévy; ill. Gilles Rapaport</t>
        </is>
      </c>
      <c r="D888" s="14" t="inlineStr">
        <is>
          <t>Biblioteca Ciopi</t>
        </is>
      </c>
      <c r="E888" s="14" t="inlineStr">
        <is>
          <t>da 3 anni</t>
        </is>
      </c>
      <c r="F888" s="14" t="inlineStr">
        <is>
          <t>3-6 anni</t>
        </is>
      </c>
      <c r="G888" s="14" t="inlineStr">
        <is>
          <t>Narrativa</t>
        </is>
      </c>
      <c r="H888" s="14" t="inlineStr"/>
      <c r="I888" s="14" t="inlineStr">
        <is>
          <t>No</t>
        </is>
      </c>
      <c r="J888" s="14" t="inlineStr">
        <is>
          <t>Catalogo</t>
        </is>
      </c>
      <c r="K888" s="14" t="inlineStr">
        <is>
          <t>3-6 anni, narrativa</t>
        </is>
      </c>
      <c r="L888" s="14" t="inlineStr">
        <is>
          <t>https://www.libri.it/il-bacio</t>
        </is>
      </c>
      <c r="M888" s="16" t="n">
        <v>8</v>
      </c>
      <c r="N888" s="14" t="inlineStr">
        <is>
          <t>Lista titoli Logos Edizioni 2026 (PVP)</t>
        </is>
      </c>
      <c r="O888" s="16">
        <f>IF(ISNUMBER(M888),ROUND(M888*(1-Condizioni!$B$2),2),"")</f>
        <v/>
      </c>
      <c r="P888" s="17" t="inlineStr">
        <is>
          <t>No</t>
        </is>
      </c>
    </row>
    <row r="889">
      <c r="A889" s="14" t="inlineStr">
        <is>
          <t>Logos</t>
        </is>
      </c>
      <c r="B889" s="14" t="inlineStr">
        <is>
          <t>Il Canzoniere della Ciopi</t>
        </is>
      </c>
      <c r="C889" s="14" t="inlineStr">
        <is>
          <t>Aa.Vv; ill. Roger Olmos</t>
        </is>
      </c>
      <c r="D889" s="14" t="inlineStr">
        <is>
          <t>Ciopilopini</t>
        </is>
      </c>
      <c r="E889" s="14" t="inlineStr">
        <is>
          <t>da 3 anni</t>
        </is>
      </c>
      <c r="F889" s="14" t="inlineStr">
        <is>
          <t>3-6 anni</t>
        </is>
      </c>
      <c r="G889" s="14" t="inlineStr">
        <is>
          <t>Albo illustrato</t>
        </is>
      </c>
      <c r="H889" s="14" t="inlineStr"/>
      <c r="I889" s="14" t="inlineStr">
        <is>
          <t>No</t>
        </is>
      </c>
      <c r="J889" s="14" t="inlineStr">
        <is>
          <t>Catalogo</t>
        </is>
      </c>
      <c r="K889" s="14" t="inlineStr">
        <is>
          <t>3-6 anni</t>
        </is>
      </c>
      <c r="L889" s="14" t="inlineStr">
        <is>
          <t>https://www.libri.it/canzoniere-della-ciopi</t>
        </is>
      </c>
      <c r="M889" s="16" t="n">
        <v>12</v>
      </c>
      <c r="N889" s="14" t="inlineStr">
        <is>
          <t>Lista titoli Logos Edizioni 2026 (PVP)</t>
        </is>
      </c>
      <c r="O889" s="16">
        <f>IF(ISNUMBER(M889),ROUND(M889*(1-Condizioni!$B$2),2),"")</f>
        <v/>
      </c>
      <c r="P889" s="17" t="inlineStr">
        <is>
          <t>No</t>
        </is>
      </c>
    </row>
    <row r="890">
      <c r="A890" s="14" t="inlineStr">
        <is>
          <t>Logos</t>
        </is>
      </c>
      <c r="B890" s="14" t="inlineStr">
        <is>
          <t>Il Lupo che Aveva Paura di Tutto</t>
        </is>
      </c>
      <c r="C890" s="14" t="inlineStr">
        <is>
          <t>Ann Rocard; ill. Israel Barrón</t>
        </is>
      </c>
      <c r="D890" s="14" t="inlineStr">
        <is>
          <t>Biblioteca Ciopi</t>
        </is>
      </c>
      <c r="E890" s="14" t="inlineStr">
        <is>
          <t>da 3 anni</t>
        </is>
      </c>
      <c r="F890" s="14" t="inlineStr">
        <is>
          <t>3-6 anni</t>
        </is>
      </c>
      <c r="G890" s="14" t="inlineStr">
        <is>
          <t>Narrativa</t>
        </is>
      </c>
      <c r="H890" s="14" t="inlineStr"/>
      <c r="I890" s="14" t="inlineStr">
        <is>
          <t>No</t>
        </is>
      </c>
      <c r="J890" s="14" t="inlineStr">
        <is>
          <t>Catalogo</t>
        </is>
      </c>
      <c r="K890" s="14" t="inlineStr">
        <is>
          <t>3-6 anni, narrativa</t>
        </is>
      </c>
      <c r="L890" s="14" t="inlineStr">
        <is>
          <t>https://www.libri.it/il-lupo-che-aveva-paura-di-tutto</t>
        </is>
      </c>
      <c r="M890" s="16" t="n">
        <v>8</v>
      </c>
      <c r="N890" s="14" t="inlineStr">
        <is>
          <t>Lista titoli Logos Edizioni 2026 (PVP)</t>
        </is>
      </c>
      <c r="O890" s="16">
        <f>IF(ISNUMBER(M890),ROUND(M890*(1-Condizioni!$B$2),2),"")</f>
        <v/>
      </c>
      <c r="P890" s="17" t="inlineStr">
        <is>
          <t>No</t>
        </is>
      </c>
    </row>
    <row r="891">
      <c r="A891" s="14" t="inlineStr">
        <is>
          <t>Logos</t>
        </is>
      </c>
      <c r="B891" s="14" t="inlineStr">
        <is>
          <t>Il Pozzo dei Desideri</t>
        </is>
      </c>
      <c r="C891" s="14" t="inlineStr">
        <is>
          <t>Lawrence Schimel; ill. Israel Barrón</t>
        </is>
      </c>
      <c r="D891" s="14" t="inlineStr">
        <is>
          <t>Biblioteca Ciopi</t>
        </is>
      </c>
      <c r="E891" s="14" t="inlineStr">
        <is>
          <t>da 3 anni</t>
        </is>
      </c>
      <c r="F891" s="14" t="inlineStr">
        <is>
          <t>3-6 anni</t>
        </is>
      </c>
      <c r="G891" s="14" t="inlineStr">
        <is>
          <t>Narrativa</t>
        </is>
      </c>
      <c r="H891" s="14" t="inlineStr"/>
      <c r="I891" s="14" t="inlineStr">
        <is>
          <t>No</t>
        </is>
      </c>
      <c r="J891" s="14" t="inlineStr">
        <is>
          <t>Catalogo</t>
        </is>
      </c>
      <c r="K891" s="14" t="inlineStr">
        <is>
          <t>3-6 anni, narrativa</t>
        </is>
      </c>
      <c r="L891" s="14" t="inlineStr">
        <is>
          <t>https://www.libri.it/pozzo-dei-desideri</t>
        </is>
      </c>
      <c r="M891" s="16" t="n">
        <v>11</v>
      </c>
      <c r="N891" s="14" t="inlineStr">
        <is>
          <t>Lista titoli Logos Edizioni 2026 (PVP)</t>
        </is>
      </c>
      <c r="O891" s="16">
        <f>IF(ISNUMBER(M891),ROUND(M891*(1-Condizioni!$B$2),2),"")</f>
        <v/>
      </c>
      <c r="P891" s="17" t="inlineStr">
        <is>
          <t>No</t>
        </is>
      </c>
    </row>
    <row r="892">
      <c r="A892" s="14" t="inlineStr">
        <is>
          <t>Logos</t>
        </is>
      </c>
      <c r="B892" s="14" t="inlineStr">
        <is>
          <t>Il Riposino</t>
        </is>
      </c>
      <c r="C892" s="14" t="inlineStr">
        <is>
          <t>Camille Romanetto</t>
        </is>
      </c>
      <c r="D892" s="14" t="inlineStr">
        <is>
          <t>Ipinipini</t>
        </is>
      </c>
      <c r="E892" s="14" t="inlineStr">
        <is>
          <t>da 3 anni</t>
        </is>
      </c>
      <c r="F892" s="14" t="inlineStr">
        <is>
          <t>3-6 anni</t>
        </is>
      </c>
      <c r="G892" s="14" t="inlineStr">
        <is>
          <t>Albo illustrato</t>
        </is>
      </c>
      <c r="H892" s="14" t="inlineStr"/>
      <c r="I892" s="14" t="inlineStr">
        <is>
          <t>No</t>
        </is>
      </c>
      <c r="J892" s="14" t="inlineStr">
        <is>
          <t>Catalogo</t>
        </is>
      </c>
      <c r="K892" s="14" t="inlineStr">
        <is>
          <t>3-6 anni</t>
        </is>
      </c>
      <c r="L892" s="14" t="inlineStr">
        <is>
          <t>https://www.libri.it/il-riposino</t>
        </is>
      </c>
      <c r="M892" s="16" t="n">
        <v>12</v>
      </c>
      <c r="N892" s="14" t="inlineStr">
        <is>
          <t>Lista titoli Logos Edizioni 2026 (PVP)</t>
        </is>
      </c>
      <c r="O892" s="16">
        <f>IF(ISNUMBER(M892),ROUND(M892*(1-Condizioni!$B$2),2),"")</f>
        <v/>
      </c>
      <c r="P892" s="17" t="inlineStr">
        <is>
          <t>No</t>
        </is>
      </c>
    </row>
    <row r="893">
      <c r="A893" s="14" t="inlineStr">
        <is>
          <t>Logos</t>
        </is>
      </c>
      <c r="B893" s="14" t="inlineStr">
        <is>
          <t>In Tre nel Lettone</t>
        </is>
      </c>
      <c r="C893" s="14" t="inlineStr">
        <is>
          <t>Yolanda Reyes; ill. Ivar da Col</t>
        </is>
      </c>
      <c r="D893" s="14" t="inlineStr">
        <is>
          <t>Biblioteca Ciopi</t>
        </is>
      </c>
      <c r="E893" s="14" t="inlineStr">
        <is>
          <t>da 3 anni</t>
        </is>
      </c>
      <c r="F893" s="14" t="inlineStr">
        <is>
          <t>3-6 anni</t>
        </is>
      </c>
      <c r="G893" s="14" t="inlineStr">
        <is>
          <t>Narrativa</t>
        </is>
      </c>
      <c r="H893" s="14" t="inlineStr"/>
      <c r="I893" s="14" t="inlineStr">
        <is>
          <t>No</t>
        </is>
      </c>
      <c r="J893" s="14" t="inlineStr">
        <is>
          <t>Catalogo</t>
        </is>
      </c>
      <c r="K893" s="14" t="inlineStr">
        <is>
          <t>3-6 anni, narrativa</t>
        </is>
      </c>
      <c r="L893" s="14" t="inlineStr">
        <is>
          <t>https://www.libri.it/in-tre-nel-lettone</t>
        </is>
      </c>
      <c r="M893" s="16" t="n">
        <v>8</v>
      </c>
      <c r="N893" s="14" t="inlineStr">
        <is>
          <t>Lista titoli Logos Edizioni 2026 (PVP)</t>
        </is>
      </c>
      <c r="O893" s="16">
        <f>IF(ISNUMBER(M893),ROUND(M893*(1-Condizioni!$B$2),2),"")</f>
        <v/>
      </c>
      <c r="P893" s="17" t="inlineStr">
        <is>
          <t>No</t>
        </is>
      </c>
    </row>
    <row r="894">
      <c r="A894" s="14" t="inlineStr">
        <is>
          <t>Logos</t>
        </is>
      </c>
      <c r="B894" s="14" t="inlineStr">
        <is>
          <t>Io non Mangerò Mai un Pomodoro</t>
        </is>
      </c>
      <c r="C894" s="14" t="inlineStr">
        <is>
          <t>Lauren Child</t>
        </is>
      </c>
      <c r="D894" s="14" t="inlineStr">
        <is>
          <t>Albo Ciopi</t>
        </is>
      </c>
      <c r="E894" s="14" t="inlineStr">
        <is>
          <t>da 3 anni</t>
        </is>
      </c>
      <c r="F894" s="14" t="inlineStr">
        <is>
          <t>3-6 anni</t>
        </is>
      </c>
      <c r="G894" s="14" t="inlineStr">
        <is>
          <t>Albo illustrato</t>
        </is>
      </c>
      <c r="H894" s="14" t="inlineStr"/>
      <c r="I894" s="14" t="inlineStr">
        <is>
          <t>No</t>
        </is>
      </c>
      <c r="J894" s="14" t="inlineStr">
        <is>
          <t>Catalogo</t>
        </is>
      </c>
      <c r="K894" s="14" t="inlineStr">
        <is>
          <t>3-6 anni</t>
        </is>
      </c>
      <c r="L894" s="14" t="inlineStr">
        <is>
          <t>https://www.libri.it/non-mangero-mai-un-pomodoro</t>
        </is>
      </c>
      <c r="M894" s="16" t="n">
        <v>16.5</v>
      </c>
      <c r="N894" s="14" t="inlineStr">
        <is>
          <t>Lista titoli Logos Edizioni 2026 (PVP)</t>
        </is>
      </c>
      <c r="O894" s="16">
        <f>IF(ISNUMBER(M894),ROUND(M894*(1-Condizioni!$B$2),2),"")</f>
        <v/>
      </c>
      <c r="P894" s="17" t="inlineStr">
        <is>
          <t>No</t>
        </is>
      </c>
    </row>
    <row r="895">
      <c r="A895" s="14" t="inlineStr">
        <is>
          <t>Logos</t>
        </is>
      </c>
      <c r="B895" s="14" t="inlineStr">
        <is>
          <t>La Famiglia Volpitassi 1 – l’Incontro</t>
        </is>
      </c>
      <c r="C895" s="14" t="inlineStr">
        <is>
          <t>Brigitte Luciani; ill. Eve Tharlet</t>
        </is>
      </c>
      <c r="D895" s="14" t="inlineStr">
        <is>
          <t>Fumetto Ciopi</t>
        </is>
      </c>
      <c r="E895" s="14" t="inlineStr">
        <is>
          <t>da 3 anni</t>
        </is>
      </c>
      <c r="F895" s="14" t="inlineStr">
        <is>
          <t>3-6 anni</t>
        </is>
      </c>
      <c r="G895" s="14" t="inlineStr">
        <is>
          <t>Graphic novel/Fumetto</t>
        </is>
      </c>
      <c r="H895" s="14" t="inlineStr"/>
      <c r="I895" s="14" t="inlineStr">
        <is>
          <t>No</t>
        </is>
      </c>
      <c r="J895" s="14" t="inlineStr">
        <is>
          <t>Catalogo</t>
        </is>
      </c>
      <c r="K895" s="14" t="inlineStr">
        <is>
          <t>3-6 anni</t>
        </is>
      </c>
      <c r="L895" s="14" t="inlineStr">
        <is>
          <t>https://www.libri.it/volpitassi-1</t>
        </is>
      </c>
      <c r="M895" s="16" t="n">
        <v>12</v>
      </c>
      <c r="N895" s="14" t="inlineStr">
        <is>
          <t>Lista titoli Logos Edizioni 2026 (PVP)</t>
        </is>
      </c>
      <c r="O895" s="16">
        <f>IF(ISNUMBER(M895),ROUND(M895*(1-Condizioni!$B$2),2),"")</f>
        <v/>
      </c>
      <c r="P895" s="17" t="inlineStr">
        <is>
          <t>Sì</t>
        </is>
      </c>
    </row>
    <row r="896">
      <c r="A896" s="14" t="inlineStr">
        <is>
          <t>Logos</t>
        </is>
      </c>
      <c r="B896" s="14" t="inlineStr">
        <is>
          <t>La Famiglia Volpitassi 2 - che Confusione!</t>
        </is>
      </c>
      <c r="C896" s="14" t="inlineStr">
        <is>
          <t>Brigitte Luciani; ill. Eve Tharlet</t>
        </is>
      </c>
      <c r="D896" s="14" t="inlineStr">
        <is>
          <t>Fumetto Ciopi</t>
        </is>
      </c>
      <c r="E896" s="14" t="inlineStr">
        <is>
          <t>da 3 anni</t>
        </is>
      </c>
      <c r="F896" s="14" t="inlineStr">
        <is>
          <t>3-6 anni</t>
        </is>
      </c>
      <c r="G896" s="14" t="inlineStr">
        <is>
          <t>Graphic novel/Fumetto</t>
        </is>
      </c>
      <c r="H896" s="14" t="inlineStr"/>
      <c r="I896" s="14" t="inlineStr">
        <is>
          <t>No</t>
        </is>
      </c>
      <c r="J896" s="14" t="inlineStr">
        <is>
          <t>Catalogo</t>
        </is>
      </c>
      <c r="K896" s="14" t="inlineStr">
        <is>
          <t>3-6 anni</t>
        </is>
      </c>
      <c r="L896" s="14" t="inlineStr">
        <is>
          <t>https://www.libri.it/volpitassi-che-confusione</t>
        </is>
      </c>
      <c r="M896" s="16" t="n">
        <v>14</v>
      </c>
      <c r="N896" s="14" t="inlineStr">
        <is>
          <t>Lista titoli Logos Edizioni 2026 (PVP)</t>
        </is>
      </c>
      <c r="O896" s="16">
        <f>IF(ISNUMBER(M896),ROUND(M896*(1-Condizioni!$B$2),2),"")</f>
        <v/>
      </c>
      <c r="P896" s="17" t="inlineStr">
        <is>
          <t>No</t>
        </is>
      </c>
    </row>
    <row r="897">
      <c r="A897" s="14" t="inlineStr">
        <is>
          <t>Logos</t>
        </is>
      </c>
      <c r="B897" s="14" t="inlineStr">
        <is>
          <t>La Famiglia Volpitassi 3 che Squadra</t>
        </is>
      </c>
      <c r="C897" s="14" t="inlineStr">
        <is>
          <t>Brigitte Luciani; ill. Eve Tharlet</t>
        </is>
      </c>
      <c r="D897" s="14" t="inlineStr">
        <is>
          <t>Fumetto Ciopi</t>
        </is>
      </c>
      <c r="E897" s="14" t="inlineStr">
        <is>
          <t>da 3 anni</t>
        </is>
      </c>
      <c r="F897" s="14" t="inlineStr">
        <is>
          <t>3-6 anni</t>
        </is>
      </c>
      <c r="G897" s="14" t="inlineStr">
        <is>
          <t>Graphic novel/Fumetto</t>
        </is>
      </c>
      <c r="H897" s="14" t="inlineStr"/>
      <c r="I897" s="14" t="inlineStr">
        <is>
          <t>No</t>
        </is>
      </c>
      <c r="J897" s="14" t="inlineStr">
        <is>
          <t>Catalogo</t>
        </is>
      </c>
      <c r="K897" s="14" t="inlineStr">
        <is>
          <t>3-6 anni</t>
        </is>
      </c>
      <c r="L897" s="14" t="inlineStr">
        <is>
          <t>https://www.libri.it</t>
        </is>
      </c>
      <c r="M897" s="16" t="n">
        <v>15</v>
      </c>
      <c r="N897" s="14" t="inlineStr">
        <is>
          <t>Lista titoli Logos Edizioni 2026 (PVP)</t>
        </is>
      </c>
      <c r="O897" s="16">
        <f>IF(ISNUMBER(M897),ROUND(M897*(1-Condizioni!$B$2),2),"")</f>
        <v/>
      </c>
      <c r="P897" s="17" t="inlineStr">
        <is>
          <t>No</t>
        </is>
      </c>
    </row>
    <row r="898">
      <c r="A898" s="14" t="inlineStr">
        <is>
          <t>Logos</t>
        </is>
      </c>
      <c r="B898" s="14" t="inlineStr">
        <is>
          <t>La Famiglia Volpitassi Racconta - Emozioni</t>
        </is>
      </c>
      <c r="C898" s="14" t="inlineStr">
        <is>
          <t>Brigitte Luciani; ill. Eve Tharlet</t>
        </is>
      </c>
      <c r="D898" s="14" t="inlineStr">
        <is>
          <t>Fumetto Ciopi</t>
        </is>
      </c>
      <c r="E898" s="14" t="inlineStr">
        <is>
          <t>da 3 anni</t>
        </is>
      </c>
      <c r="F898" s="14" t="inlineStr">
        <is>
          <t>3-6 anni</t>
        </is>
      </c>
      <c r="G898" s="14" t="inlineStr">
        <is>
          <t>Graphic novel/Fumetto</t>
        </is>
      </c>
      <c r="H898" s="14" t="inlineStr"/>
      <c r="I898" s="14" t="inlineStr">
        <is>
          <t>No</t>
        </is>
      </c>
      <c r="J898" s="14" t="inlineStr">
        <is>
          <t>Catalogo</t>
        </is>
      </c>
      <c r="K898" s="14" t="inlineStr">
        <is>
          <t>3-6 anni</t>
        </is>
      </c>
      <c r="L898" s="14" t="inlineStr">
        <is>
          <t>https://www.libri.it</t>
        </is>
      </c>
      <c r="M898" s="16" t="n">
        <v>15</v>
      </c>
      <c r="N898" s="14" t="inlineStr">
        <is>
          <t>Lista titoli Logos Edizioni 2026 (PVP)</t>
        </is>
      </c>
      <c r="O898" s="16">
        <f>IF(ISNUMBER(M898),ROUND(M898*(1-Condizioni!$B$2),2),"")</f>
        <v/>
      </c>
      <c r="P898" s="17" t="inlineStr">
        <is>
          <t>No</t>
        </is>
      </c>
    </row>
    <row r="899">
      <c r="A899" s="14" t="inlineStr">
        <is>
          <t>Logos</t>
        </is>
      </c>
      <c r="B899" s="14" t="inlineStr">
        <is>
          <t>La Famiglia Volpitassi Racconta - gli Alberi</t>
        </is>
      </c>
      <c r="C899" s="14" t="inlineStr">
        <is>
          <t>Brigitte Luciani; ill. Eve Tharlet</t>
        </is>
      </c>
      <c r="D899" s="14" t="inlineStr">
        <is>
          <t>Fumetto Ciopi</t>
        </is>
      </c>
      <c r="E899" s="14" t="inlineStr">
        <is>
          <t>da 3 anni</t>
        </is>
      </c>
      <c r="F899" s="14" t="inlineStr">
        <is>
          <t>3-6 anni</t>
        </is>
      </c>
      <c r="G899" s="14" t="inlineStr">
        <is>
          <t>Graphic novel/Fumetto</t>
        </is>
      </c>
      <c r="H899" s="14" t="inlineStr"/>
      <c r="I899" s="14" t="inlineStr">
        <is>
          <t>No</t>
        </is>
      </c>
      <c r="J899" s="14" t="inlineStr">
        <is>
          <t>Catalogo</t>
        </is>
      </c>
      <c r="K899" s="14" t="inlineStr">
        <is>
          <t>3-6 anni</t>
        </is>
      </c>
      <c r="L899" s="14" t="inlineStr">
        <is>
          <t>https://www.libri.it/volpitassi-alberi</t>
        </is>
      </c>
      <c r="M899" s="16" t="n">
        <v>14</v>
      </c>
      <c r="N899" s="14" t="inlineStr">
        <is>
          <t>Lista titoli Logos Edizioni 2026 (PVP)</t>
        </is>
      </c>
      <c r="O899" s="16">
        <f>IF(ISNUMBER(M899),ROUND(M899*(1-Condizioni!$B$2),2),"")</f>
        <v/>
      </c>
      <c r="P899" s="17" t="inlineStr">
        <is>
          <t>No</t>
        </is>
      </c>
    </row>
    <row r="900">
      <c r="A900" s="14" t="inlineStr">
        <is>
          <t>Logos</t>
        </is>
      </c>
      <c r="B900" s="14" t="inlineStr">
        <is>
          <t>La Famiglia Volpitassi Racconta – Vivere Insieme!</t>
        </is>
      </c>
      <c r="C900" s="14" t="inlineStr">
        <is>
          <t>Brigitte Luciani; ill. Eve Tharlet</t>
        </is>
      </c>
      <c r="D900" s="14" t="inlineStr">
        <is>
          <t>Fumetto Ciopi</t>
        </is>
      </c>
      <c r="E900" s="14" t="inlineStr">
        <is>
          <t>da 3 anni</t>
        </is>
      </c>
      <c r="F900" s="14" t="inlineStr">
        <is>
          <t>3-6 anni</t>
        </is>
      </c>
      <c r="G900" s="14" t="inlineStr">
        <is>
          <t>Graphic novel/Fumetto</t>
        </is>
      </c>
      <c r="H900" s="14" t="inlineStr"/>
      <c r="I900" s="14" t="inlineStr">
        <is>
          <t>No</t>
        </is>
      </c>
      <c r="J900" s="14" t="inlineStr">
        <is>
          <t>Catalogo</t>
        </is>
      </c>
      <c r="K900" s="14" t="inlineStr">
        <is>
          <t>3-6 anni</t>
        </is>
      </c>
      <c r="L900" s="14" t="inlineStr">
        <is>
          <t>https://www.libri.it/vivere-insieme</t>
        </is>
      </c>
      <c r="M900" s="16" t="n">
        <v>12</v>
      </c>
      <c r="N900" s="14" t="inlineStr">
        <is>
          <t>Lista titoli Logos Edizioni 2026 (PVP)</t>
        </is>
      </c>
      <c r="O900" s="16">
        <f>IF(ISNUMBER(M900),ROUND(M900*(1-Condizioni!$B$2),2),"")</f>
        <v/>
      </c>
      <c r="P900" s="17" t="inlineStr">
        <is>
          <t>No</t>
        </is>
      </c>
    </row>
    <row r="901">
      <c r="A901" s="14" t="inlineStr">
        <is>
          <t>Logos</t>
        </is>
      </c>
      <c r="B901" s="14" t="inlineStr">
        <is>
          <t>La Rapa Gigante</t>
        </is>
      </c>
      <c r="C901" s="14" t="inlineStr">
        <is>
          <t>Aleksej Tolstoj; ill. Niamh Sharkey</t>
        </is>
      </c>
      <c r="D901" s="14" t="inlineStr">
        <is>
          <t>Albo Ciopi</t>
        </is>
      </c>
      <c r="E901" s="14" t="inlineStr">
        <is>
          <t>da 3 anni</t>
        </is>
      </c>
      <c r="F901" s="14" t="inlineStr">
        <is>
          <t>3-6 anni</t>
        </is>
      </c>
      <c r="G901" s="14" t="inlineStr">
        <is>
          <t>Albo illustrato</t>
        </is>
      </c>
      <c r="H901" s="14" t="inlineStr"/>
      <c r="I901" s="14" t="inlineStr">
        <is>
          <t>No</t>
        </is>
      </c>
      <c r="J901" s="14" t="inlineStr">
        <is>
          <t>Catalogo</t>
        </is>
      </c>
      <c r="K901" s="14" t="inlineStr">
        <is>
          <t>3-6 anni</t>
        </is>
      </c>
      <c r="L901" s="14" t="inlineStr">
        <is>
          <t>https://www.libri.it/rapa-gigante</t>
        </is>
      </c>
      <c r="M901" s="16" t="n">
        <v>18</v>
      </c>
      <c r="N901" s="14" t="inlineStr">
        <is>
          <t>Lista titoli Logos Edizioni 2026 (PVP)</t>
        </is>
      </c>
      <c r="O901" s="16">
        <f>IF(ISNUMBER(M901),ROUND(M901*(1-Condizioni!$B$2),2),"")</f>
        <v/>
      </c>
      <c r="P901" s="17" t="inlineStr">
        <is>
          <t>No</t>
        </is>
      </c>
    </row>
    <row r="902">
      <c r="A902" s="14" t="inlineStr">
        <is>
          <t>Logos</t>
        </is>
      </c>
      <c r="B902" s="14" t="inlineStr">
        <is>
          <t>Leggermente Invisibile</t>
        </is>
      </c>
      <c r="C902" s="14" t="inlineStr">
        <is>
          <t>Lauren Child</t>
        </is>
      </c>
      <c r="D902" s="14" t="inlineStr">
        <is>
          <t>Albo Ciopi</t>
        </is>
      </c>
      <c r="E902" s="14" t="inlineStr">
        <is>
          <t>da 3 anni</t>
        </is>
      </c>
      <c r="F902" s="14" t="inlineStr">
        <is>
          <t>3-6 anni</t>
        </is>
      </c>
      <c r="G902" s="14" t="inlineStr">
        <is>
          <t>Albo illustrato</t>
        </is>
      </c>
      <c r="H902" s="14" t="inlineStr"/>
      <c r="I902" s="14" t="inlineStr">
        <is>
          <t>No</t>
        </is>
      </c>
      <c r="J902" s="14" t="inlineStr">
        <is>
          <t>Catalogo</t>
        </is>
      </c>
      <c r="K902" s="14" t="inlineStr">
        <is>
          <t>3-6 anni</t>
        </is>
      </c>
      <c r="L902" s="14" t="inlineStr">
        <is>
          <t>https://www.libri.it/leggermente-invisibile</t>
        </is>
      </c>
      <c r="M902" s="16" t="n">
        <v>17</v>
      </c>
      <c r="N902" s="14" t="inlineStr">
        <is>
          <t>Lista titoli Logos Edizioni 2026 (PVP)</t>
        </is>
      </c>
      <c r="O902" s="16">
        <f>IF(ISNUMBER(M902),ROUND(M902*(1-Condizioni!$B$2),2),"")</f>
        <v/>
      </c>
      <c r="P902" s="17" t="inlineStr">
        <is>
          <t>No</t>
        </is>
      </c>
    </row>
    <row r="903">
      <c r="A903" s="14" t="inlineStr">
        <is>
          <t>Logos</t>
        </is>
      </c>
      <c r="B903" s="14" t="inlineStr">
        <is>
          <t>Lettere nel Bosco</t>
        </is>
      </c>
      <c r="C903" s="14" t="inlineStr">
        <is>
          <t>Susanna Isern; ill. Daniel Montero Galán</t>
        </is>
      </c>
      <c r="D903" s="14" t="inlineStr">
        <is>
          <t>Albo Ciopi</t>
        </is>
      </c>
      <c r="E903" s="14" t="inlineStr">
        <is>
          <t>da 3 anni</t>
        </is>
      </c>
      <c r="F903" s="14" t="inlineStr">
        <is>
          <t>3-6 anni</t>
        </is>
      </c>
      <c r="G903" s="14" t="inlineStr">
        <is>
          <t>Albo illustrato</t>
        </is>
      </c>
      <c r="H903" s="14" t="inlineStr"/>
      <c r="I903" s="14" t="inlineStr">
        <is>
          <t>No</t>
        </is>
      </c>
      <c r="J903" s="14" t="inlineStr">
        <is>
          <t>Catalogo</t>
        </is>
      </c>
      <c r="K903" s="14" t="inlineStr">
        <is>
          <t>3-6 anni</t>
        </is>
      </c>
      <c r="L903" s="14" t="inlineStr">
        <is>
          <t>https://www.libri.it/lettere-nel-bosco</t>
        </is>
      </c>
      <c r="M903" s="16" t="n">
        <v>16</v>
      </c>
      <c r="N903" s="14" t="inlineStr">
        <is>
          <t>Lista titoli Logos Edizioni 2026 (PVP)</t>
        </is>
      </c>
      <c r="O903" s="16">
        <f>IF(ISNUMBER(M903),ROUND(M903*(1-Condizioni!$B$2),2),"")</f>
        <v/>
      </c>
      <c r="P903" s="17" t="inlineStr">
        <is>
          <t>No</t>
        </is>
      </c>
    </row>
    <row r="904">
      <c r="A904" s="14" t="inlineStr">
        <is>
          <t>Logos</t>
        </is>
      </c>
      <c r="B904" s="14" t="inlineStr">
        <is>
          <t>Linette - Compagno di Giardino</t>
        </is>
      </c>
      <c r="C904" s="14" t="inlineStr">
        <is>
          <t>Catherine Romat; ill. Jean-Philippe Peyraud</t>
        </is>
      </c>
      <c r="D904" s="14" t="inlineStr">
        <is>
          <t>Fumetto Ciopi</t>
        </is>
      </c>
      <c r="E904" s="14" t="inlineStr">
        <is>
          <t>da 3 anni</t>
        </is>
      </c>
      <c r="F904" s="14" t="inlineStr">
        <is>
          <t>3-6 anni</t>
        </is>
      </c>
      <c r="G904" s="14" t="inlineStr">
        <is>
          <t>Graphic novel/Fumetto</t>
        </is>
      </c>
      <c r="H904" s="14" t="inlineStr"/>
      <c r="I904" s="14" t="inlineStr">
        <is>
          <t>No</t>
        </is>
      </c>
      <c r="J904" s="14" t="inlineStr">
        <is>
          <t>Catalogo</t>
        </is>
      </c>
      <c r="K904" s="14" t="inlineStr">
        <is>
          <t>3-6 anni</t>
        </is>
      </c>
      <c r="L904" s="14" t="inlineStr">
        <is>
          <t>https://www.libri.it/linette-compagno-giardino</t>
        </is>
      </c>
      <c r="M904" s="16" t="n">
        <v>14</v>
      </c>
      <c r="N904" s="14" t="inlineStr">
        <is>
          <t>Lista titoli Logos Edizioni 2026 (PVP)</t>
        </is>
      </c>
      <c r="O904" s="16">
        <f>IF(ISNUMBER(M904),ROUND(M904*(1-Condizioni!$B$2),2),"")</f>
        <v/>
      </c>
      <c r="P904" s="17" t="inlineStr">
        <is>
          <t>No</t>
        </is>
      </c>
    </row>
    <row r="905">
      <c r="A905" s="14" t="inlineStr">
        <is>
          <t>Logos</t>
        </is>
      </c>
      <c r="B905" s="14" t="inlineStr">
        <is>
          <t>Linette - il Drago Salsiccia</t>
        </is>
      </c>
      <c r="C905" s="14" t="inlineStr">
        <is>
          <t>Catherine Romat; ill. Jean-Philippe Peyraud</t>
        </is>
      </c>
      <c r="D905" s="14" t="inlineStr">
        <is>
          <t>Fumetto Ciopi</t>
        </is>
      </c>
      <c r="E905" s="14" t="inlineStr">
        <is>
          <t>da 3 anni</t>
        </is>
      </c>
      <c r="F905" s="14" t="inlineStr">
        <is>
          <t>3-6 anni</t>
        </is>
      </c>
      <c r="G905" s="14" t="inlineStr">
        <is>
          <t>Graphic novel/Fumetto</t>
        </is>
      </c>
      <c r="H905" s="14" t="inlineStr"/>
      <c r="I905" s="14" t="inlineStr">
        <is>
          <t>No</t>
        </is>
      </c>
      <c r="J905" s="14" t="inlineStr">
        <is>
          <t>Catalogo</t>
        </is>
      </c>
      <c r="K905" s="14" t="inlineStr">
        <is>
          <t>3-6 anni</t>
        </is>
      </c>
      <c r="L905" s="14" t="inlineStr">
        <is>
          <t>https://www.libri.it/linette-drago-salsiccia</t>
        </is>
      </c>
      <c r="M905" s="16" t="n">
        <v>14</v>
      </c>
      <c r="N905" s="14" t="inlineStr">
        <is>
          <t>Lista titoli Logos Edizioni 2026 (PVP)</t>
        </is>
      </c>
      <c r="O905" s="16">
        <f>IF(ISNUMBER(M905),ROUND(M905*(1-Condizioni!$B$2),2),"")</f>
        <v/>
      </c>
      <c r="P905" s="17" t="inlineStr">
        <is>
          <t>No</t>
        </is>
      </c>
    </row>
    <row r="906">
      <c r="A906" s="14" t="inlineStr">
        <is>
          <t>Logos</t>
        </is>
      </c>
      <c r="B906" s="14" t="inlineStr">
        <is>
          <t>Linette - la Nuvoletta</t>
        </is>
      </c>
      <c r="C906" s="14" t="inlineStr">
        <is>
          <t>Catherine Romat; ill. Jean-Philippe Peyraud</t>
        </is>
      </c>
      <c r="D906" s="14" t="inlineStr">
        <is>
          <t>Fumetto Ciopi</t>
        </is>
      </c>
      <c r="E906" s="14" t="inlineStr">
        <is>
          <t>da 3 anni</t>
        </is>
      </c>
      <c r="F906" s="14" t="inlineStr">
        <is>
          <t>3-6 anni</t>
        </is>
      </c>
      <c r="G906" s="14" t="inlineStr">
        <is>
          <t>Graphic novel/Fumetto</t>
        </is>
      </c>
      <c r="H906" s="14" t="inlineStr"/>
      <c r="I906" s="14" t="inlineStr">
        <is>
          <t>No</t>
        </is>
      </c>
      <c r="J906" s="14" t="inlineStr">
        <is>
          <t>Catalogo</t>
        </is>
      </c>
      <c r="K906" s="14" t="inlineStr">
        <is>
          <t>3-6 anni</t>
        </is>
      </c>
      <c r="L906" s="14" t="inlineStr">
        <is>
          <t>https://www.libri.it/linette-nuvoletta</t>
        </is>
      </c>
      <c r="M906" s="16" t="n">
        <v>14</v>
      </c>
      <c r="N906" s="14" t="inlineStr">
        <is>
          <t>Lista titoli Logos Edizioni 2026 (PVP)</t>
        </is>
      </c>
      <c r="O906" s="16">
        <f>IF(ISNUMBER(M906),ROUND(M906*(1-Condizioni!$B$2),2),"")</f>
        <v/>
      </c>
      <c r="P906" s="17" t="inlineStr">
        <is>
          <t>No</t>
        </is>
      </c>
    </row>
    <row r="907">
      <c r="A907" s="14" t="inlineStr">
        <is>
          <t>Logos</t>
        </is>
      </c>
      <c r="B907" s="14" t="inlineStr">
        <is>
          <t>Linette - l’Omone di Sabbia</t>
        </is>
      </c>
      <c r="C907" s="14" t="inlineStr">
        <is>
          <t>Catherine Romat; ill. Jean-Philippe Peyraud</t>
        </is>
      </c>
      <c r="D907" s="14" t="inlineStr">
        <is>
          <t>Fumetto Ciopi</t>
        </is>
      </c>
      <c r="E907" s="14" t="inlineStr">
        <is>
          <t>da 3 anni</t>
        </is>
      </c>
      <c r="F907" s="14" t="inlineStr">
        <is>
          <t>3-6 anni</t>
        </is>
      </c>
      <c r="G907" s="14" t="inlineStr">
        <is>
          <t>Graphic novel/Fumetto</t>
        </is>
      </c>
      <c r="H907" s="14" t="inlineStr"/>
      <c r="I907" s="14" t="inlineStr">
        <is>
          <t>No</t>
        </is>
      </c>
      <c r="J907" s="14" t="inlineStr">
        <is>
          <t>Catalogo</t>
        </is>
      </c>
      <c r="K907" s="14" t="inlineStr">
        <is>
          <t>3-6 anni</t>
        </is>
      </c>
      <c r="L907" s="14" t="inlineStr">
        <is>
          <t>https://www.libri.it/linette-omone</t>
        </is>
      </c>
      <c r="M907" s="16" t="n">
        <v>14</v>
      </c>
      <c r="N907" s="14" t="inlineStr">
        <is>
          <t>Lista titoli Logos Edizioni 2026 (PVP)</t>
        </is>
      </c>
      <c r="O907" s="16">
        <f>IF(ISNUMBER(M907),ROUND(M907*(1-Condizioni!$B$2),2),"")</f>
        <v/>
      </c>
      <c r="P907" s="17" t="inlineStr">
        <is>
          <t>No</t>
        </is>
      </c>
    </row>
    <row r="908">
      <c r="A908" s="14" t="inlineStr">
        <is>
          <t>Logos</t>
        </is>
      </c>
      <c r="B908" s="14" t="inlineStr">
        <is>
          <t>Linette – Concime per Piedi</t>
        </is>
      </c>
      <c r="C908" s="14" t="inlineStr">
        <is>
          <t>Catherine Romat; ill. Jean-Philippe Peyraud</t>
        </is>
      </c>
      <c r="D908" s="14" t="inlineStr">
        <is>
          <t>Fumetto Ciopi</t>
        </is>
      </c>
      <c r="E908" s="14" t="inlineStr">
        <is>
          <t>da 3 anni</t>
        </is>
      </c>
      <c r="F908" s="14" t="inlineStr">
        <is>
          <t>3-6 anni</t>
        </is>
      </c>
      <c r="G908" s="14" t="inlineStr">
        <is>
          <t>Graphic novel/Fumetto</t>
        </is>
      </c>
      <c r="H908" s="14" t="inlineStr"/>
      <c r="I908" s="14" t="inlineStr">
        <is>
          <t>No</t>
        </is>
      </c>
      <c r="J908" s="14" t="inlineStr">
        <is>
          <t>Catalogo</t>
        </is>
      </c>
      <c r="K908" s="14" t="inlineStr">
        <is>
          <t>3-6 anni</t>
        </is>
      </c>
      <c r="L908" s="14" t="inlineStr">
        <is>
          <t>https://www.libri.it/linette-concime-per-piedi</t>
        </is>
      </c>
      <c r="M908" s="16" t="n">
        <v>13</v>
      </c>
      <c r="N908" s="14" t="inlineStr">
        <is>
          <t>Lista titoli Logos Edizioni 2026 (PVP)</t>
        </is>
      </c>
      <c r="O908" s="16">
        <f>IF(ISNUMBER(M908),ROUND(M908*(1-Condizioni!$B$2),2),"")</f>
        <v/>
      </c>
      <c r="P908" s="17" t="inlineStr">
        <is>
          <t>No</t>
        </is>
      </c>
    </row>
    <row r="909">
      <c r="A909" s="14" t="inlineStr">
        <is>
          <t>Logos</t>
        </is>
      </c>
      <c r="B909" s="14" t="inlineStr">
        <is>
          <t>Lupo</t>
        </is>
      </c>
      <c r="C909" s="14" t="inlineStr">
        <is>
          <t>Olivier Douzou</t>
        </is>
      </c>
      <c r="D909" s="14" t="inlineStr">
        <is>
          <t>Ipinipini</t>
        </is>
      </c>
      <c r="E909" s="14" t="inlineStr">
        <is>
          <t>da 3 anni</t>
        </is>
      </c>
      <c r="F909" s="14" t="inlineStr">
        <is>
          <t>3-6 anni</t>
        </is>
      </c>
      <c r="G909" s="14" t="inlineStr">
        <is>
          <t>Albo illustrato</t>
        </is>
      </c>
      <c r="H909" s="14" t="inlineStr"/>
      <c r="I909" s="14" t="inlineStr">
        <is>
          <t>No</t>
        </is>
      </c>
      <c r="J909" s="14" t="inlineStr">
        <is>
          <t>Catalogo</t>
        </is>
      </c>
      <c r="K909" s="14" t="inlineStr">
        <is>
          <t>3-6 anni</t>
        </is>
      </c>
      <c r="L909" s="14" t="inlineStr">
        <is>
          <t>https://www.libri.it/lupo</t>
        </is>
      </c>
      <c r="M909" s="16" t="n">
        <v>10</v>
      </c>
      <c r="N909" s="14" t="inlineStr">
        <is>
          <t>Lista titoli Logos Edizioni 2026 (PVP)</t>
        </is>
      </c>
      <c r="O909" s="16">
        <f>IF(ISNUMBER(M909),ROUND(M909*(1-Condizioni!$B$2),2),"")</f>
        <v/>
      </c>
      <c r="P909" s="17" t="inlineStr">
        <is>
          <t>No</t>
        </is>
      </c>
    </row>
    <row r="910">
      <c r="A910" s="14" t="inlineStr">
        <is>
          <t>Logos</t>
        </is>
      </c>
      <c r="B910" s="14" t="inlineStr">
        <is>
          <t>L’Abito Nuovo dell’Imperatore</t>
        </is>
      </c>
      <c r="C910" s="14" t="inlineStr">
        <is>
          <t>Hans Christian Andersen; Sofía Luminosa; ill. Israel Barrón</t>
        </is>
      </c>
      <c r="D910" s="14" t="inlineStr">
        <is>
          <t>Albo Ciopi</t>
        </is>
      </c>
      <c r="E910" s="14" t="inlineStr">
        <is>
          <t>da 3 anni</t>
        </is>
      </c>
      <c r="F910" s="14" t="inlineStr">
        <is>
          <t>3-6 anni</t>
        </is>
      </c>
      <c r="G910" s="14" t="inlineStr">
        <is>
          <t>Albo illustrato</t>
        </is>
      </c>
      <c r="H910" s="14" t="inlineStr"/>
      <c r="I910" s="14" t="inlineStr">
        <is>
          <t>No</t>
        </is>
      </c>
      <c r="J910" s="14" t="inlineStr">
        <is>
          <t>Catalogo</t>
        </is>
      </c>
      <c r="K910" s="14" t="inlineStr">
        <is>
          <t>3-6 anni</t>
        </is>
      </c>
      <c r="L910" s="14" t="inlineStr">
        <is>
          <t>https://www.libri.it/abito-nuovo-dell-imperatore</t>
        </is>
      </c>
      <c r="M910" s="16" t="n">
        <v>17</v>
      </c>
      <c r="N910" s="14" t="inlineStr">
        <is>
          <t>Lista titoli Logos Edizioni 2026 (PVP)</t>
        </is>
      </c>
      <c r="O910" s="16">
        <f>IF(ISNUMBER(M910),ROUND(M910*(1-Condizioni!$B$2),2),"")</f>
        <v/>
      </c>
      <c r="P910" s="17" t="inlineStr">
        <is>
          <t>No</t>
        </is>
      </c>
    </row>
    <row r="911">
      <c r="A911" s="14" t="inlineStr">
        <is>
          <t>Logos</t>
        </is>
      </c>
      <c r="B911" s="14" t="inlineStr">
        <is>
          <t>Nino</t>
        </is>
      </c>
      <c r="C911" s="14" t="inlineStr">
        <is>
          <t>Isol</t>
        </is>
      </c>
      <c r="D911" s="14" t="inlineStr">
        <is>
          <t>Biblioteca Ciopi</t>
        </is>
      </c>
      <c r="E911" s="14" t="inlineStr">
        <is>
          <t>da 3 anni</t>
        </is>
      </c>
      <c r="F911" s="14" t="inlineStr">
        <is>
          <t>3-6 anni</t>
        </is>
      </c>
      <c r="G911" s="14" t="inlineStr">
        <is>
          <t>Narrativa</t>
        </is>
      </c>
      <c r="H911" s="14" t="inlineStr"/>
      <c r="I911" s="14" t="inlineStr">
        <is>
          <t>No</t>
        </is>
      </c>
      <c r="J911" s="14" t="inlineStr">
        <is>
          <t>Catalogo</t>
        </is>
      </c>
      <c r="K911" s="14" t="inlineStr">
        <is>
          <t>3-6 anni, narrativa</t>
        </is>
      </c>
      <c r="L911" s="14" t="inlineStr">
        <is>
          <t>https://www.libri.it/nino-nuova-edizione</t>
        </is>
      </c>
      <c r="M911" s="16" t="n">
        <v>12</v>
      </c>
      <c r="N911" s="14" t="inlineStr">
        <is>
          <t>Lista titoli Logos Edizioni 2026 (PVP)</t>
        </is>
      </c>
      <c r="O911" s="16">
        <f>IF(ISNUMBER(M911),ROUND(M911*(1-Condizioni!$B$2),2),"")</f>
        <v/>
      </c>
      <c r="P911" s="17" t="inlineStr">
        <is>
          <t>No</t>
        </is>
      </c>
    </row>
    <row r="912">
      <c r="A912" s="14" t="inlineStr">
        <is>
          <t>Logos</t>
        </is>
      </c>
      <c r="B912" s="14" t="inlineStr">
        <is>
          <t>Non Ho Sonno e non Andrò a Letto</t>
        </is>
      </c>
      <c r="C912" s="14" t="inlineStr">
        <is>
          <t>Lauren Child</t>
        </is>
      </c>
      <c r="D912" s="14" t="inlineStr">
        <is>
          <t>Albo Ciopi</t>
        </is>
      </c>
      <c r="E912" s="14" t="inlineStr">
        <is>
          <t>da 3 anni</t>
        </is>
      </c>
      <c r="F912" s="14" t="inlineStr">
        <is>
          <t>3-6 anni</t>
        </is>
      </c>
      <c r="G912" s="14" t="inlineStr">
        <is>
          <t>Albo illustrato</t>
        </is>
      </c>
      <c r="H912" s="14" t="inlineStr"/>
      <c r="I912" s="14" t="inlineStr">
        <is>
          <t>No</t>
        </is>
      </c>
      <c r="J912" s="14" t="inlineStr">
        <is>
          <t>Catalogo</t>
        </is>
      </c>
      <c r="K912" s="14" t="inlineStr">
        <is>
          <t>3-6 anni</t>
        </is>
      </c>
      <c r="L912" s="14" t="inlineStr">
        <is>
          <t>https://www.libri.it/non-ho-sonno-e-non-andro-a-letto</t>
        </is>
      </c>
      <c r="M912" s="16" t="n">
        <v>16.5</v>
      </c>
      <c r="N912" s="14" t="inlineStr">
        <is>
          <t>Lista titoli Logos Edizioni 2026 (PVP)</t>
        </is>
      </c>
      <c r="O912" s="16">
        <f>IF(ISNUMBER(M912),ROUND(M912*(1-Condizioni!$B$2),2),"")</f>
        <v/>
      </c>
      <c r="P912" s="17" t="inlineStr">
        <is>
          <t>No</t>
        </is>
      </c>
    </row>
    <row r="913">
      <c r="A913" s="14" t="inlineStr">
        <is>
          <t>Logos</t>
        </is>
      </c>
      <c r="B913" s="14" t="inlineStr">
        <is>
          <t>Orso Acchiappafarfalle</t>
        </is>
      </c>
      <c r="C913" s="14" t="inlineStr">
        <is>
          <t>Susanna Isern; ill. Marjorie Pourchet</t>
        </is>
      </c>
      <c r="D913" s="14" t="inlineStr">
        <is>
          <t>Albo Ciopi</t>
        </is>
      </c>
      <c r="E913" s="14" t="inlineStr">
        <is>
          <t>da 3 anni</t>
        </is>
      </c>
      <c r="F913" s="14" t="inlineStr">
        <is>
          <t>3-6 anni</t>
        </is>
      </c>
      <c r="G913" s="14" t="inlineStr">
        <is>
          <t>Albo illustrato</t>
        </is>
      </c>
      <c r="H913" s="14" t="inlineStr"/>
      <c r="I913" s="14" t="inlineStr">
        <is>
          <t>No</t>
        </is>
      </c>
      <c r="J913" s="14" t="inlineStr">
        <is>
          <t>Catalogo</t>
        </is>
      </c>
      <c r="K913" s="14" t="inlineStr">
        <is>
          <t>3-6 anni</t>
        </is>
      </c>
      <c r="L913" s="14" t="inlineStr">
        <is>
          <t>https://www.libri.it/orso-acchiappafarfalle</t>
        </is>
      </c>
      <c r="M913" s="16" t="n">
        <v>15</v>
      </c>
      <c r="N913" s="14" t="inlineStr">
        <is>
          <t>Lista titoli Logos Edizioni 2026 (PVP)</t>
        </is>
      </c>
      <c r="O913" s="16">
        <f>IF(ISNUMBER(M913),ROUND(M913*(1-Condizioni!$B$2),2),"")</f>
        <v/>
      </c>
      <c r="P913" s="17" t="inlineStr">
        <is>
          <t>No</t>
        </is>
      </c>
    </row>
    <row r="914">
      <c r="A914" s="14" t="inlineStr">
        <is>
          <t>Logos</t>
        </is>
      </c>
      <c r="B914" s="14" t="inlineStr">
        <is>
          <t>Paura</t>
        </is>
      </c>
      <c r="C914" s="14" t="inlineStr">
        <is>
          <t>Graciela Cabal; ill. Giulia Pintus</t>
        </is>
      </c>
      <c r="D914" s="14" t="inlineStr">
        <is>
          <t>Biblioteca Ciopi</t>
        </is>
      </c>
      <c r="E914" s="14" t="inlineStr">
        <is>
          <t>da 3 anni</t>
        </is>
      </c>
      <c r="F914" s="14" t="inlineStr">
        <is>
          <t>3-6 anni</t>
        </is>
      </c>
      <c r="G914" s="14" t="inlineStr">
        <is>
          <t>Narrativa</t>
        </is>
      </c>
      <c r="H914" s="14" t="inlineStr"/>
      <c r="I914" s="14" t="inlineStr">
        <is>
          <t>No</t>
        </is>
      </c>
      <c r="J914" s="14" t="inlineStr">
        <is>
          <t>Catalogo</t>
        </is>
      </c>
      <c r="K914" s="14" t="inlineStr">
        <is>
          <t>3-6 anni, narrativa</t>
        </is>
      </c>
      <c r="L914" s="14" t="inlineStr">
        <is>
          <t>https://www.libri.it/paura</t>
        </is>
      </c>
      <c r="M914" s="16" t="n">
        <v>12</v>
      </c>
      <c r="N914" s="14" t="inlineStr">
        <is>
          <t>Lista titoli Logos Edizioni 2026 (PVP)</t>
        </is>
      </c>
      <c r="O914" s="16">
        <f>IF(ISNUMBER(M914),ROUND(M914*(1-Condizioni!$B$2),2),"")</f>
        <v/>
      </c>
      <c r="P914" s="17" t="inlineStr">
        <is>
          <t>No</t>
        </is>
      </c>
    </row>
    <row r="915">
      <c r="A915" s="14" t="inlineStr">
        <is>
          <t>Logos</t>
        </is>
      </c>
      <c r="B915" s="14" t="inlineStr">
        <is>
          <t>Perché i Cani Si Annusano il Sedere</t>
        </is>
      </c>
      <c r="C915" s="14" t="inlineStr">
        <is>
          <t>Sofía Luminosa; ill. Israel Barrón</t>
        </is>
      </c>
      <c r="D915" s="14" t="inlineStr">
        <is>
          <t>Biblioteca Ciopi</t>
        </is>
      </c>
      <c r="E915" s="14" t="inlineStr">
        <is>
          <t>da 3 anni</t>
        </is>
      </c>
      <c r="F915" s="14" t="inlineStr">
        <is>
          <t>3-6 anni</t>
        </is>
      </c>
      <c r="G915" s="14" t="inlineStr">
        <is>
          <t>Narrativa</t>
        </is>
      </c>
      <c r="H915" s="14" t="inlineStr"/>
      <c r="I915" s="14" t="inlineStr">
        <is>
          <t>No</t>
        </is>
      </c>
      <c r="J915" s="14" t="inlineStr">
        <is>
          <t>Catalogo</t>
        </is>
      </c>
      <c r="K915" s="14" t="inlineStr">
        <is>
          <t>3-6 anni, narrativa</t>
        </is>
      </c>
      <c r="L915" s="14" t="inlineStr">
        <is>
          <t>https://www.libri.it/perche-i-cani-si-annusano-il-sedere</t>
        </is>
      </c>
      <c r="M915" s="16" t="n">
        <v>8</v>
      </c>
      <c r="N915" s="14" t="inlineStr">
        <is>
          <t>Lista titoli Logos Edizioni 2026 (PVP)</t>
        </is>
      </c>
      <c r="O915" s="16">
        <f>IF(ISNUMBER(M915),ROUND(M915*(1-Condizioni!$B$2),2),"")</f>
        <v/>
      </c>
      <c r="P915" s="17" t="inlineStr">
        <is>
          <t>No</t>
        </is>
      </c>
    </row>
    <row r="916">
      <c r="A916" s="14" t="inlineStr">
        <is>
          <t>Logos</t>
        </is>
      </c>
      <c r="B916" s="14" t="inlineStr">
        <is>
          <t>Piccolo Orso e Piccolo Tigre Vanno in Citta</t>
        </is>
      </c>
      <c r="C916" s="14" t="inlineStr">
        <is>
          <t>Janosch</t>
        </is>
      </c>
      <c r="D916" s="14" t="inlineStr">
        <is>
          <t>Biblioteca Ciopi</t>
        </is>
      </c>
      <c r="E916" s="14" t="inlineStr">
        <is>
          <t>da 3 anni</t>
        </is>
      </c>
      <c r="F916" s="14" t="inlineStr">
        <is>
          <t>3-6 anni</t>
        </is>
      </c>
      <c r="G916" s="14" t="inlineStr">
        <is>
          <t>Narrativa</t>
        </is>
      </c>
      <c r="H916" s="14" t="inlineStr"/>
      <c r="I916" s="14" t="inlineStr">
        <is>
          <t>No</t>
        </is>
      </c>
      <c r="J916" s="14" t="inlineStr">
        <is>
          <t>Catalogo</t>
        </is>
      </c>
      <c r="K916" s="14" t="inlineStr">
        <is>
          <t>3-6 anni, narrativa</t>
        </is>
      </c>
      <c r="L916" s="14" t="inlineStr">
        <is>
          <t>https://www.libri.it/piccolo-tigre-e-piccolo-orso-vanno-in-citta</t>
        </is>
      </c>
      <c r="M916" s="16" t="n">
        <v>8</v>
      </c>
      <c r="N916" s="14" t="inlineStr">
        <is>
          <t>Lista titoli Logos Edizioni 2026 (PVP)</t>
        </is>
      </c>
      <c r="O916" s="16">
        <f>IF(ISNUMBER(M916),ROUND(M916*(1-Condizioni!$B$2),2),"")</f>
        <v/>
      </c>
      <c r="P916" s="17" t="inlineStr">
        <is>
          <t>No</t>
        </is>
      </c>
    </row>
    <row r="917">
      <c r="A917" s="14" t="inlineStr">
        <is>
          <t>Logos</t>
        </is>
      </c>
      <c r="B917" s="14" t="inlineStr">
        <is>
          <t>Piccolo Vocabolario Bebè e Genitori</t>
        </is>
      </c>
      <c r="C917" s="14" t="inlineStr">
        <is>
          <t>SegniAmo Bimbi; ill. Roger Olmos</t>
        </is>
      </c>
      <c r="D917" s="14" t="inlineStr">
        <is>
          <t>Ciopilopini</t>
        </is>
      </c>
      <c r="E917" s="14" t="inlineStr">
        <is>
          <t>da 3 anni</t>
        </is>
      </c>
      <c r="F917" s="14" t="inlineStr">
        <is>
          <t>3-6 anni</t>
        </is>
      </c>
      <c r="G917" s="14" t="inlineStr">
        <is>
          <t>Albo illustrato</t>
        </is>
      </c>
      <c r="H917" s="14" t="inlineStr"/>
      <c r="I917" s="14" t="inlineStr">
        <is>
          <t>No</t>
        </is>
      </c>
      <c r="J917" s="14" t="inlineStr">
        <is>
          <t>Catalogo</t>
        </is>
      </c>
      <c r="K917" s="14" t="inlineStr">
        <is>
          <t>3-6 anni</t>
        </is>
      </c>
      <c r="L917" s="14" t="inlineStr">
        <is>
          <t>https://www.libri.it/piccolo-vocabolario-bebe-e-genitori</t>
        </is>
      </c>
      <c r="M917" s="16" t="n">
        <v>14</v>
      </c>
      <c r="N917" s="14" t="inlineStr">
        <is>
          <t>Lista titoli Logos Edizioni 2026 (PVP)</t>
        </is>
      </c>
      <c r="O917" s="16">
        <f>IF(ISNUMBER(M917),ROUND(M917*(1-Condizioni!$B$2),2),"")</f>
        <v/>
      </c>
      <c r="P917" s="17" t="inlineStr">
        <is>
          <t>No</t>
        </is>
      </c>
    </row>
    <row r="918">
      <c r="A918" s="14" t="inlineStr">
        <is>
          <t>Logos</t>
        </is>
      </c>
      <c r="B918" s="14" t="inlineStr">
        <is>
          <t>Piloursine Va a Pesca</t>
        </is>
      </c>
      <c r="C918" s="14" t="inlineStr">
        <is>
          <t>Emmanuelle Houdart</t>
        </is>
      </c>
      <c r="D918" s="14" t="inlineStr">
        <is>
          <t>Ipinipini</t>
        </is>
      </c>
      <c r="E918" s="14" t="inlineStr">
        <is>
          <t>da 3 anni</t>
        </is>
      </c>
      <c r="F918" s="14" t="inlineStr">
        <is>
          <t>3-6 anni</t>
        </is>
      </c>
      <c r="G918" s="14" t="inlineStr">
        <is>
          <t>Albo illustrato</t>
        </is>
      </c>
      <c r="H918" s="14" t="inlineStr"/>
      <c r="I918" s="14" t="inlineStr">
        <is>
          <t>No</t>
        </is>
      </c>
      <c r="J918" s="14" t="inlineStr">
        <is>
          <t>Catalogo</t>
        </is>
      </c>
      <c r="K918" s="14" t="inlineStr">
        <is>
          <t>3-6 anni</t>
        </is>
      </c>
      <c r="L918" s="14" t="inlineStr">
        <is>
          <t>https://www.libri.it/piloursine-pesca</t>
        </is>
      </c>
      <c r="M918" s="16" t="n">
        <v>10</v>
      </c>
      <c r="N918" s="14" t="inlineStr">
        <is>
          <t>Lista titoli Logos Edizioni 2026 (PVP)</t>
        </is>
      </c>
      <c r="O918" s="16">
        <f>IF(ISNUMBER(M918),ROUND(M918*(1-Condizioni!$B$2),2),"")</f>
        <v/>
      </c>
      <c r="P918" s="17" t="inlineStr">
        <is>
          <t>No</t>
        </is>
      </c>
    </row>
    <row r="919">
      <c r="A919" s="14" t="inlineStr">
        <is>
          <t>Logos</t>
        </is>
      </c>
      <c r="B919" s="14" t="inlineStr">
        <is>
          <t>Piloursine e il Compleanno</t>
        </is>
      </c>
      <c r="C919" s="14" t="inlineStr">
        <is>
          <t>Emmanuelle Houdart</t>
        </is>
      </c>
      <c r="D919" s="14" t="inlineStr">
        <is>
          <t>Ipinipini</t>
        </is>
      </c>
      <c r="E919" s="14" t="inlineStr">
        <is>
          <t>da 3 anni</t>
        </is>
      </c>
      <c r="F919" s="14" t="inlineStr">
        <is>
          <t>3-6 anni</t>
        </is>
      </c>
      <c r="G919" s="14" t="inlineStr">
        <is>
          <t>Albo illustrato</t>
        </is>
      </c>
      <c r="H919" s="14" t="inlineStr"/>
      <c r="I919" s="14" t="inlineStr">
        <is>
          <t>No</t>
        </is>
      </c>
      <c r="J919" s="14" t="inlineStr">
        <is>
          <t>Catalogo</t>
        </is>
      </c>
      <c r="K919" s="14" t="inlineStr">
        <is>
          <t>3-6 anni</t>
        </is>
      </c>
      <c r="L919" s="14" t="inlineStr">
        <is>
          <t>https://www.libri.it/piloursine-compleanno</t>
        </is>
      </c>
      <c r="M919" s="16" t="n">
        <v>10</v>
      </c>
      <c r="N919" s="14" t="inlineStr">
        <is>
          <t>Lista titoli Logos Edizioni 2026 (PVP)</t>
        </is>
      </c>
      <c r="O919" s="16">
        <f>IF(ISNUMBER(M919),ROUND(M919*(1-Condizioni!$B$2),2),"")</f>
        <v/>
      </c>
      <c r="P919" s="17" t="inlineStr">
        <is>
          <t>No</t>
        </is>
      </c>
    </row>
    <row r="920">
      <c r="A920" s="14" t="inlineStr">
        <is>
          <t>Logos</t>
        </is>
      </c>
      <c r="B920" s="14" t="inlineStr">
        <is>
          <t>Piloursine e il Suo Giardino</t>
        </is>
      </c>
      <c r="C920" s="14" t="inlineStr">
        <is>
          <t>Emmanuelle Houdart</t>
        </is>
      </c>
      <c r="D920" s="14" t="inlineStr">
        <is>
          <t>Ipinipini</t>
        </is>
      </c>
      <c r="E920" s="14" t="inlineStr">
        <is>
          <t>da 3 anni</t>
        </is>
      </c>
      <c r="F920" s="14" t="inlineStr">
        <is>
          <t>3-6 anni</t>
        </is>
      </c>
      <c r="G920" s="14" t="inlineStr">
        <is>
          <t>Albo illustrato</t>
        </is>
      </c>
      <c r="H920" s="14" t="inlineStr"/>
      <c r="I920" s="14" t="inlineStr">
        <is>
          <t>No</t>
        </is>
      </c>
      <c r="J920" s="14" t="inlineStr">
        <is>
          <t>Catalogo</t>
        </is>
      </c>
      <c r="K920" s="14" t="inlineStr">
        <is>
          <t>3-6 anni</t>
        </is>
      </c>
      <c r="L920" s="14" t="inlineStr">
        <is>
          <t>https://www.libri.it/piloursine-giardino</t>
        </is>
      </c>
      <c r="M920" s="16" t="n">
        <v>10</v>
      </c>
      <c r="N920" s="14" t="inlineStr">
        <is>
          <t>Lista titoli Logos Edizioni 2026 (PVP)</t>
        </is>
      </c>
      <c r="O920" s="16">
        <f>IF(ISNUMBER(M920),ROUND(M920*(1-Condizioni!$B$2),2),"")</f>
        <v/>
      </c>
      <c r="P920" s="17" t="inlineStr">
        <is>
          <t>No</t>
        </is>
      </c>
    </row>
    <row r="921">
      <c r="A921" s="14" t="inlineStr">
        <is>
          <t>Logos</t>
        </is>
      </c>
      <c r="B921" s="14" t="inlineStr">
        <is>
          <t>Piloursine È in Partenza</t>
        </is>
      </c>
      <c r="C921" s="14" t="inlineStr">
        <is>
          <t>Emmanuelle Houdart</t>
        </is>
      </c>
      <c r="D921" s="14" t="inlineStr">
        <is>
          <t>Ipinipini</t>
        </is>
      </c>
      <c r="E921" s="14" t="inlineStr">
        <is>
          <t>da 3 anni</t>
        </is>
      </c>
      <c r="F921" s="14" t="inlineStr">
        <is>
          <t>3-6 anni</t>
        </is>
      </c>
      <c r="G921" s="14" t="inlineStr">
        <is>
          <t>Albo illustrato</t>
        </is>
      </c>
      <c r="H921" s="14" t="inlineStr"/>
      <c r="I921" s="14" t="inlineStr">
        <is>
          <t>No</t>
        </is>
      </c>
      <c r="J921" s="14" t="inlineStr">
        <is>
          <t>Catalogo</t>
        </is>
      </c>
      <c r="K921" s="14" t="inlineStr">
        <is>
          <t>3-6 anni</t>
        </is>
      </c>
      <c r="L921" s="14" t="inlineStr">
        <is>
          <t>https://www.libri.it/piloursine-partenza</t>
        </is>
      </c>
      <c r="M921" s="16" t="n">
        <v>10</v>
      </c>
      <c r="N921" s="14" t="inlineStr">
        <is>
          <t>Lista titoli Logos Edizioni 2026 (PVP)</t>
        </is>
      </c>
      <c r="O921" s="16">
        <f>IF(ISNUMBER(M921),ROUND(M921*(1-Condizioni!$B$2),2),"")</f>
        <v/>
      </c>
      <c r="P921" s="17" t="inlineStr">
        <is>
          <t>No</t>
        </is>
      </c>
    </row>
    <row r="922">
      <c r="A922" s="14" t="inlineStr">
        <is>
          <t>Logos</t>
        </is>
      </c>
      <c r="B922" s="14" t="inlineStr">
        <is>
          <t>Pinocchio</t>
        </is>
      </c>
      <c r="C922" s="14" t="inlineStr">
        <is>
          <t>Gabriel Pacheco</t>
        </is>
      </c>
      <c r="D922" s="14" t="inlineStr">
        <is>
          <t>Illustrati</t>
        </is>
      </c>
      <c r="E922" s="14" t="inlineStr">
        <is>
          <t>da 3 anni</t>
        </is>
      </c>
      <c r="F922" s="14" t="inlineStr">
        <is>
          <t>3-6 anni</t>
        </is>
      </c>
      <c r="G922" s="14" t="inlineStr">
        <is>
          <t>Albo illustrato</t>
        </is>
      </c>
      <c r="H922" s="14" t="inlineStr"/>
      <c r="I922" s="14" t="inlineStr">
        <is>
          <t>No</t>
        </is>
      </c>
      <c r="J922" s="14" t="inlineStr">
        <is>
          <t>Catalogo</t>
        </is>
      </c>
      <c r="K922" s="14" t="inlineStr">
        <is>
          <t>3-6 anni</t>
        </is>
      </c>
      <c r="L922" s="14" t="inlineStr">
        <is>
          <t>https://www.libri.it/pinocchio-gabriel-pacheco</t>
        </is>
      </c>
      <c r="M922" s="16" t="n">
        <v>25</v>
      </c>
      <c r="N922" s="14" t="inlineStr">
        <is>
          <t>Lista titoli Logos Edizioni 2026 (PVP)</t>
        </is>
      </c>
      <c r="O922" s="16">
        <f>IF(ISNUMBER(M922),ROUND(M922*(1-Condizioni!$B$2),2),"")</f>
        <v/>
      </c>
      <c r="P922" s="17" t="inlineStr">
        <is>
          <t>Sì</t>
        </is>
      </c>
    </row>
    <row r="923">
      <c r="A923" s="14" t="inlineStr">
        <is>
          <t>Logos</t>
        </is>
      </c>
      <c r="B923" s="14" t="inlineStr">
        <is>
          <t>Quintino</t>
        </is>
      </c>
      <c r="C923" s="14" t="inlineStr">
        <is>
          <t xml:space="preserve">Laurent e Olivier Souillé; ill. Clotilde Goubely </t>
        </is>
      </c>
      <c r="D923" s="14" t="inlineStr">
        <is>
          <t>Albo Ciopi</t>
        </is>
      </c>
      <c r="E923" s="14" t="inlineStr">
        <is>
          <t>da 3 anni</t>
        </is>
      </c>
      <c r="F923" s="14" t="inlineStr">
        <is>
          <t>3-6 anni</t>
        </is>
      </c>
      <c r="G923" s="14" t="inlineStr">
        <is>
          <t>Albo illustrato</t>
        </is>
      </c>
      <c r="H923" s="14" t="inlineStr"/>
      <c r="I923" s="14" t="inlineStr">
        <is>
          <t>No</t>
        </is>
      </c>
      <c r="J923" s="14" t="inlineStr">
        <is>
          <t>Catalogo</t>
        </is>
      </c>
      <c r="K923" s="14" t="inlineStr">
        <is>
          <t>3-6 anni</t>
        </is>
      </c>
      <c r="L923" s="14" t="inlineStr">
        <is>
          <t>https://www.libri.it/quintino-un-mostro-troppo-carino</t>
        </is>
      </c>
      <c r="M923" s="16" t="n">
        <v>17</v>
      </c>
      <c r="N923" s="14" t="inlineStr">
        <is>
          <t>Lista titoli Logos Edizioni 2026 (PVP)</t>
        </is>
      </c>
      <c r="O923" s="16">
        <f>IF(ISNUMBER(M923),ROUND(M923*(1-Condizioni!$B$2),2),"")</f>
        <v/>
      </c>
      <c r="P923" s="17" t="inlineStr">
        <is>
          <t>No</t>
        </is>
      </c>
    </row>
    <row r="924">
      <c r="A924" s="14" t="inlineStr">
        <is>
          <t>Logos</t>
        </is>
      </c>
      <c r="B924" s="14" t="inlineStr">
        <is>
          <t>Schiappetta Adora Giocare</t>
        </is>
      </c>
      <c r="C924" s="14" t="inlineStr">
        <is>
          <t xml:space="preserve">Agnès Ledig; ill. Frédéric Pillot </t>
        </is>
      </c>
      <c r="D924" s="14" t="inlineStr">
        <is>
          <t>Ipinipini</t>
        </is>
      </c>
      <c r="E924" s="14" t="inlineStr">
        <is>
          <t>da 3 anni</t>
        </is>
      </c>
      <c r="F924" s="14" t="inlineStr">
        <is>
          <t>3-6 anni</t>
        </is>
      </c>
      <c r="G924" s="14" t="inlineStr">
        <is>
          <t>Albo illustrato</t>
        </is>
      </c>
      <c r="H924" s="14" t="inlineStr"/>
      <c r="I924" s="14" t="inlineStr">
        <is>
          <t>No</t>
        </is>
      </c>
      <c r="J924" s="14" t="inlineStr">
        <is>
          <t>Catalogo</t>
        </is>
      </c>
      <c r="K924" s="14" t="inlineStr">
        <is>
          <t>3-6 anni</t>
        </is>
      </c>
      <c r="L924" s="14" t="inlineStr">
        <is>
          <t>https://www.libri.it/schiappetta-adora-giocare</t>
        </is>
      </c>
      <c r="M924" s="16" t="n">
        <v>12</v>
      </c>
      <c r="N924" s="14" t="inlineStr">
        <is>
          <t>Lista titoli Logos Edizioni 2026 (PVP)</t>
        </is>
      </c>
      <c r="O924" s="16">
        <f>IF(ISNUMBER(M924),ROUND(M924*(1-Condizioni!$B$2),2),"")</f>
        <v/>
      </c>
      <c r="P924" s="17" t="inlineStr">
        <is>
          <t>No</t>
        </is>
      </c>
    </row>
    <row r="925">
      <c r="A925" s="14" t="inlineStr">
        <is>
          <t>Logos</t>
        </is>
      </c>
      <c r="B925" s="14" t="inlineStr">
        <is>
          <t>Schiappetta È Molto Sensibile</t>
        </is>
      </c>
      <c r="C925" s="14" t="inlineStr">
        <is>
          <t xml:space="preserve">Agnès Ledig; ill. Frédéric Pillot </t>
        </is>
      </c>
      <c r="D925" s="14" t="inlineStr">
        <is>
          <t>Ipinipini</t>
        </is>
      </c>
      <c r="E925" s="14" t="inlineStr">
        <is>
          <t>da 3 anni</t>
        </is>
      </c>
      <c r="F925" s="14" t="inlineStr">
        <is>
          <t>3-6 anni</t>
        </is>
      </c>
      <c r="G925" s="14" t="inlineStr">
        <is>
          <t>Albo illustrato</t>
        </is>
      </c>
      <c r="H925" s="14" t="inlineStr"/>
      <c r="I925" s="14" t="inlineStr">
        <is>
          <t>No</t>
        </is>
      </c>
      <c r="J925" s="14" t="inlineStr">
        <is>
          <t>Catalogo</t>
        </is>
      </c>
      <c r="K925" s="14" t="inlineStr">
        <is>
          <t>3-6 anni</t>
        </is>
      </c>
      <c r="L925" s="14" t="inlineStr">
        <is>
          <t>https://www.libri.it/schiappetta-sensibile</t>
        </is>
      </c>
      <c r="M925" s="16" t="n">
        <v>12</v>
      </c>
      <c r="N925" s="14" t="inlineStr">
        <is>
          <t>Lista titoli Logos Edizioni 2026 (PVP)</t>
        </is>
      </c>
      <c r="O925" s="16">
        <f>IF(ISNUMBER(M925),ROUND(M925*(1-Condizioni!$B$2),2),"")</f>
        <v/>
      </c>
      <c r="P925" s="17" t="inlineStr">
        <is>
          <t>No</t>
        </is>
      </c>
    </row>
    <row r="926">
      <c r="A926" s="14" t="inlineStr">
        <is>
          <t>Logos</t>
        </is>
      </c>
      <c r="B926" s="14" t="inlineStr">
        <is>
          <t>Sono Assolutamente Troppo Piccola per Andare a Scuola</t>
        </is>
      </c>
      <c r="C926" s="14" t="inlineStr">
        <is>
          <t>Lauren Child</t>
        </is>
      </c>
      <c r="D926" s="14" t="inlineStr">
        <is>
          <t>Albo Ciopi</t>
        </is>
      </c>
      <c r="E926" s="14" t="inlineStr">
        <is>
          <t>da 3 anni</t>
        </is>
      </c>
      <c r="F926" s="14" t="inlineStr">
        <is>
          <t>3-6 anni</t>
        </is>
      </c>
      <c r="G926" s="14" t="inlineStr">
        <is>
          <t>Albo illustrato</t>
        </is>
      </c>
      <c r="H926" s="14" t="inlineStr"/>
      <c r="I926" s="14" t="inlineStr">
        <is>
          <t>No</t>
        </is>
      </c>
      <c r="J926" s="14" t="inlineStr">
        <is>
          <t>Catalogo</t>
        </is>
      </c>
      <c r="K926" s="14" t="inlineStr">
        <is>
          <t>3-6 anni</t>
        </is>
      </c>
      <c r="L926" s="14" t="inlineStr">
        <is>
          <t>https://www.libri.it/charlie-e-lola-school</t>
        </is>
      </c>
      <c r="M926" s="16" t="n">
        <v>16.5</v>
      </c>
      <c r="N926" s="14" t="inlineStr">
        <is>
          <t>Lista titoli Logos Edizioni 2026 (PVP)</t>
        </is>
      </c>
      <c r="O926" s="16">
        <f>IF(ISNUMBER(M926),ROUND(M926*(1-Condizioni!$B$2),2),"")</f>
        <v/>
      </c>
      <c r="P926" s="17" t="inlineStr">
        <is>
          <t>No</t>
        </is>
      </c>
    </row>
    <row r="927">
      <c r="A927" s="14" t="inlineStr">
        <is>
          <t>Logos</t>
        </is>
      </c>
      <c r="B927" s="14" t="inlineStr">
        <is>
          <t>Superciuccio Vol.1</t>
        </is>
      </c>
      <c r="C927" s="14" t="inlineStr">
        <is>
          <t>Christophe Nicolas; ill. Guillaume Long</t>
        </is>
      </c>
      <c r="D927" s="14" t="inlineStr">
        <is>
          <t>Fumetto Ciopi</t>
        </is>
      </c>
      <c r="E927" s="14" t="inlineStr">
        <is>
          <t>da 3 anni</t>
        </is>
      </c>
      <c r="F927" s="14" t="inlineStr">
        <is>
          <t>3-6 anni</t>
        </is>
      </c>
      <c r="G927" s="14" t="inlineStr">
        <is>
          <t>Graphic novel/Fumetto</t>
        </is>
      </c>
      <c r="H927" s="14" t="inlineStr"/>
      <c r="I927" s="14" t="inlineStr">
        <is>
          <t>No</t>
        </is>
      </c>
      <c r="J927" s="14" t="inlineStr">
        <is>
          <t>Catalogo</t>
        </is>
      </c>
      <c r="K927" s="14" t="inlineStr">
        <is>
          <t>3-6 anni</t>
        </is>
      </c>
      <c r="L927" s="14" t="inlineStr">
        <is>
          <t>https://www.libri.it/superciuccio-1</t>
        </is>
      </c>
      <c r="M927" s="16" t="n">
        <v>14</v>
      </c>
      <c r="N927" s="14" t="inlineStr">
        <is>
          <t>Lista titoli Logos Edizioni 2026 (PVP)</t>
        </is>
      </c>
      <c r="O927" s="16">
        <f>IF(ISNUMBER(M927),ROUND(M927*(1-Condizioni!$B$2),2),"")</f>
        <v/>
      </c>
      <c r="P927" s="17" t="inlineStr">
        <is>
          <t>No</t>
        </is>
      </c>
    </row>
    <row r="928">
      <c r="A928" s="14" t="inlineStr">
        <is>
          <t>Logos</t>
        </is>
      </c>
      <c r="B928" s="14" t="inlineStr">
        <is>
          <t>Superciuccio Vol.2</t>
        </is>
      </c>
      <c r="C928" s="14" t="inlineStr">
        <is>
          <t>Christophe Nicolas; ill. Guillaume Long</t>
        </is>
      </c>
      <c r="D928" s="14" t="inlineStr">
        <is>
          <t>Fumetto Ciopi</t>
        </is>
      </c>
      <c r="E928" s="14" t="inlineStr">
        <is>
          <t>da 3 anni</t>
        </is>
      </c>
      <c r="F928" s="14" t="inlineStr">
        <is>
          <t>3-6 anni</t>
        </is>
      </c>
      <c r="G928" s="14" t="inlineStr">
        <is>
          <t>Graphic novel/Fumetto</t>
        </is>
      </c>
      <c r="H928" s="14" t="inlineStr"/>
      <c r="I928" s="14" t="inlineStr">
        <is>
          <t>No</t>
        </is>
      </c>
      <c r="J928" s="14" t="inlineStr">
        <is>
          <t>Catalogo</t>
        </is>
      </c>
      <c r="K928" s="14" t="inlineStr">
        <is>
          <t>3-6 anni</t>
        </is>
      </c>
      <c r="L928" s="14" t="inlineStr">
        <is>
          <t>https://www.libri.it/superciuccio-2</t>
        </is>
      </c>
      <c r="M928" s="16" t="n">
        <v>14</v>
      </c>
      <c r="N928" s="14" t="inlineStr">
        <is>
          <t>Lista titoli Logos Edizioni 2026 (PVP)</t>
        </is>
      </c>
      <c r="O928" s="16">
        <f>IF(ISNUMBER(M928),ROUND(M928*(1-Condizioni!$B$2),2),"")</f>
        <v/>
      </c>
      <c r="P928" s="17" t="inlineStr">
        <is>
          <t>No</t>
        </is>
      </c>
    </row>
    <row r="929">
      <c r="A929" s="14" t="inlineStr">
        <is>
          <t>Logos</t>
        </is>
      </c>
      <c r="B929" s="14" t="inlineStr">
        <is>
          <t>Superciuccio Vol.3</t>
        </is>
      </c>
      <c r="C929" s="14" t="inlineStr">
        <is>
          <t>Christophe Nicolas; ill. Guillaume Long</t>
        </is>
      </c>
      <c r="D929" s="14" t="inlineStr">
        <is>
          <t>Fumetto Ciopi</t>
        </is>
      </c>
      <c r="E929" s="14" t="inlineStr">
        <is>
          <t>da 3 anni</t>
        </is>
      </c>
      <c r="F929" s="14" t="inlineStr">
        <is>
          <t>3-6 anni</t>
        </is>
      </c>
      <c r="G929" s="14" t="inlineStr">
        <is>
          <t>Graphic novel/Fumetto</t>
        </is>
      </c>
      <c r="H929" s="14" t="inlineStr"/>
      <c r="I929" s="14" t="inlineStr">
        <is>
          <t>No</t>
        </is>
      </c>
      <c r="J929" s="14" t="inlineStr">
        <is>
          <t>Catalogo</t>
        </is>
      </c>
      <c r="K929" s="14" t="inlineStr">
        <is>
          <t>3-6 anni</t>
        </is>
      </c>
      <c r="L929" s="14" t="inlineStr">
        <is>
          <t>https://www.libri.it/superciuccio-3</t>
        </is>
      </c>
      <c r="M929" s="16" t="n">
        <v>14</v>
      </c>
      <c r="N929" s="14" t="inlineStr">
        <is>
          <t>Lista titoli Logos Edizioni 2026 (PVP)</t>
        </is>
      </c>
      <c r="O929" s="16">
        <f>IF(ISNUMBER(M929),ROUND(M929*(1-Condizioni!$B$2),2),"")</f>
        <v/>
      </c>
      <c r="P929" s="17" t="inlineStr">
        <is>
          <t>No</t>
        </is>
      </c>
    </row>
    <row r="930">
      <c r="A930" s="14" t="inlineStr">
        <is>
          <t>Logos</t>
        </is>
      </c>
      <c r="B930" s="14" t="inlineStr">
        <is>
          <t>Tilu Blu Si Prepara al Natale</t>
        </is>
      </c>
      <c r="C930" s="14" t="inlineStr">
        <is>
          <t>Daniel Picouly; ill. Frédéric Pillot</t>
        </is>
      </c>
      <c r="D930" s="14" t="inlineStr">
        <is>
          <t>Albo Ciopi</t>
        </is>
      </c>
      <c r="E930" s="14" t="inlineStr">
        <is>
          <t>da 3 anni</t>
        </is>
      </c>
      <c r="F930" s="14" t="inlineStr">
        <is>
          <t>3-6 anni</t>
        </is>
      </c>
      <c r="G930" s="14" t="inlineStr">
        <is>
          <t>Albo illustrato</t>
        </is>
      </c>
      <c r="H930" s="14" t="inlineStr"/>
      <c r="I930" s="14" t="inlineStr">
        <is>
          <t>No</t>
        </is>
      </c>
      <c r="J930" s="14" t="inlineStr">
        <is>
          <t>Catalogo</t>
        </is>
      </c>
      <c r="K930" s="14" t="inlineStr">
        <is>
          <t>3-6 anni</t>
        </is>
      </c>
      <c r="L930" s="14" t="inlineStr">
        <is>
          <t>https://www.libri.it/tilu-natale</t>
        </is>
      </c>
      <c r="M930" s="16" t="n">
        <v>17</v>
      </c>
      <c r="N930" s="14" t="inlineStr">
        <is>
          <t>Lista titoli Logos Edizioni 2026 (PVP)</t>
        </is>
      </c>
      <c r="O930" s="16">
        <f>IF(ISNUMBER(M930),ROUND(M930*(1-Condizioni!$B$2),2),"")</f>
        <v/>
      </c>
      <c r="P930" s="17" t="inlineStr">
        <is>
          <t>No</t>
        </is>
      </c>
    </row>
    <row r="931">
      <c r="A931" s="14" t="inlineStr">
        <is>
          <t>Logos</t>
        </is>
      </c>
      <c r="B931" s="14" t="inlineStr">
        <is>
          <t>Troviamo un Tesoro</t>
        </is>
      </c>
      <c r="C931" s="14" t="inlineStr">
        <is>
          <t>Janosch</t>
        </is>
      </c>
      <c r="D931" s="14" t="inlineStr">
        <is>
          <t>Biblioteca Ciopi</t>
        </is>
      </c>
      <c r="E931" s="14" t="inlineStr">
        <is>
          <t>da 3 anni</t>
        </is>
      </c>
      <c r="F931" s="14" t="inlineStr">
        <is>
          <t>3-6 anni</t>
        </is>
      </c>
      <c r="G931" s="14" t="inlineStr">
        <is>
          <t>Narrativa</t>
        </is>
      </c>
      <c r="H931" s="14" t="inlineStr"/>
      <c r="I931" s="14" t="inlineStr">
        <is>
          <t>No</t>
        </is>
      </c>
      <c r="J931" s="14" t="inlineStr">
        <is>
          <t>Catalogo</t>
        </is>
      </c>
      <c r="K931" s="14" t="inlineStr">
        <is>
          <t>3-6 anni, narrativa</t>
        </is>
      </c>
      <c r="L931" s="14" t="inlineStr">
        <is>
          <t>https://www.libri.it/troviamo-un-tesoro</t>
        </is>
      </c>
      <c r="M931" s="16" t="n">
        <v>8</v>
      </c>
      <c r="N931" s="14" t="inlineStr">
        <is>
          <t>Lista titoli Logos Edizioni 2026 (PVP)</t>
        </is>
      </c>
      <c r="O931" s="16">
        <f>IF(ISNUMBER(M931),ROUND(M931*(1-Condizioni!$B$2),2),"")</f>
        <v/>
      </c>
      <c r="P931" s="17" t="inlineStr">
        <is>
          <t>No</t>
        </is>
      </c>
    </row>
    <row r="932">
      <c r="A932" s="14" t="inlineStr">
        <is>
          <t>Logos</t>
        </is>
      </c>
      <c r="B932" s="14" t="inlineStr">
        <is>
          <t>Un Cane con le Orecchie Belle</t>
        </is>
      </c>
      <c r="C932" s="14" t="inlineStr">
        <is>
          <t>Lauren Child</t>
        </is>
      </c>
      <c r="D932" s="14" t="inlineStr">
        <is>
          <t>Albo Ciopi</t>
        </is>
      </c>
      <c r="E932" s="14" t="inlineStr">
        <is>
          <t>da 3 anni</t>
        </is>
      </c>
      <c r="F932" s="14" t="inlineStr">
        <is>
          <t>3-6 anni</t>
        </is>
      </c>
      <c r="G932" s="14" t="inlineStr">
        <is>
          <t>Albo illustrato</t>
        </is>
      </c>
      <c r="H932" s="14" t="inlineStr"/>
      <c r="I932" s="14" t="inlineStr">
        <is>
          <t>No</t>
        </is>
      </c>
      <c r="J932" s="14" t="inlineStr">
        <is>
          <t>Catalogo</t>
        </is>
      </c>
      <c r="K932" s="14" t="inlineStr">
        <is>
          <t>3-6 anni</t>
        </is>
      </c>
      <c r="L932" s="14" t="inlineStr">
        <is>
          <t>https://www.libri.it/cane-con-le-orecchie-belle</t>
        </is>
      </c>
      <c r="M932" s="16" t="n">
        <v>16.5</v>
      </c>
      <c r="N932" s="14" t="inlineStr">
        <is>
          <t>Lista titoli Logos Edizioni 2026 (PVP)</t>
        </is>
      </c>
      <c r="O932" s="16">
        <f>IF(ISNUMBER(M932),ROUND(M932*(1-Condizioni!$B$2),2),"")</f>
        <v/>
      </c>
      <c r="P932" s="17" t="inlineStr">
        <is>
          <t>No</t>
        </is>
      </c>
    </row>
    <row r="933">
      <c r="A933" s="14" t="inlineStr">
        <is>
          <t>Logos</t>
        </is>
      </c>
      <c r="B933" s="14" t="inlineStr">
        <is>
          <t>Un Piccolo Cappuccetto Rosso</t>
        </is>
      </c>
      <c r="C933" s="14" t="inlineStr">
        <is>
          <t>Marjolaine Leray</t>
        </is>
      </c>
      <c r="D933" s="14" t="inlineStr">
        <is>
          <t>Albo Ciopi</t>
        </is>
      </c>
      <c r="E933" s="14" t="inlineStr">
        <is>
          <t>da 3 anni</t>
        </is>
      </c>
      <c r="F933" s="14" t="inlineStr">
        <is>
          <t>3-6 anni</t>
        </is>
      </c>
      <c r="G933" s="14" t="inlineStr">
        <is>
          <t>Albo illustrato</t>
        </is>
      </c>
      <c r="H933" s="14" t="inlineStr"/>
      <c r="I933" s="14" t="inlineStr">
        <is>
          <t>No</t>
        </is>
      </c>
      <c r="J933" s="14" t="inlineStr">
        <is>
          <t>Catalogo</t>
        </is>
      </c>
      <c r="K933" s="14" t="inlineStr">
        <is>
          <t>3-6 anni</t>
        </is>
      </c>
      <c r="L933" s="14" t="inlineStr">
        <is>
          <t>https://www.libri.it/un-piccolo-cappuccetto-rosso</t>
        </is>
      </c>
      <c r="M933" s="16" t="n">
        <v>12</v>
      </c>
      <c r="N933" s="14" t="inlineStr">
        <is>
          <t>Lista titoli Logos Edizioni 2026 (PVP)</t>
        </is>
      </c>
      <c r="O933" s="16">
        <f>IF(ISNUMBER(M933),ROUND(M933*(1-Condizioni!$B$2),2),"")</f>
        <v/>
      </c>
      <c r="P933" s="17" t="inlineStr">
        <is>
          <t>No</t>
        </is>
      </c>
    </row>
    <row r="934">
      <c r="A934" s="14" t="inlineStr">
        <is>
          <t>Logos</t>
        </is>
      </c>
      <c r="B934" s="14" t="inlineStr">
        <is>
          <t>Un Regalo per la Mamma</t>
        </is>
      </c>
      <c r="C934" s="14" t="inlineStr">
        <is>
          <t>Lawrence Schimel; ill. Alessandra Manfredi</t>
        </is>
      </c>
      <c r="D934" s="14" t="inlineStr">
        <is>
          <t>Albo Ciopi</t>
        </is>
      </c>
      <c r="E934" s="14" t="inlineStr">
        <is>
          <t>da 3 anni</t>
        </is>
      </c>
      <c r="F934" s="14" t="inlineStr">
        <is>
          <t>3-6 anni</t>
        </is>
      </c>
      <c r="G934" s="14" t="inlineStr">
        <is>
          <t>Albo illustrato</t>
        </is>
      </c>
      <c r="H934" s="14" t="inlineStr"/>
      <c r="I934" s="14" t="inlineStr">
        <is>
          <t>No</t>
        </is>
      </c>
      <c r="J934" s="14" t="inlineStr">
        <is>
          <t>Catalogo</t>
        </is>
      </c>
      <c r="K934" s="14" t="inlineStr">
        <is>
          <t>3-6 anni</t>
        </is>
      </c>
      <c r="L934" s="14" t="inlineStr">
        <is>
          <t>https://www.libri.it/un-regalo-per-la-mamma</t>
        </is>
      </c>
      <c r="M934" s="16" t="n">
        <v>18</v>
      </c>
      <c r="N934" s="14" t="inlineStr">
        <is>
          <t>Lista titoli Logos Edizioni 2026 (PVP)</t>
        </is>
      </c>
      <c r="O934" s="16">
        <f>IF(ISNUMBER(M934),ROUND(M934*(1-Condizioni!$B$2),2),"")</f>
        <v/>
      </c>
      <c r="P934" s="17" t="inlineStr">
        <is>
          <t>No</t>
        </is>
      </c>
    </row>
    <row r="935">
      <c r="A935" s="14" t="inlineStr">
        <is>
          <t>Logos</t>
        </is>
      </c>
      <c r="B935" s="14" t="inlineStr">
        <is>
          <t>Una Bicicletta per Piccolo Tigre</t>
        </is>
      </c>
      <c r="C935" s="14" t="inlineStr">
        <is>
          <t>Janosch</t>
        </is>
      </c>
      <c r="D935" s="14" t="inlineStr">
        <is>
          <t>Biblioteca Ciopi</t>
        </is>
      </c>
      <c r="E935" s="14" t="inlineStr">
        <is>
          <t>da 3 anni</t>
        </is>
      </c>
      <c r="F935" s="14" t="inlineStr">
        <is>
          <t>3-6 anni</t>
        </is>
      </c>
      <c r="G935" s="14" t="inlineStr">
        <is>
          <t>Narrativa</t>
        </is>
      </c>
      <c r="H935" s="14" t="inlineStr"/>
      <c r="I935" s="14" t="inlineStr">
        <is>
          <t>No</t>
        </is>
      </c>
      <c r="J935" s="14" t="inlineStr">
        <is>
          <t>Catalogo</t>
        </is>
      </c>
      <c r="K935" s="14" t="inlineStr">
        <is>
          <t>3-6 anni, narrativa</t>
        </is>
      </c>
      <c r="L935" s="14" t="inlineStr">
        <is>
          <t>https://www.libri.it/una-bicicletta-per-piccolo-tigre</t>
        </is>
      </c>
      <c r="M935" s="16" t="n">
        <v>8</v>
      </c>
      <c r="N935" s="14" t="inlineStr">
        <is>
          <t>Lista titoli Logos Edizioni 2026 (PVP)</t>
        </is>
      </c>
      <c r="O935" s="16">
        <f>IF(ISNUMBER(M935),ROUND(M935*(1-Condizioni!$B$2),2),"")</f>
        <v/>
      </c>
      <c r="P935" s="17" t="inlineStr">
        <is>
          <t>No</t>
        </is>
      </c>
    </row>
    <row r="936">
      <c r="A936" s="14" t="inlineStr">
        <is>
          <t>Logos</t>
        </is>
      </c>
      <c r="B936" s="14" t="inlineStr">
        <is>
          <t>Una Storia Piena di Lupi</t>
        </is>
      </c>
      <c r="C936" s="14" t="inlineStr">
        <is>
          <t>Roberto Aliaga; ill. Roger Olmos</t>
        </is>
      </c>
      <c r="D936" s="14" t="inlineStr">
        <is>
          <t>Albo Ciopi</t>
        </is>
      </c>
      <c r="E936" s="14" t="inlineStr">
        <is>
          <t>da 3 anni</t>
        </is>
      </c>
      <c r="F936" s="14" t="inlineStr">
        <is>
          <t>3-6 anni</t>
        </is>
      </c>
      <c r="G936" s="14" t="inlineStr">
        <is>
          <t>Albo illustrato</t>
        </is>
      </c>
      <c r="H936" s="14" t="inlineStr"/>
      <c r="I936" s="14" t="inlineStr">
        <is>
          <t>No</t>
        </is>
      </c>
      <c r="J936" s="14" t="inlineStr">
        <is>
          <t>Catalogo</t>
        </is>
      </c>
      <c r="K936" s="14" t="inlineStr">
        <is>
          <t>3-6 anni</t>
        </is>
      </c>
      <c r="L936" s="14" t="inlineStr">
        <is>
          <t>https://www.libri.it/una-storia-piena-di-lupi</t>
        </is>
      </c>
      <c r="M936" s="16" t="n">
        <v>16</v>
      </c>
      <c r="N936" s="14" t="inlineStr">
        <is>
          <t>Lista titoli Logos Edizioni 2026 (PVP)</t>
        </is>
      </c>
      <c r="O936" s="16">
        <f>IF(ISNUMBER(M936),ROUND(M936*(1-Condizioni!$B$2),2),"")</f>
        <v/>
      </c>
      <c r="P936" s="17" t="inlineStr">
        <is>
          <t>No</t>
        </is>
      </c>
    </row>
    <row r="937">
      <c r="A937" s="14" t="inlineStr">
        <is>
          <t>Logos</t>
        </is>
      </c>
      <c r="B937" s="14" t="inlineStr">
        <is>
          <t>Urla Daisy, Urla</t>
        </is>
      </c>
      <c r="C937" s="14" t="inlineStr">
        <is>
          <t>Jane Simmons</t>
        </is>
      </c>
      <c r="D937" s="14" t="inlineStr">
        <is>
          <t>Albo Ciopi</t>
        </is>
      </c>
      <c r="E937" s="14" t="inlineStr">
        <is>
          <t>da 3 anni</t>
        </is>
      </c>
      <c r="F937" s="14" t="inlineStr">
        <is>
          <t>3-6 anni</t>
        </is>
      </c>
      <c r="G937" s="14" t="inlineStr">
        <is>
          <t>Albo illustrato</t>
        </is>
      </c>
      <c r="H937" s="14" t="inlineStr"/>
      <c r="I937" s="14" t="inlineStr">
        <is>
          <t>No</t>
        </is>
      </c>
      <c r="J937" s="14" t="inlineStr">
        <is>
          <t>Catalogo</t>
        </is>
      </c>
      <c r="K937" s="14" t="inlineStr">
        <is>
          <t>3-6 anni</t>
        </is>
      </c>
      <c r="L937" s="14" t="inlineStr">
        <is>
          <t>https://www.libri.it/urla-daisy-urla</t>
        </is>
      </c>
      <c r="M937" s="16" t="n">
        <v>17</v>
      </c>
      <c r="N937" s="14" t="inlineStr">
        <is>
          <t>Lista titoli Logos Edizioni 2026 (PVP)</t>
        </is>
      </c>
      <c r="O937" s="16">
        <f>IF(ISNUMBER(M937),ROUND(M937*(1-Condizioni!$B$2),2),"")</f>
        <v/>
      </c>
      <c r="P937" s="17" t="inlineStr">
        <is>
          <t>No</t>
        </is>
      </c>
    </row>
    <row r="938">
      <c r="A938" s="14" t="inlineStr">
        <is>
          <t>Logos</t>
        </is>
      </c>
      <c r="B938" s="14" t="inlineStr">
        <is>
          <t>Va Tutto Bene Merlino!</t>
        </is>
      </c>
      <c r="C938" s="14" t="inlineStr">
        <is>
          <t>Emmanuelle Houdart</t>
        </is>
      </c>
      <c r="D938" s="14" t="inlineStr">
        <is>
          <t>Albo Ciopi</t>
        </is>
      </c>
      <c r="E938" s="14" t="inlineStr">
        <is>
          <t>da 3 anni</t>
        </is>
      </c>
      <c r="F938" s="14" t="inlineStr">
        <is>
          <t>3-6 anni</t>
        </is>
      </c>
      <c r="G938" s="14" t="inlineStr">
        <is>
          <t>Albo illustrato</t>
        </is>
      </c>
      <c r="H938" s="14" t="inlineStr"/>
      <c r="I938" s="14" t="inlineStr">
        <is>
          <t>No</t>
        </is>
      </c>
      <c r="J938" s="14" t="inlineStr">
        <is>
          <t>Catalogo</t>
        </is>
      </c>
      <c r="K938" s="14" t="inlineStr">
        <is>
          <t>3-6 anni</t>
        </is>
      </c>
      <c r="L938" s="14" t="inlineStr">
        <is>
          <t>https://www.libri.it/va-tutto-bene-merlino</t>
        </is>
      </c>
      <c r="M938" s="16" t="n">
        <v>15</v>
      </c>
      <c r="N938" s="14" t="inlineStr">
        <is>
          <t>Lista titoli Logos Edizioni 2026 (PVP)</t>
        </is>
      </c>
      <c r="O938" s="16">
        <f>IF(ISNUMBER(M938),ROUND(M938*(1-Condizioni!$B$2),2),"")</f>
        <v/>
      </c>
      <c r="P938" s="17" t="inlineStr">
        <is>
          <t>No</t>
        </is>
      </c>
    </row>
    <row r="939">
      <c r="A939" s="14" t="inlineStr">
        <is>
          <t>Logos</t>
        </is>
      </c>
      <c r="B939" s="14" t="inlineStr">
        <is>
          <t>Abbecedario Stravagante</t>
        </is>
      </c>
      <c r="C939" s="14" t="inlineStr">
        <is>
          <t>Isol</t>
        </is>
      </c>
      <c r="D939" s="14" t="inlineStr">
        <is>
          <t>Albo Ciopi</t>
        </is>
      </c>
      <c r="E939" s="14" t="inlineStr">
        <is>
          <t>da 6 anni</t>
        </is>
      </c>
      <c r="F939" s="14" t="inlineStr">
        <is>
          <t>Prime letture (6-8)</t>
        </is>
      </c>
      <c r="G939" s="14" t="inlineStr">
        <is>
          <t>Albo illustrato</t>
        </is>
      </c>
      <c r="H939" s="14" t="inlineStr"/>
      <c r="I939" s="14" t="inlineStr">
        <is>
          <t>No</t>
        </is>
      </c>
      <c r="J939" s="14" t="inlineStr">
        <is>
          <t>Catalogo</t>
        </is>
      </c>
      <c r="K939" s="14" t="inlineStr">
        <is>
          <t>prime letture</t>
        </is>
      </c>
      <c r="L939" s="14" t="inlineStr">
        <is>
          <t>https://www.libri.it/abbecedario</t>
        </is>
      </c>
      <c r="M939" s="16" t="n">
        <v>16</v>
      </c>
      <c r="N939" s="14" t="inlineStr">
        <is>
          <t>Lista titoli Logos Edizioni 2026 (PVP)</t>
        </is>
      </c>
      <c r="O939" s="16">
        <f>IF(ISNUMBER(M939),ROUND(M939*(1-Condizioni!$B$2),2),"")</f>
        <v/>
      </c>
      <c r="P939" s="17" t="inlineStr">
        <is>
          <t>No</t>
        </is>
      </c>
    </row>
    <row r="940">
      <c r="A940" s="14" t="inlineStr">
        <is>
          <t>Logos</t>
        </is>
      </c>
      <c r="B940" s="14" t="inlineStr">
        <is>
          <t>Agente Riccioli d’Oro</t>
        </is>
      </c>
      <c r="C940" s="14" t="inlineStr">
        <is>
          <t>El Hematocrítico; ill. Alberto Vázquez</t>
        </is>
      </c>
      <c r="D940" s="14" t="inlineStr">
        <is>
          <t>Biblioteca Ciopi</t>
        </is>
      </c>
      <c r="E940" s="14" t="inlineStr">
        <is>
          <t>da 6 anni</t>
        </is>
      </c>
      <c r="F940" s="14" t="inlineStr">
        <is>
          <t>Prime letture (6-8)</t>
        </is>
      </c>
      <c r="G940" s="14" t="inlineStr">
        <is>
          <t>Narrativa</t>
        </is>
      </c>
      <c r="H940" s="14" t="inlineStr"/>
      <c r="I940" s="14" t="inlineStr">
        <is>
          <t>No</t>
        </is>
      </c>
      <c r="J940" s="14" t="inlineStr">
        <is>
          <t>Catalogo</t>
        </is>
      </c>
      <c r="K940" s="14" t="inlineStr">
        <is>
          <t>prime letture, narrativa</t>
        </is>
      </c>
      <c r="L940" s="14" t="inlineStr">
        <is>
          <t>https://www.libri.it/agente-riccioli-d-oro</t>
        </is>
      </c>
      <c r="M940" s="16" t="n">
        <v>12</v>
      </c>
      <c r="N940" s="14" t="inlineStr">
        <is>
          <t>Lista titoli Logos Edizioni 2026 (PVP)</t>
        </is>
      </c>
      <c r="O940" s="16">
        <f>IF(ISNUMBER(M940),ROUND(M940*(1-Condizioni!$B$2),2),"")</f>
        <v/>
      </c>
      <c r="P940" s="17" t="inlineStr">
        <is>
          <t>No</t>
        </is>
      </c>
    </row>
    <row r="941">
      <c r="A941" s="14" t="inlineStr">
        <is>
          <t>Logos</t>
        </is>
      </c>
      <c r="B941" s="14" t="inlineStr">
        <is>
          <t>Al Luuuuuuupo</t>
        </is>
      </c>
      <c r="C941" s="14" t="inlineStr">
        <is>
          <t>André Bouchard</t>
        </is>
      </c>
      <c r="D941" s="14" t="inlineStr">
        <is>
          <t>Albo Ciopi</t>
        </is>
      </c>
      <c r="E941" s="14" t="inlineStr">
        <is>
          <t>da 6 anni</t>
        </is>
      </c>
      <c r="F941" s="14" t="inlineStr">
        <is>
          <t>Prime letture (6-8)</t>
        </is>
      </c>
      <c r="G941" s="14" t="inlineStr">
        <is>
          <t>Albo illustrato</t>
        </is>
      </c>
      <c r="H941" s="14" t="inlineStr"/>
      <c r="I941" s="14" t="inlineStr">
        <is>
          <t>No</t>
        </is>
      </c>
      <c r="J941" s="14" t="inlineStr">
        <is>
          <t>Catalogo</t>
        </is>
      </c>
      <c r="K941" s="14" t="inlineStr">
        <is>
          <t>prime letture</t>
        </is>
      </c>
      <c r="L941" s="14" t="inlineStr">
        <is>
          <t>https://www.libri.it/al-luuuuuuupo</t>
        </is>
      </c>
      <c r="M941" s="16" t="n">
        <v>18</v>
      </c>
      <c r="N941" s="14" t="inlineStr">
        <is>
          <t>Lista titoli Logos Edizioni 2026 (PVP)</t>
        </is>
      </c>
      <c r="O941" s="16">
        <f>IF(ISNUMBER(M941),ROUND(M941*(1-Condizioni!$B$2),2),"")</f>
        <v/>
      </c>
      <c r="P941" s="17" t="inlineStr">
        <is>
          <t>No</t>
        </is>
      </c>
    </row>
    <row r="942">
      <c r="A942" s="14" t="inlineStr">
        <is>
          <t>Logos</t>
        </is>
      </c>
      <c r="B942" s="14" t="inlineStr">
        <is>
          <t>Alfred non Ama la Moda</t>
        </is>
      </c>
      <c r="C942" s="14" t="inlineStr">
        <is>
          <t>André Bouchard</t>
        </is>
      </c>
      <c r="D942" s="14" t="inlineStr">
        <is>
          <t>Biblioteca Ciopi</t>
        </is>
      </c>
      <c r="E942" s="14" t="inlineStr">
        <is>
          <t>da 6 anni</t>
        </is>
      </c>
      <c r="F942" s="14" t="inlineStr">
        <is>
          <t>Prime letture (6-8)</t>
        </is>
      </c>
      <c r="G942" s="14" t="inlineStr">
        <is>
          <t>Narrativa</t>
        </is>
      </c>
      <c r="H942" s="14" t="inlineStr"/>
      <c r="I942" s="14" t="inlineStr">
        <is>
          <t>No</t>
        </is>
      </c>
      <c r="J942" s="14" t="inlineStr">
        <is>
          <t>Catalogo</t>
        </is>
      </c>
      <c r="K942" s="14" t="inlineStr">
        <is>
          <t>prime letture, narrativa</t>
        </is>
      </c>
      <c r="L942" s="14" t="inlineStr">
        <is>
          <t>https://www.libri.it/alfred</t>
        </is>
      </c>
      <c r="M942" s="16" t="n">
        <v>10</v>
      </c>
      <c r="N942" s="14" t="inlineStr">
        <is>
          <t>Lista titoli Logos Edizioni 2026 (PVP)</t>
        </is>
      </c>
      <c r="O942" s="16">
        <f>IF(ISNUMBER(M942),ROUND(M942*(1-Condizioni!$B$2),2),"")</f>
        <v/>
      </c>
      <c r="P942" s="17" t="inlineStr">
        <is>
          <t>No</t>
        </is>
      </c>
    </row>
    <row r="943">
      <c r="A943" s="14" t="inlineStr">
        <is>
          <t>Logos</t>
        </is>
      </c>
      <c r="B943" s="14" t="inlineStr">
        <is>
          <t>Antonietta</t>
        </is>
      </c>
      <c r="C943" s="14" t="inlineStr">
        <is>
          <t>Lucía Baquedano; ill. Alessandra Manfredi</t>
        </is>
      </c>
      <c r="D943" s="14" t="inlineStr">
        <is>
          <t>Biblioteca Ciopi</t>
        </is>
      </c>
      <c r="E943" s="14" t="inlineStr">
        <is>
          <t>da 6 anni</t>
        </is>
      </c>
      <c r="F943" s="14" t="inlineStr">
        <is>
          <t>Prime letture (6-8)</t>
        </is>
      </c>
      <c r="G943" s="14" t="inlineStr">
        <is>
          <t>Narrativa</t>
        </is>
      </c>
      <c r="H943" s="14" t="inlineStr"/>
      <c r="I943" s="14" t="inlineStr">
        <is>
          <t>No</t>
        </is>
      </c>
      <c r="J943" s="14" t="inlineStr">
        <is>
          <t>Catalogo</t>
        </is>
      </c>
      <c r="K943" s="14" t="inlineStr">
        <is>
          <t>prime letture, narrativa</t>
        </is>
      </c>
      <c r="L943" s="14" t="inlineStr">
        <is>
          <t>https://www.libri.it/antonietta</t>
        </is>
      </c>
      <c r="M943" s="16" t="n">
        <v>9</v>
      </c>
      <c r="N943" s="14" t="inlineStr">
        <is>
          <t>Lista titoli Logos Edizioni 2026 (PVP)</t>
        </is>
      </c>
      <c r="O943" s="16">
        <f>IF(ISNUMBER(M943),ROUND(M943*(1-Condizioni!$B$2),2),"")</f>
        <v/>
      </c>
      <c r="P943" s="17" t="inlineStr">
        <is>
          <t>No</t>
        </is>
      </c>
    </row>
    <row r="944">
      <c r="A944" s="14" t="inlineStr">
        <is>
          <t>Logos</t>
        </is>
      </c>
      <c r="B944" s="14" t="inlineStr">
        <is>
          <t>Aprile. il Pesce Rosso</t>
        </is>
      </c>
      <c r="C944" s="14" t="inlineStr">
        <is>
          <t>Marjolaine Leray</t>
        </is>
      </c>
      <c r="D944" s="14" t="inlineStr">
        <is>
          <t>Albo Ciopi</t>
        </is>
      </c>
      <c r="E944" s="14" t="inlineStr">
        <is>
          <t>da 6 anni</t>
        </is>
      </c>
      <c r="F944" s="14" t="inlineStr">
        <is>
          <t>Prime letture (6-8)</t>
        </is>
      </c>
      <c r="G944" s="14" t="inlineStr">
        <is>
          <t>Albo illustrato</t>
        </is>
      </c>
      <c r="H944" s="14" t="inlineStr"/>
      <c r="I944" s="14" t="inlineStr">
        <is>
          <t>No</t>
        </is>
      </c>
      <c r="J944" s="14" t="inlineStr">
        <is>
          <t>Catalogo</t>
        </is>
      </c>
      <c r="K944" s="14" t="inlineStr">
        <is>
          <t>prime letture</t>
        </is>
      </c>
      <c r="L944" s="14" t="inlineStr">
        <is>
          <t>https://www.libri.it/aprile-il-pesce-rosso</t>
        </is>
      </c>
      <c r="M944" s="16" t="n">
        <v>10</v>
      </c>
      <c r="N944" s="14" t="inlineStr">
        <is>
          <t>Lista titoli Logos Edizioni 2026 (PVP)</t>
        </is>
      </c>
      <c r="O944" s="16">
        <f>IF(ISNUMBER(M944),ROUND(M944*(1-Condizioni!$B$2),2),"")</f>
        <v/>
      </c>
      <c r="P944" s="17" t="inlineStr">
        <is>
          <t>No</t>
        </is>
      </c>
    </row>
    <row r="945">
      <c r="A945" s="14" t="inlineStr">
        <is>
          <t>Logos</t>
        </is>
      </c>
      <c r="B945" s="14" t="inlineStr">
        <is>
          <t>Arturo e il Segreto della Nonna</t>
        </is>
      </c>
      <c r="C945" s="14" t="inlineStr">
        <is>
          <t>Muriel Sevestre; ill. Malika Fouchier</t>
        </is>
      </c>
      <c r="D945" s="14" t="inlineStr">
        <is>
          <t>Fumetto Ciopi</t>
        </is>
      </c>
      <c r="E945" s="14" t="inlineStr">
        <is>
          <t>da 6 anni</t>
        </is>
      </c>
      <c r="F945" s="14" t="inlineStr">
        <is>
          <t>Prime letture (6-8)</t>
        </is>
      </c>
      <c r="G945" s="14" t="inlineStr">
        <is>
          <t>Graphic novel/Fumetto</t>
        </is>
      </c>
      <c r="H945" s="14" t="inlineStr"/>
      <c r="I945" s="14" t="inlineStr">
        <is>
          <t>No</t>
        </is>
      </c>
      <c r="J945" s="14" t="inlineStr">
        <is>
          <t>Catalogo</t>
        </is>
      </c>
      <c r="K945" s="14" t="inlineStr">
        <is>
          <t>prime letture</t>
        </is>
      </c>
      <c r="L945" s="14" t="inlineStr">
        <is>
          <t>https://www.libri.it/arturo-e-il-segreto-della-nonna</t>
        </is>
      </c>
      <c r="M945" s="16" t="n">
        <v>14</v>
      </c>
      <c r="N945" s="14" t="inlineStr">
        <is>
          <t>Lista titoli Logos Edizioni 2026 (PVP)</t>
        </is>
      </c>
      <c r="O945" s="16">
        <f>IF(ISNUMBER(M945),ROUND(M945*(1-Condizioni!$B$2),2),"")</f>
        <v/>
      </c>
      <c r="P945" s="17" t="inlineStr">
        <is>
          <t>No</t>
        </is>
      </c>
    </row>
    <row r="946">
      <c r="A946" s="14" t="inlineStr">
        <is>
          <t>Logos</t>
        </is>
      </c>
      <c r="B946" s="14" t="inlineStr">
        <is>
          <t>Balbuzar</t>
        </is>
      </c>
      <c r="C946" s="14" t="inlineStr">
        <is>
          <t>Gérard Moncomble; ill. Frédéric Pillot</t>
        </is>
      </c>
      <c r="D946" s="14" t="inlineStr">
        <is>
          <t>Albo Ciopi</t>
        </is>
      </c>
      <c r="E946" s="14" t="inlineStr">
        <is>
          <t>da 6 anni</t>
        </is>
      </c>
      <c r="F946" s="14" t="inlineStr">
        <is>
          <t>Prime letture (6-8)</t>
        </is>
      </c>
      <c r="G946" s="14" t="inlineStr">
        <is>
          <t>Albo illustrato</t>
        </is>
      </c>
      <c r="H946" s="14" t="inlineStr"/>
      <c r="I946" s="14" t="inlineStr">
        <is>
          <t>No</t>
        </is>
      </c>
      <c r="J946" s="14" t="inlineStr">
        <is>
          <t>Catalogo</t>
        </is>
      </c>
      <c r="K946" s="14" t="inlineStr">
        <is>
          <t>prime letture</t>
        </is>
      </c>
      <c r="L946" s="14" t="inlineStr">
        <is>
          <t>https://www.libri.it/balbuzar</t>
        </is>
      </c>
      <c r="M946" s="16" t="n">
        <v>25</v>
      </c>
      <c r="N946" s="14" t="inlineStr">
        <is>
          <t>Lista titoli Logos Edizioni 2026 (PVP)</t>
        </is>
      </c>
      <c r="O946" s="16">
        <f>IF(ISNUMBER(M946),ROUND(M946*(1-Condizioni!$B$2),2),"")</f>
        <v/>
      </c>
      <c r="P946" s="17" t="inlineStr">
        <is>
          <t>No</t>
        </is>
      </c>
    </row>
    <row r="947">
      <c r="A947" s="14" t="inlineStr">
        <is>
          <t>Logos</t>
        </is>
      </c>
      <c r="B947" s="14" t="inlineStr">
        <is>
          <t>Batata</t>
        </is>
      </c>
      <c r="C947" s="14" t="inlineStr">
        <is>
          <t>Graciela Beatriz Cabal; ill. Giulia Pintus</t>
        </is>
      </c>
      <c r="D947" s="14" t="inlineStr">
        <is>
          <t>Biblioteca Ciopi</t>
        </is>
      </c>
      <c r="E947" s="14" t="inlineStr">
        <is>
          <t>da 6 anni</t>
        </is>
      </c>
      <c r="F947" s="14" t="inlineStr">
        <is>
          <t>Prime letture (6-8)</t>
        </is>
      </c>
      <c r="G947" s="14" t="inlineStr">
        <is>
          <t>Narrativa</t>
        </is>
      </c>
      <c r="H947" s="14" t="inlineStr"/>
      <c r="I947" s="14" t="inlineStr">
        <is>
          <t>No</t>
        </is>
      </c>
      <c r="J947" s="14" t="inlineStr">
        <is>
          <t>Catalogo</t>
        </is>
      </c>
      <c r="K947" s="14" t="inlineStr">
        <is>
          <t>prime letture, narrativa</t>
        </is>
      </c>
      <c r="L947" s="14" t="inlineStr">
        <is>
          <t>https://www.libri.it/batata</t>
        </is>
      </c>
      <c r="M947" s="16" t="n">
        <v>7</v>
      </c>
      <c r="N947" s="14" t="inlineStr">
        <is>
          <t>Lista titoli Logos Edizioni 2026 (PVP)</t>
        </is>
      </c>
      <c r="O947" s="16">
        <f>IF(ISNUMBER(M947),ROUND(M947*(1-Condizioni!$B$2),2),"")</f>
        <v/>
      </c>
      <c r="P947" s="17" t="inlineStr">
        <is>
          <t>No</t>
        </is>
      </c>
    </row>
    <row r="948">
      <c r="A948" s="14" t="inlineStr">
        <is>
          <t>Logos</t>
        </is>
      </c>
      <c r="B948" s="14" t="inlineStr">
        <is>
          <t>Billie Bang Bang! Squilibrio Totale</t>
        </is>
      </c>
      <c r="C948" s="14" t="inlineStr">
        <is>
          <t>Théa Rojzman; ill. Steve Baker</t>
        </is>
      </c>
      <c r="D948" s="14" t="inlineStr">
        <is>
          <t>Fumetto Ciopi</t>
        </is>
      </c>
      <c r="E948" s="14" t="inlineStr">
        <is>
          <t>da 6 anni</t>
        </is>
      </c>
      <c r="F948" s="14" t="inlineStr">
        <is>
          <t>Prime letture (6-8)</t>
        </is>
      </c>
      <c r="G948" s="14" t="inlineStr">
        <is>
          <t>Graphic novel/Fumetto</t>
        </is>
      </c>
      <c r="H948" s="14" t="inlineStr"/>
      <c r="I948" s="14" t="inlineStr">
        <is>
          <t>No</t>
        </is>
      </c>
      <c r="J948" s="14" t="inlineStr">
        <is>
          <t>Catalogo</t>
        </is>
      </c>
      <c r="K948" s="14" t="inlineStr">
        <is>
          <t>prime letture</t>
        </is>
      </c>
      <c r="L948" s="14" t="inlineStr">
        <is>
          <t>https://www.libri.it/billie-bang-bang-squilibrio-totale</t>
        </is>
      </c>
      <c r="M948" s="16" t="n">
        <v>15</v>
      </c>
      <c r="N948" s="14" t="inlineStr">
        <is>
          <t>Lista titoli Logos Edizioni 2026 (PVP)</t>
        </is>
      </c>
      <c r="O948" s="16">
        <f>IF(ISNUMBER(M948),ROUND(M948*(1-Condizioni!$B$2),2),"")</f>
        <v/>
      </c>
      <c r="P948" s="17" t="inlineStr">
        <is>
          <t>No</t>
        </is>
      </c>
    </row>
    <row r="949">
      <c r="A949" s="14" t="inlineStr">
        <is>
          <t>Logos</t>
        </is>
      </c>
      <c r="B949" s="14" t="inlineStr">
        <is>
          <t>Box Wonder Ponder Io Persona</t>
        </is>
      </c>
      <c r="C949" s="14" t="inlineStr">
        <is>
          <t>Ellen Duthie; ill. Daniela Martagón</t>
        </is>
      </c>
      <c r="D949" s="14" t="inlineStr">
        <is>
          <t>Wonder Ponder</t>
        </is>
      </c>
      <c r="E949" s="14" t="inlineStr">
        <is>
          <t>da 6 anni</t>
        </is>
      </c>
      <c r="F949" s="14" t="inlineStr">
        <is>
          <t>Prime letture (6-8)</t>
        </is>
      </c>
      <c r="G949" s="14" t="inlineStr">
        <is>
          <t>Albo illustrato</t>
        </is>
      </c>
      <c r="H949" s="14" t="inlineStr"/>
      <c r="I949" s="14" t="inlineStr">
        <is>
          <t>No</t>
        </is>
      </c>
      <c r="J949" s="14" t="inlineStr">
        <is>
          <t>Catalogo</t>
        </is>
      </c>
      <c r="K949" s="14" t="inlineStr">
        <is>
          <t>prime letture</t>
        </is>
      </c>
      <c r="L949" s="14" t="inlineStr">
        <is>
          <t>https://www.libri.it/io-persona-box</t>
        </is>
      </c>
      <c r="M949" s="16" t="n">
        <v>15</v>
      </c>
      <c r="N949" s="14" t="inlineStr">
        <is>
          <t>Lista titoli Logos Edizioni 2026 (PVP)</t>
        </is>
      </c>
      <c r="O949" s="16">
        <f>IF(ISNUMBER(M949),ROUND(M949*(1-Condizioni!$B$2),2),"")</f>
        <v/>
      </c>
      <c r="P949" s="17" t="inlineStr">
        <is>
          <t>No</t>
        </is>
      </c>
    </row>
    <row r="950">
      <c r="A950" s="14" t="inlineStr">
        <is>
          <t>Logos</t>
        </is>
      </c>
      <c r="B950" s="14" t="inlineStr">
        <is>
          <t>Box Wonder Ponder Mondo Crudele</t>
        </is>
      </c>
      <c r="C950" s="14" t="inlineStr">
        <is>
          <t>Ellen Duthie; ill. Daniela Martagón</t>
        </is>
      </c>
      <c r="D950" s="14" t="inlineStr">
        <is>
          <t>Wonder Ponder</t>
        </is>
      </c>
      <c r="E950" s="14" t="inlineStr">
        <is>
          <t>da 6 anni</t>
        </is>
      </c>
      <c r="F950" s="14" t="inlineStr">
        <is>
          <t>Prime letture (6-8)</t>
        </is>
      </c>
      <c r="G950" s="14" t="inlineStr">
        <is>
          <t>Albo illustrato</t>
        </is>
      </c>
      <c r="H950" s="14" t="inlineStr"/>
      <c r="I950" s="14" t="inlineStr">
        <is>
          <t>No</t>
        </is>
      </c>
      <c r="J950" s="14" t="inlineStr">
        <is>
          <t>Catalogo</t>
        </is>
      </c>
      <c r="K950" s="14" t="inlineStr">
        <is>
          <t>prime letture</t>
        </is>
      </c>
      <c r="L950" s="14" t="inlineStr">
        <is>
          <t>https://www.libri.it/mondo-crudele-box</t>
        </is>
      </c>
      <c r="M950" s="16" t="n">
        <v>15</v>
      </c>
      <c r="N950" s="14" t="inlineStr">
        <is>
          <t>Lista titoli Logos Edizioni 2026 (PVP)</t>
        </is>
      </c>
      <c r="O950" s="16">
        <f>IF(ISNUMBER(M950),ROUND(M950*(1-Condizioni!$B$2),2),"")</f>
        <v/>
      </c>
      <c r="P950" s="17" t="inlineStr">
        <is>
          <t>No</t>
        </is>
      </c>
    </row>
    <row r="951">
      <c r="A951" s="14" t="inlineStr">
        <is>
          <t>Logos</t>
        </is>
      </c>
      <c r="B951" s="14" t="inlineStr">
        <is>
          <t>Box Wonder Ponder Pizzicami!</t>
        </is>
      </c>
      <c r="C951" s="14" t="inlineStr">
        <is>
          <t>Ellen Duthie; ill. Daniela Martagón</t>
        </is>
      </c>
      <c r="D951" s="14" t="inlineStr">
        <is>
          <t>Wonder Ponder</t>
        </is>
      </c>
      <c r="E951" s="14" t="inlineStr">
        <is>
          <t>da 6 anni</t>
        </is>
      </c>
      <c r="F951" s="14" t="inlineStr">
        <is>
          <t>Prime letture (6-8)</t>
        </is>
      </c>
      <c r="G951" s="14" t="inlineStr">
        <is>
          <t>Albo illustrato</t>
        </is>
      </c>
      <c r="H951" s="14" t="inlineStr"/>
      <c r="I951" s="14" t="inlineStr">
        <is>
          <t>No</t>
        </is>
      </c>
      <c r="J951" s="14" t="inlineStr">
        <is>
          <t>Catalogo</t>
        </is>
      </c>
      <c r="K951" s="14" t="inlineStr">
        <is>
          <t>prime letture</t>
        </is>
      </c>
      <c r="L951" s="14" t="inlineStr">
        <is>
          <t>https://www.libri.it/pizzicami-box</t>
        </is>
      </c>
      <c r="M951" s="16" t="n">
        <v>15</v>
      </c>
      <c r="N951" s="14" t="inlineStr">
        <is>
          <t>Lista titoli Logos Edizioni 2026 (PVP)</t>
        </is>
      </c>
      <c r="O951" s="16">
        <f>IF(ISNUMBER(M951),ROUND(M951*(1-Condizioni!$B$2),2),"")</f>
        <v/>
      </c>
      <c r="P951" s="17" t="inlineStr">
        <is>
          <t>No</t>
        </is>
      </c>
    </row>
    <row r="952">
      <c r="A952" s="14" t="inlineStr">
        <is>
          <t>Logos</t>
        </is>
      </c>
      <c r="B952" s="14" t="inlineStr">
        <is>
          <t>Box Wonder Ponder Quello che Vuoi</t>
        </is>
      </c>
      <c r="C952" s="14" t="inlineStr">
        <is>
          <t>Ellen Duthie; ill. Daniela Martagón</t>
        </is>
      </c>
      <c r="D952" s="14" t="inlineStr">
        <is>
          <t>Wonder Ponder</t>
        </is>
      </c>
      <c r="E952" s="14" t="inlineStr">
        <is>
          <t>da 6 anni</t>
        </is>
      </c>
      <c r="F952" s="14" t="inlineStr">
        <is>
          <t>Prime letture (6-8)</t>
        </is>
      </c>
      <c r="G952" s="14" t="inlineStr">
        <is>
          <t>Albo illustrato</t>
        </is>
      </c>
      <c r="H952" s="14" t="inlineStr"/>
      <c r="I952" s="14" t="inlineStr">
        <is>
          <t>No</t>
        </is>
      </c>
      <c r="J952" s="14" t="inlineStr">
        <is>
          <t>Catalogo</t>
        </is>
      </c>
      <c r="K952" s="14" t="inlineStr">
        <is>
          <t>prime letture</t>
        </is>
      </c>
      <c r="L952" s="14" t="inlineStr">
        <is>
          <t>https://www.libri.it/quello-che-vuoi-box</t>
        </is>
      </c>
      <c r="M952" s="16" t="n">
        <v>15</v>
      </c>
      <c r="N952" s="14" t="inlineStr">
        <is>
          <t>Lista titoli Logos Edizioni 2026 (PVP)</t>
        </is>
      </c>
      <c r="O952" s="16">
        <f>IF(ISNUMBER(M952),ROUND(M952*(1-Condizioni!$B$2),2),"")</f>
        <v/>
      </c>
      <c r="P952" s="17" t="inlineStr">
        <is>
          <t>No</t>
        </is>
      </c>
    </row>
    <row r="953">
      <c r="A953" s="14" t="inlineStr">
        <is>
          <t>Logos</t>
        </is>
      </c>
      <c r="B953" s="14" t="inlineStr">
        <is>
          <t>Canto di Natale</t>
        </is>
      </c>
      <c r="C953" s="14" t="inlineStr">
        <is>
          <t>José Luis Munuera</t>
        </is>
      </c>
      <c r="D953" s="14" t="inlineStr">
        <is>
          <t>Fumetto Ciopi</t>
        </is>
      </c>
      <c r="E953" s="14" t="inlineStr">
        <is>
          <t>da 6 anni</t>
        </is>
      </c>
      <c r="F953" s="14" t="inlineStr">
        <is>
          <t>Prime letture (6-8)</t>
        </is>
      </c>
      <c r="G953" s="14" t="inlineStr">
        <is>
          <t>Graphic novel/Fumetto</t>
        </is>
      </c>
      <c r="H953" s="14" t="inlineStr"/>
      <c r="I953" s="14" t="inlineStr">
        <is>
          <t>No</t>
        </is>
      </c>
      <c r="J953" s="14" t="inlineStr">
        <is>
          <t>Catalogo</t>
        </is>
      </c>
      <c r="K953" s="14" t="inlineStr">
        <is>
          <t>prime letture</t>
        </is>
      </c>
      <c r="L953" s="14" t="inlineStr">
        <is>
          <t>https://www.libri.it/canto-di-natale</t>
        </is>
      </c>
      <c r="M953" s="16" t="n">
        <v>20</v>
      </c>
      <c r="N953" s="14" t="inlineStr">
        <is>
          <t>Lista titoli Logos Edizioni 2026 (PVP)</t>
        </is>
      </c>
      <c r="O953" s="16">
        <f>IF(ISNUMBER(M953),ROUND(M953*(1-Condizioni!$B$2),2),"")</f>
        <v/>
      </c>
      <c r="P953" s="17" t="inlineStr">
        <is>
          <t>No</t>
        </is>
      </c>
    </row>
    <row r="954">
      <c r="A954" s="14" t="inlineStr">
        <is>
          <t>Logos</t>
        </is>
      </c>
      <c r="B954" s="14" t="inlineStr">
        <is>
          <t>Cattivi e Contenti</t>
        </is>
      </c>
      <c r="C954" s="14" t="inlineStr">
        <is>
          <t>El Hematocrítico; ill. Alberto Vázquez</t>
        </is>
      </c>
      <c r="D954" s="14" t="inlineStr">
        <is>
          <t>Biblioteca Ciopi</t>
        </is>
      </c>
      <c r="E954" s="14" t="inlineStr">
        <is>
          <t>da 6 anni</t>
        </is>
      </c>
      <c r="F954" s="14" t="inlineStr">
        <is>
          <t>Prime letture (6-8)</t>
        </is>
      </c>
      <c r="G954" s="14" t="inlineStr">
        <is>
          <t>Narrativa</t>
        </is>
      </c>
      <c r="H954" s="14" t="inlineStr"/>
      <c r="I954" s="14" t="inlineStr">
        <is>
          <t>No</t>
        </is>
      </c>
      <c r="J954" s="14" t="inlineStr">
        <is>
          <t>Catalogo</t>
        </is>
      </c>
      <c r="K954" s="14" t="inlineStr">
        <is>
          <t>prime letture, narrativa</t>
        </is>
      </c>
      <c r="L954" s="14" t="inlineStr">
        <is>
          <t>https://www.libri.it/cattivi-e-contenti</t>
        </is>
      </c>
      <c r="M954" s="16" t="n">
        <v>12</v>
      </c>
      <c r="N954" s="14" t="inlineStr">
        <is>
          <t>Lista titoli Logos Edizioni 2026 (PVP)</t>
        </is>
      </c>
      <c r="O954" s="16">
        <f>IF(ISNUMBER(M954),ROUND(M954*(1-Condizioni!$B$2),2),"")</f>
        <v/>
      </c>
      <c r="P954" s="17" t="inlineStr">
        <is>
          <t>No</t>
        </is>
      </c>
    </row>
    <row r="955">
      <c r="A955" s="14" t="inlineStr">
        <is>
          <t>Logos</t>
        </is>
      </c>
      <c r="B955" s="14" t="inlineStr">
        <is>
          <t>Ciopi Libera Tutti</t>
        </is>
      </c>
      <c r="C955" s="14" t="inlineStr">
        <is>
          <t>Sofía Luminosa; ill. Giulia Pintus</t>
        </is>
      </c>
      <c r="D955" s="14" t="inlineStr">
        <is>
          <t>Ciopilopini</t>
        </is>
      </c>
      <c r="E955" s="14" t="inlineStr">
        <is>
          <t>da 6 anni</t>
        </is>
      </c>
      <c r="F955" s="14" t="inlineStr">
        <is>
          <t>Prime letture (6-8)</t>
        </is>
      </c>
      <c r="G955" s="14" t="inlineStr">
        <is>
          <t>Albo illustrato</t>
        </is>
      </c>
      <c r="H955" s="14" t="inlineStr"/>
      <c r="I955" s="14" t="inlineStr">
        <is>
          <t>No</t>
        </is>
      </c>
      <c r="J955" s="14" t="inlineStr">
        <is>
          <t>Catalogo</t>
        </is>
      </c>
      <c r="K955" s="14" t="inlineStr">
        <is>
          <t>prime letture</t>
        </is>
      </c>
      <c r="L955" s="14" t="inlineStr">
        <is>
          <t>https://www.libri.it/ciopi-libera-tutti</t>
        </is>
      </c>
      <c r="M955" s="16" t="n">
        <v>10</v>
      </c>
      <c r="N955" s="14" t="inlineStr">
        <is>
          <t>Lista titoli Logos Edizioni 2026 (PVP)</t>
        </is>
      </c>
      <c r="O955" s="16">
        <f>IF(ISNUMBER(M955),ROUND(M955*(1-Condizioni!$B$2),2),"")</f>
        <v/>
      </c>
      <c r="P955" s="17" t="inlineStr">
        <is>
          <t>No</t>
        </is>
      </c>
    </row>
    <row r="956">
      <c r="A956" s="14" t="inlineStr">
        <is>
          <t>Logos</t>
        </is>
      </c>
      <c r="B956" s="14" t="inlineStr">
        <is>
          <t>Ciopilopi Dicembre 2023</t>
        </is>
      </c>
      <c r="C956" s="14" t="inlineStr">
        <is>
          <t>Aa.Vv</t>
        </is>
      </c>
      <c r="D956" s="14" t="inlineStr">
        <is>
          <t>Ciopilopi</t>
        </is>
      </c>
      <c r="E956" s="14" t="inlineStr">
        <is>
          <t>da 6 anni</t>
        </is>
      </c>
      <c r="F956" s="14" t="inlineStr">
        <is>
          <t>Prime letture (6-8)</t>
        </is>
      </c>
      <c r="G956" s="14" t="inlineStr">
        <is>
          <t>Albo illustrato</t>
        </is>
      </c>
      <c r="H956" s="14" t="inlineStr"/>
      <c r="I956" s="14" t="inlineStr">
        <is>
          <t>No</t>
        </is>
      </c>
      <c r="J956" s="14" t="inlineStr">
        <is>
          <t>Catalogo</t>
        </is>
      </c>
      <c r="K956" s="14" t="inlineStr">
        <is>
          <t>prime letture</t>
        </is>
      </c>
      <c r="L956" s="14" t="inlineStr">
        <is>
          <t>https://www.libri.it/ciopi/ciopilopi/ciopilopi-dicembre-2023</t>
        </is>
      </c>
      <c r="M956" s="16" t="n">
        <v>12</v>
      </c>
      <c r="N956" s="14" t="inlineStr">
        <is>
          <t>Lista titoli Logos Edizioni 2026 (PVP)</t>
        </is>
      </c>
      <c r="O956" s="16">
        <f>IF(ISNUMBER(M956),ROUND(M956*(1-Condizioni!$B$2),2),"")</f>
        <v/>
      </c>
      <c r="P956" s="17" t="inlineStr">
        <is>
          <t>No</t>
        </is>
      </c>
    </row>
    <row r="957">
      <c r="A957" s="14" t="inlineStr">
        <is>
          <t>Logos</t>
        </is>
      </c>
      <c r="B957" s="14" t="inlineStr">
        <is>
          <t>Ciopilopi Giugno 2023</t>
        </is>
      </c>
      <c r="C957" s="14" t="inlineStr">
        <is>
          <t>Aa.Vv</t>
        </is>
      </c>
      <c r="D957" s="14" t="inlineStr">
        <is>
          <t>Ciopilopi</t>
        </is>
      </c>
      <c r="E957" s="14" t="inlineStr">
        <is>
          <t>da 6 anni</t>
        </is>
      </c>
      <c r="F957" s="14" t="inlineStr">
        <is>
          <t>Prime letture (6-8)</t>
        </is>
      </c>
      <c r="G957" s="14" t="inlineStr">
        <is>
          <t>Albo illustrato</t>
        </is>
      </c>
      <c r="H957" s="14" t="inlineStr"/>
      <c r="I957" s="14" t="inlineStr">
        <is>
          <t>No</t>
        </is>
      </c>
      <c r="J957" s="14" t="inlineStr">
        <is>
          <t>Catalogo</t>
        </is>
      </c>
      <c r="K957" s="14" t="inlineStr">
        <is>
          <t>prime letture</t>
        </is>
      </c>
      <c r="L957" s="14" t="inlineStr">
        <is>
          <t>https://www.libri.it/ciopilopi-giugno-2023</t>
        </is>
      </c>
      <c r="M957" s="16" t="n">
        <v>12</v>
      </c>
      <c r="N957" s="14" t="inlineStr">
        <is>
          <t>Lista titoli Logos Edizioni 2026 (PVP)</t>
        </is>
      </c>
      <c r="O957" s="16">
        <f>IF(ISNUMBER(M957),ROUND(M957*(1-Condizioni!$B$2),2),"")</f>
        <v/>
      </c>
      <c r="P957" s="17" t="inlineStr">
        <is>
          <t>No</t>
        </is>
      </c>
    </row>
    <row r="958">
      <c r="A958" s="14" t="inlineStr">
        <is>
          <t>Logos</t>
        </is>
      </c>
      <c r="B958" s="14" t="inlineStr">
        <is>
          <t>Ciopilopi Giugno 2024</t>
        </is>
      </c>
      <c r="C958" s="14" t="inlineStr">
        <is>
          <t>Aa.Vv</t>
        </is>
      </c>
      <c r="D958" s="14" t="inlineStr">
        <is>
          <t>Ciopilopi</t>
        </is>
      </c>
      <c r="E958" s="14" t="inlineStr">
        <is>
          <t>da 6 anni</t>
        </is>
      </c>
      <c r="F958" s="14" t="inlineStr">
        <is>
          <t>Prime letture (6-8)</t>
        </is>
      </c>
      <c r="G958" s="14" t="inlineStr">
        <is>
          <t>Albo illustrato</t>
        </is>
      </c>
      <c r="H958" s="14" t="inlineStr"/>
      <c r="I958" s="14" t="inlineStr">
        <is>
          <t>No</t>
        </is>
      </c>
      <c r="J958" s="14" t="inlineStr">
        <is>
          <t>Catalogo</t>
        </is>
      </c>
      <c r="K958" s="14" t="inlineStr">
        <is>
          <t>prime letture</t>
        </is>
      </c>
      <c r="L958" s="14" t="inlineStr">
        <is>
          <t>https://www.libri.it/3d/anteprima/ciopilopi6/</t>
        </is>
      </c>
      <c r="M958" s="16" t="n">
        <v>12</v>
      </c>
      <c r="N958" s="14" t="inlineStr">
        <is>
          <t>Lista titoli Logos Edizioni 2026 (PVP)</t>
        </is>
      </c>
      <c r="O958" s="16">
        <f>IF(ISNUMBER(M958),ROUND(M958*(1-Condizioni!$B$2),2),"")</f>
        <v/>
      </c>
      <c r="P958" s="17" t="inlineStr">
        <is>
          <t>No</t>
        </is>
      </c>
    </row>
    <row r="959">
      <c r="A959" s="14" t="inlineStr">
        <is>
          <t>Logos</t>
        </is>
      </c>
      <c r="B959" s="14" t="inlineStr">
        <is>
          <t>Ciopilopi Marzo 2023</t>
        </is>
      </c>
      <c r="C959" s="14" t="inlineStr">
        <is>
          <t>Aa.Vv</t>
        </is>
      </c>
      <c r="D959" s="14" t="inlineStr">
        <is>
          <t>Ciopilopi</t>
        </is>
      </c>
      <c r="E959" s="14" t="inlineStr">
        <is>
          <t>da 6 anni</t>
        </is>
      </c>
      <c r="F959" s="14" t="inlineStr">
        <is>
          <t>Prime letture (6-8)</t>
        </is>
      </c>
      <c r="G959" s="14" t="inlineStr">
        <is>
          <t>Albo illustrato</t>
        </is>
      </c>
      <c r="H959" s="14" t="inlineStr"/>
      <c r="I959" s="14" t="inlineStr">
        <is>
          <t>No</t>
        </is>
      </c>
      <c r="J959" s="14" t="inlineStr">
        <is>
          <t>Catalogo</t>
        </is>
      </c>
      <c r="K959" s="14" t="inlineStr">
        <is>
          <t>prime letture</t>
        </is>
      </c>
      <c r="L959" s="14" t="inlineStr">
        <is>
          <t>https://www.libri.it/ciopilopi-marzo-2023</t>
        </is>
      </c>
      <c r="M959" s="16" t="n">
        <v>12</v>
      </c>
      <c r="N959" s="14" t="inlineStr">
        <is>
          <t>Lista titoli Logos Edizioni 2026 (PVP)</t>
        </is>
      </c>
      <c r="O959" s="16">
        <f>IF(ISNUMBER(M959),ROUND(M959*(1-Condizioni!$B$2),2),"")</f>
        <v/>
      </c>
      <c r="P959" s="17" t="inlineStr">
        <is>
          <t>No</t>
        </is>
      </c>
    </row>
    <row r="960">
      <c r="A960" s="14" t="inlineStr">
        <is>
          <t>Logos</t>
        </is>
      </c>
      <c r="B960" s="14" t="inlineStr">
        <is>
          <t>Ciopilopi Marzo 2024</t>
        </is>
      </c>
      <c r="C960" s="14" t="inlineStr">
        <is>
          <t>Aa.Vv</t>
        </is>
      </c>
      <c r="D960" s="14" t="inlineStr">
        <is>
          <t>Ciopilopi</t>
        </is>
      </c>
      <c r="E960" s="14" t="inlineStr">
        <is>
          <t>da 6 anni</t>
        </is>
      </c>
      <c r="F960" s="14" t="inlineStr">
        <is>
          <t>Prime letture (6-8)</t>
        </is>
      </c>
      <c r="G960" s="14" t="inlineStr">
        <is>
          <t>Albo illustrato</t>
        </is>
      </c>
      <c r="H960" s="14" t="inlineStr"/>
      <c r="I960" s="14" t="inlineStr">
        <is>
          <t>No</t>
        </is>
      </c>
      <c r="J960" s="14" t="inlineStr">
        <is>
          <t>Catalogo</t>
        </is>
      </c>
      <c r="K960" s="14" t="inlineStr">
        <is>
          <t>prime letture</t>
        </is>
      </c>
      <c r="L960" s="14" t="inlineStr">
        <is>
          <t>https://www.libri.it/ciopilopi-marzo-2024</t>
        </is>
      </c>
      <c r="M960" s="16" t="n">
        <v>12</v>
      </c>
      <c r="N960" s="14" t="inlineStr">
        <is>
          <t>Lista titoli Logos Edizioni 2026 (PVP)</t>
        </is>
      </c>
      <c r="O960" s="16">
        <f>IF(ISNUMBER(M960),ROUND(M960*(1-Condizioni!$B$2),2),"")</f>
        <v/>
      </c>
      <c r="P960" s="17" t="inlineStr">
        <is>
          <t>No</t>
        </is>
      </c>
    </row>
    <row r="961">
      <c r="A961" s="14" t="inlineStr">
        <is>
          <t>Logos</t>
        </is>
      </c>
      <c r="B961" s="14" t="inlineStr">
        <is>
          <t>Ciopilopi Settembre 2023</t>
        </is>
      </c>
      <c r="C961" s="14" t="inlineStr">
        <is>
          <t>Aa.Vv</t>
        </is>
      </c>
      <c r="D961" s="14" t="inlineStr">
        <is>
          <t>Ciopilopi</t>
        </is>
      </c>
      <c r="E961" s="14" t="inlineStr">
        <is>
          <t>da 6 anni</t>
        </is>
      </c>
      <c r="F961" s="14" t="inlineStr">
        <is>
          <t>Prime letture (6-8)</t>
        </is>
      </c>
      <c r="G961" s="14" t="inlineStr">
        <is>
          <t>Albo illustrato</t>
        </is>
      </c>
      <c r="H961" s="14" t="inlineStr"/>
      <c r="I961" s="14" t="inlineStr">
        <is>
          <t>No</t>
        </is>
      </c>
      <c r="J961" s="14" t="inlineStr">
        <is>
          <t>Catalogo</t>
        </is>
      </c>
      <c r="K961" s="14" t="inlineStr">
        <is>
          <t>prime letture</t>
        </is>
      </c>
      <c r="L961" s="14" t="inlineStr">
        <is>
          <t>https://www.libri.it/ciopilopi-settembre-2023</t>
        </is>
      </c>
      <c r="M961" s="16" t="n">
        <v>12</v>
      </c>
      <c r="N961" s="14" t="inlineStr">
        <is>
          <t>Lista titoli Logos Edizioni 2026 (PVP)</t>
        </is>
      </c>
      <c r="O961" s="16">
        <f>IF(ISNUMBER(M961),ROUND(M961*(1-Condizioni!$B$2),2),"")</f>
        <v/>
      </c>
      <c r="P961" s="17" t="inlineStr">
        <is>
          <t>No</t>
        </is>
      </c>
    </row>
    <row r="962">
      <c r="A962" s="14" t="inlineStr">
        <is>
          <t>Logos</t>
        </is>
      </c>
      <c r="B962" s="14" t="inlineStr">
        <is>
          <t>Cosa Fanno le Bambine?</t>
        </is>
      </c>
      <c r="C962" s="14" t="inlineStr">
        <is>
          <t>Nikolaus Heidelbach; ill. Nikolaus Heidelback</t>
        </is>
      </c>
      <c r="D962" s="14" t="inlineStr">
        <is>
          <t>Albo Ciopi</t>
        </is>
      </c>
      <c r="E962" s="14" t="inlineStr">
        <is>
          <t>da 6 anni</t>
        </is>
      </c>
      <c r="F962" s="14" t="inlineStr">
        <is>
          <t>Prime letture (6-8)</t>
        </is>
      </c>
      <c r="G962" s="14" t="inlineStr">
        <is>
          <t>Albo illustrato</t>
        </is>
      </c>
      <c r="H962" s="14" t="inlineStr"/>
      <c r="I962" s="14" t="inlineStr">
        <is>
          <t>No</t>
        </is>
      </c>
      <c r="J962" s="14" t="inlineStr">
        <is>
          <t>Catalogo</t>
        </is>
      </c>
      <c r="K962" s="14" t="inlineStr">
        <is>
          <t>prime letture</t>
        </is>
      </c>
      <c r="L962" s="14" t="inlineStr">
        <is>
          <t>https://www.libri.it/cosa-fanno-le-bambine</t>
        </is>
      </c>
      <c r="M962" s="16" t="n">
        <v>19</v>
      </c>
      <c r="N962" s="14" t="inlineStr">
        <is>
          <t>Lista titoli Logos Edizioni 2026 (PVP)</t>
        </is>
      </c>
      <c r="O962" s="16">
        <f>IF(ISNUMBER(M962),ROUND(M962*(1-Condizioni!$B$2),2),"")</f>
        <v/>
      </c>
      <c r="P962" s="17" t="inlineStr">
        <is>
          <t>Sì</t>
        </is>
      </c>
    </row>
    <row r="963">
      <c r="A963" s="14" t="inlineStr">
        <is>
          <t>Logos</t>
        </is>
      </c>
      <c r="B963" s="14" t="inlineStr">
        <is>
          <t>C’Era un’Altra Volta</t>
        </is>
      </c>
      <c r="C963" s="14" t="inlineStr">
        <is>
          <t>Muriel Zürcher; ill. Ronan Badel</t>
        </is>
      </c>
      <c r="D963" s="14" t="inlineStr">
        <is>
          <t>Albo Ciopi</t>
        </is>
      </c>
      <c r="E963" s="14" t="inlineStr">
        <is>
          <t>da 6 anni</t>
        </is>
      </c>
      <c r="F963" s="14" t="inlineStr">
        <is>
          <t>Prime letture (6-8)</t>
        </is>
      </c>
      <c r="G963" s="14" t="inlineStr">
        <is>
          <t>Albo illustrato</t>
        </is>
      </c>
      <c r="H963" s="14" t="inlineStr"/>
      <c r="I963" s="14" t="inlineStr">
        <is>
          <t>No</t>
        </is>
      </c>
      <c r="J963" s="14" t="inlineStr">
        <is>
          <t>Catalogo</t>
        </is>
      </c>
      <c r="K963" s="14" t="inlineStr">
        <is>
          <t>prime letture</t>
        </is>
      </c>
      <c r="L963" s="14" t="inlineStr">
        <is>
          <t>https://www.libri.it/c-era-un-altra-volta</t>
        </is>
      </c>
      <c r="M963" s="16" t="n">
        <v>11</v>
      </c>
      <c r="N963" s="14" t="inlineStr">
        <is>
          <t>Lista titoli Logos Edizioni 2026 (PVP)</t>
        </is>
      </c>
      <c r="O963" s="16">
        <f>IF(ISNUMBER(M963),ROUND(M963*(1-Condizioni!$B$2),2),"")</f>
        <v/>
      </c>
      <c r="P963" s="17" t="inlineStr">
        <is>
          <t>No</t>
        </is>
      </c>
    </row>
    <row r="964">
      <c r="A964" s="14" t="inlineStr">
        <is>
          <t>Logos</t>
        </is>
      </c>
      <c r="B964" s="14" t="inlineStr">
        <is>
          <t>Da Grande Sarò una Foca</t>
        </is>
      </c>
      <c r="C964" s="14" t="inlineStr">
        <is>
          <t>Nikolaus Heidelbach; ill. Nikolaus Heidelback</t>
        </is>
      </c>
      <c r="D964" s="14" t="inlineStr">
        <is>
          <t>Albo Ciopi</t>
        </is>
      </c>
      <c r="E964" s="14" t="inlineStr">
        <is>
          <t>da 6 anni</t>
        </is>
      </c>
      <c r="F964" s="14" t="inlineStr">
        <is>
          <t>Prime letture (6-8)</t>
        </is>
      </c>
      <c r="G964" s="14" t="inlineStr">
        <is>
          <t>Albo illustrato</t>
        </is>
      </c>
      <c r="H964" s="14" t="inlineStr"/>
      <c r="I964" s="14" t="inlineStr">
        <is>
          <t>No</t>
        </is>
      </c>
      <c r="J964" s="14" t="inlineStr">
        <is>
          <t>Catalogo</t>
        </is>
      </c>
      <c r="K964" s="14" t="inlineStr">
        <is>
          <t>prime letture</t>
        </is>
      </c>
      <c r="L964" s="14" t="inlineStr">
        <is>
          <t>https://www.libri.it/da-grande-saro-una-foca</t>
        </is>
      </c>
      <c r="M964" s="16" t="n">
        <v>18</v>
      </c>
      <c r="N964" s="14" t="inlineStr">
        <is>
          <t>Lista titoli Logos Edizioni 2026 (PVP)</t>
        </is>
      </c>
      <c r="O964" s="16">
        <f>IF(ISNUMBER(M964),ROUND(M964*(1-Condizioni!$B$2),2),"")</f>
        <v/>
      </c>
      <c r="P964" s="17" t="inlineStr">
        <is>
          <t>No</t>
        </is>
      </c>
    </row>
    <row r="965">
      <c r="A965" s="14" t="inlineStr">
        <is>
          <t>Logos</t>
        </is>
      </c>
      <c r="B965" s="14" t="inlineStr">
        <is>
          <t>Da Solo</t>
        </is>
      </c>
      <c r="C965" s="14" t="inlineStr">
        <is>
          <t>Lawrence Schimel; ill. Israel Barrón</t>
        </is>
      </c>
      <c r="D965" s="14" t="inlineStr">
        <is>
          <t>Albo Ciopi</t>
        </is>
      </c>
      <c r="E965" s="14" t="inlineStr">
        <is>
          <t>da 6 anni</t>
        </is>
      </c>
      <c r="F965" s="14" t="inlineStr">
        <is>
          <t>Prime letture (6-8)</t>
        </is>
      </c>
      <c r="G965" s="14" t="inlineStr">
        <is>
          <t>Albo illustrato</t>
        </is>
      </c>
      <c r="H965" s="14" t="inlineStr"/>
      <c r="I965" s="14" t="inlineStr">
        <is>
          <t>No</t>
        </is>
      </c>
      <c r="J965" s="14" t="inlineStr">
        <is>
          <t>Catalogo</t>
        </is>
      </c>
      <c r="K965" s="14" t="inlineStr">
        <is>
          <t>prime letture</t>
        </is>
      </c>
      <c r="L965" s="14" t="inlineStr">
        <is>
          <t>https://www.libri.it/3d/anteprima/dasolo/</t>
        </is>
      </c>
      <c r="M965" s="16" t="n">
        <v>17</v>
      </c>
      <c r="N965" s="14" t="inlineStr">
        <is>
          <t>Lista titoli Logos Edizioni 2026 (PVP)</t>
        </is>
      </c>
      <c r="O965" s="16">
        <f>IF(ISNUMBER(M965),ROUND(M965*(1-Condizioni!$B$2),2),"")</f>
        <v/>
      </c>
      <c r="P965" s="17" t="inlineStr">
        <is>
          <t>No</t>
        </is>
      </c>
    </row>
    <row r="966">
      <c r="A966" s="14" t="inlineStr">
        <is>
          <t>Logos</t>
        </is>
      </c>
      <c r="B966" s="14" t="inlineStr">
        <is>
          <t>Denti di Ferro</t>
        </is>
      </c>
      <c r="C966" s="14" t="inlineStr">
        <is>
          <t>Tina Meroto; ill. Maurizio A. C. Quarello</t>
        </is>
      </c>
      <c r="D966" s="14" t="inlineStr">
        <is>
          <t>Albo Ciopi</t>
        </is>
      </c>
      <c r="E966" s="14" t="inlineStr">
        <is>
          <t>da 6 anni</t>
        </is>
      </c>
      <c r="F966" s="14" t="inlineStr">
        <is>
          <t>Prime letture (6-8)</t>
        </is>
      </c>
      <c r="G966" s="14" t="inlineStr">
        <is>
          <t>Albo illustrato</t>
        </is>
      </c>
      <c r="H966" s="14" t="inlineStr"/>
      <c r="I966" s="14" t="inlineStr">
        <is>
          <t>No</t>
        </is>
      </c>
      <c r="J966" s="14" t="inlineStr">
        <is>
          <t>Catalogo</t>
        </is>
      </c>
      <c r="K966" s="14" t="inlineStr">
        <is>
          <t>prime letture</t>
        </is>
      </c>
      <c r="L966" s="14" t="inlineStr">
        <is>
          <t>https://www.libri.it/denti-di-ferro</t>
        </is>
      </c>
      <c r="M966" s="16" t="n">
        <v>16</v>
      </c>
      <c r="N966" s="14" t="inlineStr">
        <is>
          <t>Lista titoli Logos Edizioni 2026 (PVP)</t>
        </is>
      </c>
      <c r="O966" s="16">
        <f>IF(ISNUMBER(M966),ROUND(M966*(1-Condizioni!$B$2),2),"")</f>
        <v/>
      </c>
      <c r="P966" s="17" t="inlineStr">
        <is>
          <t>No</t>
        </is>
      </c>
    </row>
    <row r="967">
      <c r="A967" s="14" t="inlineStr">
        <is>
          <t>Logos</t>
        </is>
      </c>
      <c r="B967" s="14" t="inlineStr">
        <is>
          <t>Dino Park Vol. 1</t>
        </is>
      </c>
      <c r="C967" s="14" t="inlineStr">
        <is>
          <t>Plumeri &amp; Bloz</t>
        </is>
      </c>
      <c r="D967" s="14" t="inlineStr">
        <is>
          <t>Fumetto Ciopi</t>
        </is>
      </c>
      <c r="E967" s="14" t="inlineStr">
        <is>
          <t>da 6 anni</t>
        </is>
      </c>
      <c r="F967" s="14" t="inlineStr">
        <is>
          <t>Prime letture (6-8)</t>
        </is>
      </c>
      <c r="G967" s="14" t="inlineStr">
        <is>
          <t>Graphic novel/Fumetto</t>
        </is>
      </c>
      <c r="H967" s="14" t="inlineStr"/>
      <c r="I967" s="14" t="inlineStr">
        <is>
          <t>No</t>
        </is>
      </c>
      <c r="J967" s="14" t="inlineStr">
        <is>
          <t>Catalogo</t>
        </is>
      </c>
      <c r="K967" s="14" t="inlineStr">
        <is>
          <t>prime letture</t>
        </is>
      </c>
      <c r="L967" s="14" t="inlineStr">
        <is>
          <t>https://www.libri.it/dino-park-1</t>
        </is>
      </c>
      <c r="M967" s="16" t="n">
        <v>16</v>
      </c>
      <c r="N967" s="14" t="inlineStr">
        <is>
          <t>Lista titoli Logos Edizioni 2026 (PVP)</t>
        </is>
      </c>
      <c r="O967" s="16">
        <f>IF(ISNUMBER(M967),ROUND(M967*(1-Condizioni!$B$2),2),"")</f>
        <v/>
      </c>
      <c r="P967" s="17" t="inlineStr">
        <is>
          <t>No</t>
        </is>
      </c>
    </row>
    <row r="968">
      <c r="A968" s="14" t="inlineStr">
        <is>
          <t>Logos</t>
        </is>
      </c>
      <c r="B968" s="14" t="inlineStr">
        <is>
          <t>Dino Park Vol. 2</t>
        </is>
      </c>
      <c r="C968" s="14" t="inlineStr">
        <is>
          <t>Plumeri &amp; Bloz</t>
        </is>
      </c>
      <c r="D968" s="14" t="inlineStr">
        <is>
          <t>Fumetto Ciopi</t>
        </is>
      </c>
      <c r="E968" s="14" t="inlineStr">
        <is>
          <t>da 6 anni</t>
        </is>
      </c>
      <c r="F968" s="14" t="inlineStr">
        <is>
          <t>Prime letture (6-8)</t>
        </is>
      </c>
      <c r="G968" s="14" t="inlineStr">
        <is>
          <t>Graphic novel/Fumetto</t>
        </is>
      </c>
      <c r="H968" s="14" t="inlineStr"/>
      <c r="I968" s="14" t="inlineStr">
        <is>
          <t>No</t>
        </is>
      </c>
      <c r="J968" s="14" t="inlineStr">
        <is>
          <t>Catalogo</t>
        </is>
      </c>
      <c r="K968" s="14" t="inlineStr">
        <is>
          <t>prime letture</t>
        </is>
      </c>
      <c r="L968" s="14" t="inlineStr">
        <is>
          <t>https://www.libri.it/dino-park-2</t>
        </is>
      </c>
      <c r="M968" s="16" t="n">
        <v>16</v>
      </c>
      <c r="N968" s="14" t="inlineStr">
        <is>
          <t>Lista titoli Logos Edizioni 2026 (PVP)</t>
        </is>
      </c>
      <c r="O968" s="16">
        <f>IF(ISNUMBER(M968),ROUND(M968*(1-Condizioni!$B$2),2),"")</f>
        <v/>
      </c>
      <c r="P968" s="17" t="inlineStr">
        <is>
          <t>No</t>
        </is>
      </c>
    </row>
    <row r="969">
      <c r="A969" s="14" t="inlineStr">
        <is>
          <t>Logos</t>
        </is>
      </c>
      <c r="B969" s="14" t="inlineStr">
        <is>
          <t>Dinodissea</t>
        </is>
      </c>
      <c r="C969" s="14" t="inlineStr">
        <is>
          <t>Gaet's; ill. Clotilde Goubely</t>
        </is>
      </c>
      <c r="D969" s="14" t="inlineStr">
        <is>
          <t>Fumetto Ciopi</t>
        </is>
      </c>
      <c r="E969" s="14" t="inlineStr">
        <is>
          <t>da 6 anni</t>
        </is>
      </c>
      <c r="F969" s="14" t="inlineStr">
        <is>
          <t>Prime letture (6-8)</t>
        </is>
      </c>
      <c r="G969" s="14" t="inlineStr">
        <is>
          <t>Graphic novel/Fumetto</t>
        </is>
      </c>
      <c r="H969" s="14" t="inlineStr"/>
      <c r="I969" s="14" t="inlineStr">
        <is>
          <t>No</t>
        </is>
      </c>
      <c r="J969" s="14" t="inlineStr">
        <is>
          <t>Catalogo</t>
        </is>
      </c>
      <c r="K969" s="14" t="inlineStr">
        <is>
          <t>prime letture</t>
        </is>
      </c>
      <c r="L969" s="14" t="inlineStr">
        <is>
          <t>https://www.libri.it/dinodissea</t>
        </is>
      </c>
      <c r="M969" s="16" t="n">
        <v>16</v>
      </c>
      <c r="N969" s="14" t="inlineStr">
        <is>
          <t>Lista titoli Logos Edizioni 2026 (PVP)</t>
        </is>
      </c>
      <c r="O969" s="16">
        <f>IF(ISNUMBER(M969),ROUND(M969*(1-Condizioni!$B$2),2),"")</f>
        <v/>
      </c>
      <c r="P969" s="17" t="inlineStr">
        <is>
          <t>No</t>
        </is>
      </c>
    </row>
    <row r="970">
      <c r="A970" s="14" t="inlineStr">
        <is>
          <t>Logos</t>
        </is>
      </c>
      <c r="B970" s="14" t="inlineStr">
        <is>
          <t>Emilia Mirabilia</t>
        </is>
      </c>
      <c r="C970" s="14" t="inlineStr">
        <is>
          <t>Ludovic Flamant; ill. Emmanuelle Houdart</t>
        </is>
      </c>
      <c r="D970" s="14" t="inlineStr">
        <is>
          <t>Albo Ciopi</t>
        </is>
      </c>
      <c r="E970" s="14" t="inlineStr">
        <is>
          <t>da 6 anni</t>
        </is>
      </c>
      <c r="F970" s="14" t="inlineStr">
        <is>
          <t>Prime letture (6-8)</t>
        </is>
      </c>
      <c r="G970" s="14" t="inlineStr">
        <is>
          <t>Albo illustrato</t>
        </is>
      </c>
      <c r="H970" s="14" t="inlineStr"/>
      <c r="I970" s="14" t="inlineStr">
        <is>
          <t>No</t>
        </is>
      </c>
      <c r="J970" s="14" t="inlineStr">
        <is>
          <t>Catalogo</t>
        </is>
      </c>
      <c r="K970" s="14" t="inlineStr">
        <is>
          <t>prime letture</t>
        </is>
      </c>
      <c r="L970" s="14" t="inlineStr">
        <is>
          <t>https://www.libri.it/emilia-mirabilia</t>
        </is>
      </c>
      <c r="M970" s="16" t="n">
        <v>15</v>
      </c>
      <c r="N970" s="14" t="inlineStr">
        <is>
          <t>Lista titoli Logos Edizioni 2026 (PVP)</t>
        </is>
      </c>
      <c r="O970" s="16">
        <f>IF(ISNUMBER(M970),ROUND(M970*(1-Condizioni!$B$2),2),"")</f>
        <v/>
      </c>
      <c r="P970" s="17" t="inlineStr">
        <is>
          <t>No</t>
        </is>
      </c>
    </row>
    <row r="971">
      <c r="A971" s="14" t="inlineStr">
        <is>
          <t>Logos</t>
        </is>
      </c>
      <c r="B971" s="14" t="inlineStr">
        <is>
          <t>Frida</t>
        </is>
      </c>
      <c r="C971" s="14" t="inlineStr">
        <is>
          <t>Jonah Winter; ill. Ana Juan</t>
        </is>
      </c>
      <c r="D971" s="14" t="inlineStr">
        <is>
          <t>Albo Ciopi</t>
        </is>
      </c>
      <c r="E971" s="14" t="inlineStr">
        <is>
          <t>da 6 anni</t>
        </is>
      </c>
      <c r="F971" s="14" t="inlineStr">
        <is>
          <t>Prime letture (6-8)</t>
        </is>
      </c>
      <c r="G971" s="14" t="inlineStr">
        <is>
          <t>Albo illustrato</t>
        </is>
      </c>
      <c r="H971" s="14" t="inlineStr"/>
      <c r="I971" s="14" t="inlineStr">
        <is>
          <t>No</t>
        </is>
      </c>
      <c r="J971" s="14" t="inlineStr">
        <is>
          <t>Catalogo</t>
        </is>
      </c>
      <c r="K971" s="14" t="inlineStr">
        <is>
          <t>prime letture</t>
        </is>
      </c>
      <c r="L971" s="14" t="inlineStr">
        <is>
          <t>https://www.libri.it/frida</t>
        </is>
      </c>
      <c r="M971" s="16" t="n">
        <v>16</v>
      </c>
      <c r="N971" s="14" t="inlineStr">
        <is>
          <t>Lista titoli Logos Edizioni 2026 (PVP)</t>
        </is>
      </c>
      <c r="O971" s="16">
        <f>IF(ISNUMBER(M971),ROUND(M971*(1-Condizioni!$B$2),2),"")</f>
        <v/>
      </c>
      <c r="P971" s="17" t="inlineStr">
        <is>
          <t>No</t>
        </is>
      </c>
    </row>
    <row r="972">
      <c r="A972" s="14" t="inlineStr">
        <is>
          <t>Logos</t>
        </is>
      </c>
      <c r="B972" s="14" t="inlineStr">
        <is>
          <t>Giacinto</t>
        </is>
      </c>
      <c r="C972" s="14" t="inlineStr">
        <is>
          <t>Graciela Beatriz Cabal; ill. Giulia Pintus</t>
        </is>
      </c>
      <c r="D972" s="14" t="inlineStr">
        <is>
          <t>Biblioteca Ciopi</t>
        </is>
      </c>
      <c r="E972" s="14" t="inlineStr">
        <is>
          <t>da 6 anni</t>
        </is>
      </c>
      <c r="F972" s="14" t="inlineStr">
        <is>
          <t>Prime letture (6-8)</t>
        </is>
      </c>
      <c r="G972" s="14" t="inlineStr">
        <is>
          <t>Narrativa</t>
        </is>
      </c>
      <c r="H972" s="14" t="inlineStr"/>
      <c r="I972" s="14" t="inlineStr">
        <is>
          <t>No</t>
        </is>
      </c>
      <c r="J972" s="14" t="inlineStr">
        <is>
          <t>Catalogo</t>
        </is>
      </c>
      <c r="K972" s="14" t="inlineStr">
        <is>
          <t>prime letture, narrativa</t>
        </is>
      </c>
      <c r="L972" s="14" t="inlineStr">
        <is>
          <t>https://www.libri.it/giacinto</t>
        </is>
      </c>
      <c r="M972" s="16" t="n">
        <v>7</v>
      </c>
      <c r="N972" s="14" t="inlineStr">
        <is>
          <t>Lista titoli Logos Edizioni 2026 (PVP)</t>
        </is>
      </c>
      <c r="O972" s="16">
        <f>IF(ISNUMBER(M972),ROUND(M972*(1-Condizioni!$B$2),2),"")</f>
        <v/>
      </c>
      <c r="P972" s="17" t="inlineStr">
        <is>
          <t>No</t>
        </is>
      </c>
    </row>
    <row r="973">
      <c r="A973" s="14" t="inlineStr">
        <is>
          <t>Logos</t>
        </is>
      </c>
      <c r="B973" s="14" t="inlineStr">
        <is>
          <t>Gladys</t>
        </is>
      </c>
      <c r="C973" s="14" t="inlineStr">
        <is>
          <t>Ronald Curchod</t>
        </is>
      </c>
      <c r="D973" s="14" t="inlineStr">
        <is>
          <t>Albo Ciopi</t>
        </is>
      </c>
      <c r="E973" s="14" t="inlineStr">
        <is>
          <t>da 6 anni</t>
        </is>
      </c>
      <c r="F973" s="14" t="inlineStr">
        <is>
          <t>Prime letture (6-8)</t>
        </is>
      </c>
      <c r="G973" s="14" t="inlineStr">
        <is>
          <t>Albo illustrato</t>
        </is>
      </c>
      <c r="H973" s="14" t="inlineStr"/>
      <c r="I973" s="14" t="inlineStr">
        <is>
          <t>No</t>
        </is>
      </c>
      <c r="J973" s="14" t="inlineStr">
        <is>
          <t>Catalogo</t>
        </is>
      </c>
      <c r="K973" s="14" t="inlineStr">
        <is>
          <t>prime letture</t>
        </is>
      </c>
      <c r="L973" s="14" t="inlineStr">
        <is>
          <t>https://www.libri.it/gladys</t>
        </is>
      </c>
      <c r="M973" s="16" t="n">
        <v>20</v>
      </c>
      <c r="N973" s="14" t="inlineStr">
        <is>
          <t>Lista titoli Logos Edizioni 2026 (PVP)</t>
        </is>
      </c>
      <c r="O973" s="16">
        <f>IF(ISNUMBER(M973),ROUND(M973*(1-Condizioni!$B$2),2),"")</f>
        <v/>
      </c>
      <c r="P973" s="17" t="inlineStr">
        <is>
          <t>No</t>
        </is>
      </c>
    </row>
    <row r="974">
      <c r="A974" s="14" t="inlineStr">
        <is>
          <t>Logos</t>
        </is>
      </c>
      <c r="B974" s="14" t="inlineStr">
        <is>
          <t>Gli Insetti a Fumetti Vol. 2</t>
        </is>
      </c>
      <c r="C974" s="14" t="inlineStr">
        <is>
          <t>Cazenove, Vodarzac &amp; Cosby</t>
        </is>
      </c>
      <c r="D974" s="14" t="inlineStr">
        <is>
          <t>Fumetto Ciopi</t>
        </is>
      </c>
      <c r="E974" s="14" t="inlineStr">
        <is>
          <t>da 6 anni</t>
        </is>
      </c>
      <c r="F974" s="14" t="inlineStr">
        <is>
          <t>Prime letture (6-8)</t>
        </is>
      </c>
      <c r="G974" s="14" t="inlineStr">
        <is>
          <t>Graphic novel/Fumetto</t>
        </is>
      </c>
      <c r="H974" s="14" t="inlineStr"/>
      <c r="I974" s="14" t="inlineStr">
        <is>
          <t>No</t>
        </is>
      </c>
      <c r="J974" s="14" t="inlineStr">
        <is>
          <t>Catalogo</t>
        </is>
      </c>
      <c r="K974" s="14" t="inlineStr">
        <is>
          <t>prime letture</t>
        </is>
      </c>
      <c r="L974" s="14" t="inlineStr">
        <is>
          <t>https://www.libri.it/insetti-2</t>
        </is>
      </c>
      <c r="M974" s="16" t="n">
        <v>16</v>
      </c>
      <c r="N974" s="14" t="inlineStr">
        <is>
          <t>Lista titoli Logos Edizioni 2026 (PVP)</t>
        </is>
      </c>
      <c r="O974" s="16">
        <f>IF(ISNUMBER(M974),ROUND(M974*(1-Condizioni!$B$2),2),"")</f>
        <v/>
      </c>
      <c r="P974" s="17" t="inlineStr">
        <is>
          <t>No</t>
        </is>
      </c>
    </row>
    <row r="975">
      <c r="A975" s="14" t="inlineStr">
        <is>
          <t>Logos</t>
        </is>
      </c>
      <c r="B975" s="14" t="inlineStr">
        <is>
          <t>Gli Insetti a Fumetti Vol. 3</t>
        </is>
      </c>
      <c r="C975" s="14" t="inlineStr">
        <is>
          <t>Cazenove, Vodarzac &amp; Cosby</t>
        </is>
      </c>
      <c r="D975" s="14" t="inlineStr">
        <is>
          <t>Fumetto Ciopi</t>
        </is>
      </c>
      <c r="E975" s="14" t="inlineStr">
        <is>
          <t>da 6 anni</t>
        </is>
      </c>
      <c r="F975" s="14" t="inlineStr">
        <is>
          <t>Prime letture (6-8)</t>
        </is>
      </c>
      <c r="G975" s="14" t="inlineStr">
        <is>
          <t>Graphic novel/Fumetto</t>
        </is>
      </c>
      <c r="H975" s="14" t="inlineStr"/>
      <c r="I975" s="14" t="inlineStr">
        <is>
          <t>No</t>
        </is>
      </c>
      <c r="J975" s="14" t="inlineStr">
        <is>
          <t>Catalogo</t>
        </is>
      </c>
      <c r="K975" s="14" t="inlineStr">
        <is>
          <t>prime letture</t>
        </is>
      </c>
      <c r="L975" s="14" t="inlineStr">
        <is>
          <t>https://www.libri.it/insetti-3</t>
        </is>
      </c>
      <c r="M975" s="16" t="n">
        <v>16</v>
      </c>
      <c r="N975" s="14" t="inlineStr">
        <is>
          <t>Lista titoli Logos Edizioni 2026 (PVP)</t>
        </is>
      </c>
      <c r="O975" s="16">
        <f>IF(ISNUMBER(M975),ROUND(M975*(1-Condizioni!$B$2),2),"")</f>
        <v/>
      </c>
      <c r="P975" s="17" t="inlineStr">
        <is>
          <t>No</t>
        </is>
      </c>
    </row>
    <row r="976">
      <c r="A976" s="14" t="inlineStr">
        <is>
          <t>Logos</t>
        </is>
      </c>
      <c r="B976" s="14" t="inlineStr">
        <is>
          <t>Gli Insetti a Fumetti Vol.1</t>
        </is>
      </c>
      <c r="C976" s="14" t="inlineStr">
        <is>
          <t>Cazenove, Vodarzac &amp; Cosby</t>
        </is>
      </c>
      <c r="D976" s="14" t="inlineStr">
        <is>
          <t>Fumetto Ciopi</t>
        </is>
      </c>
      <c r="E976" s="14" t="inlineStr">
        <is>
          <t>da 6 anni</t>
        </is>
      </c>
      <c r="F976" s="14" t="inlineStr">
        <is>
          <t>Prime letture (6-8)</t>
        </is>
      </c>
      <c r="G976" s="14" t="inlineStr">
        <is>
          <t>Graphic novel/Fumetto</t>
        </is>
      </c>
      <c r="H976" s="14" t="inlineStr"/>
      <c r="I976" s="14" t="inlineStr">
        <is>
          <t>No</t>
        </is>
      </c>
      <c r="J976" s="14" t="inlineStr">
        <is>
          <t>Catalogo</t>
        </is>
      </c>
      <c r="K976" s="14" t="inlineStr">
        <is>
          <t>prime letture</t>
        </is>
      </c>
      <c r="L976" s="14" t="inlineStr">
        <is>
          <t>https://www.libri.it/insetti-1</t>
        </is>
      </c>
      <c r="M976" s="16" t="n">
        <v>16</v>
      </c>
      <c r="N976" s="14" t="inlineStr">
        <is>
          <t>Lista titoli Logos Edizioni 2026 (PVP)</t>
        </is>
      </c>
      <c r="O976" s="16">
        <f>IF(ISNUMBER(M976),ROUND(M976*(1-Condizioni!$B$2),2),"")</f>
        <v/>
      </c>
      <c r="P976" s="17" t="inlineStr">
        <is>
          <t>No</t>
        </is>
      </c>
    </row>
    <row r="977">
      <c r="A977" s="14" t="inlineStr">
        <is>
          <t>Logos</t>
        </is>
      </c>
      <c r="B977" s="14" t="inlineStr">
        <is>
          <t>Gli Uccelli a Fumetti Vol. 1</t>
        </is>
      </c>
      <c r="C977" s="14" t="inlineStr">
        <is>
          <t>Garrera &amp; Sirvent</t>
        </is>
      </c>
      <c r="D977" s="14" t="inlineStr">
        <is>
          <t>Fumetto Ciopi</t>
        </is>
      </c>
      <c r="E977" s="14" t="inlineStr">
        <is>
          <t>da 6 anni</t>
        </is>
      </c>
      <c r="F977" s="14" t="inlineStr">
        <is>
          <t>Prime letture (6-8)</t>
        </is>
      </c>
      <c r="G977" s="14" t="inlineStr">
        <is>
          <t>Graphic novel/Fumetto</t>
        </is>
      </c>
      <c r="H977" s="14" t="inlineStr"/>
      <c r="I977" s="14" t="inlineStr">
        <is>
          <t>No</t>
        </is>
      </c>
      <c r="J977" s="14" t="inlineStr">
        <is>
          <t>Catalogo</t>
        </is>
      </c>
      <c r="K977" s="14" t="inlineStr">
        <is>
          <t>prime letture</t>
        </is>
      </c>
      <c r="L977" s="14" t="inlineStr">
        <is>
          <t>https://www.libri.it/uccelli-1</t>
        </is>
      </c>
      <c r="M977" s="16" t="n">
        <v>16</v>
      </c>
      <c r="N977" s="14" t="inlineStr">
        <is>
          <t>Lista titoli Logos Edizioni 2026 (PVP)</t>
        </is>
      </c>
      <c r="O977" s="16">
        <f>IF(ISNUMBER(M977),ROUND(M977*(1-Condizioni!$B$2),2),"")</f>
        <v/>
      </c>
      <c r="P977" s="17" t="inlineStr">
        <is>
          <t>No</t>
        </is>
      </c>
    </row>
    <row r="978">
      <c r="A978" s="14" t="inlineStr">
        <is>
          <t>Logos</t>
        </is>
      </c>
      <c r="B978" s="14" t="inlineStr">
        <is>
          <t>Gli Uccelli a Fumetti Vol. 2</t>
        </is>
      </c>
      <c r="C978" s="14" t="inlineStr">
        <is>
          <t>Garrera &amp; Sirvent</t>
        </is>
      </c>
      <c r="D978" s="14" t="inlineStr">
        <is>
          <t>Fumetto Ciopi</t>
        </is>
      </c>
      <c r="E978" s="14" t="inlineStr">
        <is>
          <t>da 6 anni</t>
        </is>
      </c>
      <c r="F978" s="14" t="inlineStr">
        <is>
          <t>Prime letture (6-8)</t>
        </is>
      </c>
      <c r="G978" s="14" t="inlineStr">
        <is>
          <t>Graphic novel/Fumetto</t>
        </is>
      </c>
      <c r="H978" s="14" t="inlineStr"/>
      <c r="I978" s="14" t="inlineStr">
        <is>
          <t>No</t>
        </is>
      </c>
      <c r="J978" s="14" t="inlineStr">
        <is>
          <t>Catalogo</t>
        </is>
      </c>
      <c r="K978" s="14" t="inlineStr">
        <is>
          <t>prime letture</t>
        </is>
      </c>
      <c r="L978" s="14" t="inlineStr">
        <is>
          <t>https://www.libri.it/uccelli-2</t>
        </is>
      </c>
      <c r="M978" s="16" t="n">
        <v>16</v>
      </c>
      <c r="N978" s="14" t="inlineStr">
        <is>
          <t>Lista titoli Logos Edizioni 2026 (PVP)</t>
        </is>
      </c>
      <c r="O978" s="16">
        <f>IF(ISNUMBER(M978),ROUND(M978*(1-Condizioni!$B$2),2),"")</f>
        <v/>
      </c>
      <c r="P978" s="17" t="inlineStr">
        <is>
          <t>No</t>
        </is>
      </c>
    </row>
    <row r="979">
      <c r="A979" s="14" t="inlineStr">
        <is>
          <t>Logos</t>
        </is>
      </c>
      <c r="B979" s="14" t="inlineStr">
        <is>
          <t>Gli Uccelli a Fumetti Vol. 3</t>
        </is>
      </c>
      <c r="C979" s="14" t="inlineStr">
        <is>
          <t>Garrera &amp; Sirvent</t>
        </is>
      </c>
      <c r="D979" s="14" t="inlineStr">
        <is>
          <t>Fumetto Ciopi</t>
        </is>
      </c>
      <c r="E979" s="14" t="inlineStr">
        <is>
          <t>da 6 anni</t>
        </is>
      </c>
      <c r="F979" s="14" t="inlineStr">
        <is>
          <t>Prime letture (6-8)</t>
        </is>
      </c>
      <c r="G979" s="14" t="inlineStr">
        <is>
          <t>Graphic novel/Fumetto</t>
        </is>
      </c>
      <c r="H979" s="14" t="inlineStr"/>
      <c r="I979" s="14" t="inlineStr">
        <is>
          <t>No</t>
        </is>
      </c>
      <c r="J979" s="14" t="inlineStr">
        <is>
          <t>Catalogo</t>
        </is>
      </c>
      <c r="K979" s="14" t="inlineStr">
        <is>
          <t>prime letture</t>
        </is>
      </c>
      <c r="L979" s="14" t="inlineStr">
        <is>
          <t>https://www.libri.it/uccelli-3</t>
        </is>
      </c>
      <c r="M979" s="16" t="n">
        <v>16</v>
      </c>
      <c r="N979" s="14" t="inlineStr">
        <is>
          <t>Lista titoli Logos Edizioni 2026 (PVP)</t>
        </is>
      </c>
      <c r="O979" s="16">
        <f>IF(ISNUMBER(M979),ROUND(M979*(1-Condizioni!$B$2),2),"")</f>
        <v/>
      </c>
      <c r="P979" s="17" t="inlineStr">
        <is>
          <t>No</t>
        </is>
      </c>
    </row>
    <row r="980">
      <c r="A980" s="14" t="inlineStr">
        <is>
          <t>Logos</t>
        </is>
      </c>
      <c r="B980" s="14" t="inlineStr">
        <is>
          <t>Grillina Violina Trova Casa</t>
        </is>
      </c>
      <c r="C980" s="14" t="inlineStr">
        <is>
          <t>Janosch</t>
        </is>
      </c>
      <c r="D980" s="14" t="inlineStr">
        <is>
          <t>Biblioteca Ciopi</t>
        </is>
      </c>
      <c r="E980" s="14" t="inlineStr">
        <is>
          <t>da 6 anni</t>
        </is>
      </c>
      <c r="F980" s="14" t="inlineStr">
        <is>
          <t>Prime letture (6-8)</t>
        </is>
      </c>
      <c r="G980" s="14" t="inlineStr">
        <is>
          <t>Narrativa</t>
        </is>
      </c>
      <c r="H980" s="14" t="inlineStr"/>
      <c r="I980" s="14" t="inlineStr">
        <is>
          <t>No</t>
        </is>
      </c>
      <c r="J980" s="14" t="inlineStr">
        <is>
          <t>Catalogo</t>
        </is>
      </c>
      <c r="K980" s="14" t="inlineStr">
        <is>
          <t>prime letture, narrativa</t>
        </is>
      </c>
      <c r="L980" s="14" t="inlineStr">
        <is>
          <t>https://www.libri.it/grillina</t>
        </is>
      </c>
      <c r="M980" s="16" t="n">
        <v>10</v>
      </c>
      <c r="N980" s="14" t="inlineStr">
        <is>
          <t>Lista titoli Logos Edizioni 2026 (PVP)</t>
        </is>
      </c>
      <c r="O980" s="16">
        <f>IF(ISNUMBER(M980),ROUND(M980*(1-Condizioni!$B$2),2),"")</f>
        <v/>
      </c>
      <c r="P980" s="17" t="inlineStr">
        <is>
          <t>No</t>
        </is>
      </c>
    </row>
    <row r="981">
      <c r="A981" s="14" t="inlineStr">
        <is>
          <t>Logos</t>
        </is>
      </c>
      <c r="B981" s="14" t="inlineStr">
        <is>
          <t>I Dinosauri Vol.1</t>
        </is>
      </c>
      <c r="C981" s="14" t="inlineStr">
        <is>
          <t>Arnaud Plumeri</t>
        </is>
      </c>
      <c r="D981" s="14" t="inlineStr">
        <is>
          <t>Fumetto Ciopi</t>
        </is>
      </c>
      <c r="E981" s="14" t="inlineStr">
        <is>
          <t>da 6 anni</t>
        </is>
      </c>
      <c r="F981" s="14" t="inlineStr">
        <is>
          <t>Prime letture (6-8)</t>
        </is>
      </c>
      <c r="G981" s="14" t="inlineStr">
        <is>
          <t>Graphic novel/Fumetto</t>
        </is>
      </c>
      <c r="H981" s="14" t="inlineStr"/>
      <c r="I981" s="14" t="inlineStr">
        <is>
          <t>No</t>
        </is>
      </c>
      <c r="J981" s="14" t="inlineStr">
        <is>
          <t>Catalogo</t>
        </is>
      </c>
      <c r="K981" s="14" t="inlineStr">
        <is>
          <t>prime letture</t>
        </is>
      </c>
      <c r="L981" s="14" t="inlineStr">
        <is>
          <t>https://www.libri.it/dinosauri</t>
        </is>
      </c>
      <c r="M981" s="16" t="n">
        <v>16</v>
      </c>
      <c r="N981" s="14" t="inlineStr">
        <is>
          <t>Lista titoli Logos Edizioni 2026 (PVP)</t>
        </is>
      </c>
      <c r="O981" s="16">
        <f>IF(ISNUMBER(M981),ROUND(M981*(1-Condizioni!$B$2),2),"")</f>
        <v/>
      </c>
      <c r="P981" s="17" t="inlineStr">
        <is>
          <t>No</t>
        </is>
      </c>
    </row>
    <row r="982">
      <c r="A982" s="14" t="inlineStr">
        <is>
          <t>Logos</t>
        </is>
      </c>
      <c r="B982" s="14" t="inlineStr">
        <is>
          <t>I Miniminimus</t>
        </is>
      </c>
      <c r="C982" s="14" t="inlineStr">
        <is>
          <t>Éléonore Douspis</t>
        </is>
      </c>
      <c r="D982" s="14" t="inlineStr">
        <is>
          <t>Fumetto Ciopi</t>
        </is>
      </c>
      <c r="E982" s="14" t="inlineStr">
        <is>
          <t>da 6 anni</t>
        </is>
      </c>
      <c r="F982" s="14" t="inlineStr">
        <is>
          <t>Prime letture (6-8)</t>
        </is>
      </c>
      <c r="G982" s="14" t="inlineStr">
        <is>
          <t>Graphic novel/Fumetto</t>
        </is>
      </c>
      <c r="H982" s="14" t="inlineStr"/>
      <c r="I982" s="14" t="inlineStr">
        <is>
          <t>No</t>
        </is>
      </c>
      <c r="J982" s="14" t="inlineStr">
        <is>
          <t>Catalogo</t>
        </is>
      </c>
      <c r="K982" s="14" t="inlineStr">
        <is>
          <t>prime letture</t>
        </is>
      </c>
      <c r="L982" s="14" t="inlineStr">
        <is>
          <t>https://www.libri.it/miniminimus</t>
        </is>
      </c>
      <c r="M982" s="16" t="n">
        <v>20</v>
      </c>
      <c r="N982" s="14" t="inlineStr">
        <is>
          <t>Lista titoli Logos Edizioni 2026 (PVP)</t>
        </is>
      </c>
      <c r="O982" s="16">
        <f>IF(ISNUMBER(M982),ROUND(M982*(1-Condizioni!$B$2),2),"")</f>
        <v/>
      </c>
      <c r="P982" s="17" t="inlineStr">
        <is>
          <t>No</t>
        </is>
      </c>
    </row>
    <row r="983">
      <c r="A983" s="14" t="inlineStr">
        <is>
          <t>Logos</t>
        </is>
      </c>
      <c r="B983" s="14" t="inlineStr">
        <is>
          <t>I Misteri di Harris Burdick</t>
        </is>
      </c>
      <c r="C983" s="14" t="inlineStr">
        <is>
          <t>Chris Van Allsburg</t>
        </is>
      </c>
      <c r="D983" s="14" t="inlineStr">
        <is>
          <t>Albo Ciopi</t>
        </is>
      </c>
      <c r="E983" s="14" t="inlineStr">
        <is>
          <t>da 6 anni</t>
        </is>
      </c>
      <c r="F983" s="14" t="inlineStr">
        <is>
          <t>Prime letture (6-8)</t>
        </is>
      </c>
      <c r="G983" s="14" t="inlineStr">
        <is>
          <t>Albo illustrato</t>
        </is>
      </c>
      <c r="H983" s="14" t="inlineStr"/>
      <c r="I983" s="14" t="inlineStr">
        <is>
          <t>No</t>
        </is>
      </c>
      <c r="J983" s="14" t="inlineStr">
        <is>
          <t>Catalogo</t>
        </is>
      </c>
      <c r="K983" s="14" t="inlineStr">
        <is>
          <t>prime letture</t>
        </is>
      </c>
      <c r="L983" s="14" t="inlineStr">
        <is>
          <t>https://www.libri.it/misteri-di-harris-burdick</t>
        </is>
      </c>
      <c r="M983" s="16" t="n">
        <v>17</v>
      </c>
      <c r="N983" s="14" t="inlineStr">
        <is>
          <t>Lista titoli Logos Edizioni 2026 (PVP)</t>
        </is>
      </c>
      <c r="O983" s="16">
        <f>IF(ISNUMBER(M983),ROUND(M983*(1-Condizioni!$B$2),2),"")</f>
        <v/>
      </c>
      <c r="P983" s="17" t="inlineStr">
        <is>
          <t>No</t>
        </is>
      </c>
    </row>
    <row r="984">
      <c r="A984" s="14" t="inlineStr">
        <is>
          <t>Logos</t>
        </is>
      </c>
      <c r="B984" s="14" t="inlineStr">
        <is>
          <t>I Ricordi della Vecchia Quercia</t>
        </is>
      </c>
      <c r="C984" s="14" t="inlineStr">
        <is>
          <t>Maxime Rovere; ill. Frédéric Pillot</t>
        </is>
      </c>
      <c r="D984" s="14" t="inlineStr">
        <is>
          <t>Albo Ciopi</t>
        </is>
      </c>
      <c r="E984" s="14" t="inlineStr">
        <is>
          <t>da 6 anni</t>
        </is>
      </c>
      <c r="F984" s="14" t="inlineStr">
        <is>
          <t>Prime letture (6-8)</t>
        </is>
      </c>
      <c r="G984" s="14" t="inlineStr">
        <is>
          <t>Albo illustrato</t>
        </is>
      </c>
      <c r="H984" s="14" t="inlineStr"/>
      <c r="I984" s="14" t="inlineStr">
        <is>
          <t>No</t>
        </is>
      </c>
      <c r="J984" s="14" t="inlineStr">
        <is>
          <t>Catalogo</t>
        </is>
      </c>
      <c r="K984" s="14" t="inlineStr">
        <is>
          <t>prime letture</t>
        </is>
      </c>
      <c r="L984" s="14" t="inlineStr">
        <is>
          <t>https://www.libri.it/vecchia-quercia</t>
        </is>
      </c>
      <c r="M984" s="16" t="n">
        <v>22</v>
      </c>
      <c r="N984" s="14" t="inlineStr">
        <is>
          <t>Lista titoli Logos Edizioni 2026 (PVP)</t>
        </is>
      </c>
      <c r="O984" s="16">
        <f>IF(ISNUMBER(M984),ROUND(M984*(1-Condizioni!$B$2),2),"")</f>
        <v/>
      </c>
      <c r="P984" s="17" t="inlineStr">
        <is>
          <t>No</t>
        </is>
      </c>
    </row>
    <row r="985">
      <c r="A985" s="14" t="inlineStr">
        <is>
          <t>Logos</t>
        </is>
      </c>
      <c r="B985" s="14" t="inlineStr">
        <is>
          <t>I Sette Orsi Nani 1 Riccioli d’Oro</t>
        </is>
      </c>
      <c r="C985" s="14" t="inlineStr">
        <is>
          <t>Émile Bravo</t>
        </is>
      </c>
      <c r="D985" s="14" t="inlineStr">
        <is>
          <t>Fumetto Ciopi</t>
        </is>
      </c>
      <c r="E985" s="14" t="inlineStr">
        <is>
          <t>da 6 anni</t>
        </is>
      </c>
      <c r="F985" s="14" t="inlineStr">
        <is>
          <t>Prime letture (6-8)</t>
        </is>
      </c>
      <c r="G985" s="14" t="inlineStr">
        <is>
          <t>Graphic novel/Fumetto</t>
        </is>
      </c>
      <c r="H985" s="14" t="inlineStr"/>
      <c r="I985" s="14" t="inlineStr">
        <is>
          <t>No</t>
        </is>
      </c>
      <c r="J985" s="14" t="inlineStr">
        <is>
          <t>Catalogo</t>
        </is>
      </c>
      <c r="K985" s="14" t="inlineStr">
        <is>
          <t>prime letture</t>
        </is>
      </c>
      <c r="L985" s="14" t="inlineStr">
        <is>
          <t>https://www.libri.it/mirabolanti-avventure-dei-sette-orsi-nani-1</t>
        </is>
      </c>
      <c r="M985" s="16" t="n">
        <v>12</v>
      </c>
      <c r="N985" s="14" t="inlineStr">
        <is>
          <t>Lista titoli Logos Edizioni 2026 (PVP)</t>
        </is>
      </c>
      <c r="O985" s="16">
        <f>IF(ISNUMBER(M985),ROUND(M985*(1-Condizioni!$B$2),2),"")</f>
        <v/>
      </c>
      <c r="P985" s="17" t="inlineStr">
        <is>
          <t>No</t>
        </is>
      </c>
    </row>
    <row r="986">
      <c r="A986" s="14" t="inlineStr">
        <is>
          <t>Logos</t>
        </is>
      </c>
      <c r="B986" s="14" t="inlineStr">
        <is>
          <t>I Sette Orsi Nani 2 la Grande Fame</t>
        </is>
      </c>
      <c r="C986" s="14" t="inlineStr">
        <is>
          <t>Émile Bravo</t>
        </is>
      </c>
      <c r="D986" s="14" t="inlineStr">
        <is>
          <t>Fumetto Ciopi</t>
        </is>
      </c>
      <c r="E986" s="14" t="inlineStr">
        <is>
          <t>da 6 anni</t>
        </is>
      </c>
      <c r="F986" s="14" t="inlineStr">
        <is>
          <t>Prime letture (6-8)</t>
        </is>
      </c>
      <c r="G986" s="14" t="inlineStr">
        <is>
          <t>Graphic novel/Fumetto</t>
        </is>
      </c>
      <c r="H986" s="14" t="inlineStr"/>
      <c r="I986" s="14" t="inlineStr">
        <is>
          <t>No</t>
        </is>
      </c>
      <c r="J986" s="14" t="inlineStr">
        <is>
          <t>Catalogo</t>
        </is>
      </c>
      <c r="K986" s="14" t="inlineStr">
        <is>
          <t>prime letture</t>
        </is>
      </c>
      <c r="L986" s="14" t="inlineStr">
        <is>
          <t>https://www.libri.it/3d/anteprima/lagrandefame/</t>
        </is>
      </c>
      <c r="M986" s="16" t="n">
        <v>12</v>
      </c>
      <c r="N986" s="14" t="inlineStr">
        <is>
          <t>Lista titoli Logos Edizioni 2026 (PVP)</t>
        </is>
      </c>
      <c r="O986" s="16">
        <f>IF(ISNUMBER(M986),ROUND(M986*(1-Condizioni!$B$2),2),"")</f>
        <v/>
      </c>
      <c r="P986" s="17" t="inlineStr">
        <is>
          <t>No</t>
        </is>
      </c>
    </row>
    <row r="987">
      <c r="A987" s="14" t="inlineStr">
        <is>
          <t>Logos</t>
        </is>
      </c>
      <c r="B987" s="14" t="inlineStr">
        <is>
          <t>I Sette Orsi Nani 3 la Bianca Addormentata</t>
        </is>
      </c>
      <c r="C987" s="14" t="inlineStr">
        <is>
          <t>Émile Bravo</t>
        </is>
      </c>
      <c r="D987" s="14" t="inlineStr">
        <is>
          <t>Fumetto Ciopi</t>
        </is>
      </c>
      <c r="E987" s="14" t="inlineStr">
        <is>
          <t>da 6 anni</t>
        </is>
      </c>
      <c r="F987" s="14" t="inlineStr">
        <is>
          <t>Prime letture (6-8)</t>
        </is>
      </c>
      <c r="G987" s="14" t="inlineStr">
        <is>
          <t>Graphic novel/Fumetto</t>
        </is>
      </c>
      <c r="H987" s="14" t="inlineStr"/>
      <c r="I987" s="14" t="inlineStr">
        <is>
          <t>No</t>
        </is>
      </c>
      <c r="J987" s="14" t="inlineStr">
        <is>
          <t>Catalogo</t>
        </is>
      </c>
      <c r="K987" s="14" t="inlineStr">
        <is>
          <t>prime letture</t>
        </is>
      </c>
      <c r="L987" s="14" t="inlineStr">
        <is>
          <t>https://www.libri.it/3d/anteprima/labiancaaddormentata/</t>
        </is>
      </c>
      <c r="M987" s="16" t="n">
        <v>12</v>
      </c>
      <c r="N987" s="14" t="inlineStr">
        <is>
          <t>Lista titoli Logos Edizioni 2026 (PVP)</t>
        </is>
      </c>
      <c r="O987" s="16">
        <f>IF(ISNUMBER(M987),ROUND(M987*(1-Condizioni!$B$2),2),"")</f>
        <v/>
      </c>
      <c r="P987" s="17" t="inlineStr">
        <is>
          <t>No</t>
        </is>
      </c>
    </row>
    <row r="988">
      <c r="A988" s="14" t="inlineStr">
        <is>
          <t>Logos</t>
        </is>
      </c>
      <c r="B988" s="14" t="inlineStr">
        <is>
          <t>I Superdomandoni. Salviamo il Pianeta</t>
        </is>
      </c>
      <c r="C988" s="14" t="inlineStr">
        <is>
          <t>Aa.Vv</t>
        </is>
      </c>
      <c r="D988" s="14" t="inlineStr">
        <is>
          <t>Ciopilopini</t>
        </is>
      </c>
      <c r="E988" s="14" t="inlineStr">
        <is>
          <t>da 6 anni</t>
        </is>
      </c>
      <c r="F988" s="14" t="inlineStr">
        <is>
          <t>Prime letture (6-8)</t>
        </is>
      </c>
      <c r="G988" s="14" t="inlineStr">
        <is>
          <t>Albo illustrato</t>
        </is>
      </c>
      <c r="H988" s="14" t="inlineStr"/>
      <c r="I988" s="14" t="inlineStr">
        <is>
          <t>No</t>
        </is>
      </c>
      <c r="J988" s="14" t="inlineStr">
        <is>
          <t>Catalogo</t>
        </is>
      </c>
      <c r="K988" s="14" t="inlineStr">
        <is>
          <t>prime letture</t>
        </is>
      </c>
      <c r="L988" s="14" t="inlineStr">
        <is>
          <t>https://www.libri.it/superdomandoni-salviamo-il-pianeta</t>
        </is>
      </c>
      <c r="M988" s="16" t="n">
        <v>15</v>
      </c>
      <c r="N988" s="14" t="inlineStr">
        <is>
          <t>Lista titoli Logos Edizioni 2026 (PVP)</t>
        </is>
      </c>
      <c r="O988" s="16">
        <f>IF(ISNUMBER(M988),ROUND(M988*(1-Condizioni!$B$2),2),"")</f>
        <v/>
      </c>
      <c r="P988" s="17" t="inlineStr">
        <is>
          <t>No</t>
        </is>
      </c>
    </row>
    <row r="989">
      <c r="A989" s="14" t="inlineStr">
        <is>
          <t>Logos</t>
        </is>
      </c>
      <c r="B989" s="14" t="inlineStr">
        <is>
          <t>I Superdomandoni. Virus e Batteri</t>
        </is>
      </c>
      <c r="C989" s="14" t="inlineStr">
        <is>
          <t>Aa.Vv</t>
        </is>
      </c>
      <c r="D989" s="14" t="inlineStr">
        <is>
          <t>Ciopilopini</t>
        </is>
      </c>
      <c r="E989" s="14" t="inlineStr">
        <is>
          <t>da 6 anni</t>
        </is>
      </c>
      <c r="F989" s="14" t="inlineStr">
        <is>
          <t>Prime letture (6-8)</t>
        </is>
      </c>
      <c r="G989" s="14" t="inlineStr">
        <is>
          <t>Albo illustrato</t>
        </is>
      </c>
      <c r="H989" s="14" t="inlineStr"/>
      <c r="I989" s="14" t="inlineStr">
        <is>
          <t>No</t>
        </is>
      </c>
      <c r="J989" s="14" t="inlineStr">
        <is>
          <t>Catalogo</t>
        </is>
      </c>
      <c r="K989" s="14" t="inlineStr">
        <is>
          <t>prime letture</t>
        </is>
      </c>
      <c r="L989" s="14" t="inlineStr">
        <is>
          <t>https://www.libri.it/superdomandoni-virus-e-batteri</t>
        </is>
      </c>
      <c r="M989" s="16" t="n">
        <v>15</v>
      </c>
      <c r="N989" s="14" t="inlineStr">
        <is>
          <t>Lista titoli Logos Edizioni 2026 (PVP)</t>
        </is>
      </c>
      <c r="O989" s="16">
        <f>IF(ISNUMBER(M989),ROUND(M989*(1-Condizioni!$B$2),2),"")</f>
        <v/>
      </c>
      <c r="P989" s="17" t="inlineStr">
        <is>
          <t>No</t>
        </is>
      </c>
    </row>
    <row r="990">
      <c r="A990" s="14" t="inlineStr">
        <is>
          <t>Logos</t>
        </is>
      </c>
      <c r="B990" s="14" t="inlineStr">
        <is>
          <t>I Superdomandoni. la Terra e l’Universo</t>
        </is>
      </c>
      <c r="C990" s="14" t="inlineStr">
        <is>
          <t>Aa.Vv</t>
        </is>
      </c>
      <c r="D990" s="14" t="inlineStr">
        <is>
          <t>Ciopilopini</t>
        </is>
      </c>
      <c r="E990" s="14" t="inlineStr">
        <is>
          <t>da 6 anni</t>
        </is>
      </c>
      <c r="F990" s="14" t="inlineStr">
        <is>
          <t>Prime letture (6-8)</t>
        </is>
      </c>
      <c r="G990" s="14" t="inlineStr">
        <is>
          <t>Albo illustrato</t>
        </is>
      </c>
      <c r="H990" s="14" t="inlineStr"/>
      <c r="I990" s="14" t="inlineStr">
        <is>
          <t>No</t>
        </is>
      </c>
      <c r="J990" s="14" t="inlineStr">
        <is>
          <t>Catalogo</t>
        </is>
      </c>
      <c r="K990" s="14" t="inlineStr">
        <is>
          <t>prime letture</t>
        </is>
      </c>
      <c r="L990" s="14" t="inlineStr">
        <is>
          <t>https://www.libri.it/superdomandoni-la-terra-e-l-universo</t>
        </is>
      </c>
      <c r="M990" s="16" t="n">
        <v>15</v>
      </c>
      <c r="N990" s="14" t="inlineStr">
        <is>
          <t>Lista titoli Logos Edizioni 2026 (PVP)</t>
        </is>
      </c>
      <c r="O990" s="16">
        <f>IF(ISNUMBER(M990),ROUND(M990*(1-Condizioni!$B$2),2),"")</f>
        <v/>
      </c>
      <c r="P990" s="17" t="inlineStr">
        <is>
          <t>No</t>
        </is>
      </c>
    </row>
    <row r="991">
      <c r="A991" s="14" t="inlineStr">
        <is>
          <t>Logos</t>
        </is>
      </c>
      <c r="B991" s="14" t="inlineStr">
        <is>
          <t>I Tre Lupacchiotti e il Grande Maiale Cattivo</t>
        </is>
      </c>
      <c r="C991" s="14" t="inlineStr">
        <is>
          <t>Eugene Trivizas; ill. Helen Oxenbury</t>
        </is>
      </c>
      <c r="D991" s="14" t="inlineStr">
        <is>
          <t>Biblioteca Ciopi</t>
        </is>
      </c>
      <c r="E991" s="14" t="inlineStr">
        <is>
          <t>da 6 anni</t>
        </is>
      </c>
      <c r="F991" s="14" t="inlineStr">
        <is>
          <t>Prime letture (6-8)</t>
        </is>
      </c>
      <c r="G991" s="14" t="inlineStr">
        <is>
          <t>Narrativa</t>
        </is>
      </c>
      <c r="H991" s="14" t="inlineStr"/>
      <c r="I991" s="14" t="inlineStr">
        <is>
          <t>No</t>
        </is>
      </c>
      <c r="J991" s="14" t="inlineStr">
        <is>
          <t>Catalogo</t>
        </is>
      </c>
      <c r="K991" s="14" t="inlineStr">
        <is>
          <t>prime letture, narrativa</t>
        </is>
      </c>
      <c r="L991" s="14" t="inlineStr">
        <is>
          <t>https://www.libri.it/tre-lupacchiotti-e-il-grande-maiale-cattivo</t>
        </is>
      </c>
      <c r="M991" s="16" t="n">
        <v>8</v>
      </c>
      <c r="N991" s="14" t="inlineStr">
        <is>
          <t>Lista titoli Logos Edizioni 2026 (PVP)</t>
        </is>
      </c>
      <c r="O991" s="16">
        <f>IF(ISNUMBER(M991),ROUND(M991*(1-Condizioni!$B$2),2),"")</f>
        <v/>
      </c>
      <c r="P991" s="17" t="inlineStr">
        <is>
          <t>No</t>
        </is>
      </c>
    </row>
    <row r="992">
      <c r="A992" s="14" t="inlineStr">
        <is>
          <t>Logos</t>
        </is>
      </c>
      <c r="B992" s="14" t="inlineStr">
        <is>
          <t>Il Brutto Anatrocoso</t>
        </is>
      </c>
      <c r="C992" s="14" t="inlineStr">
        <is>
          <t>Marie-Sabine Roger; ill. Marjolaine Leray</t>
        </is>
      </c>
      <c r="D992" s="14" t="inlineStr">
        <is>
          <t>Biblioteca Ciopi</t>
        </is>
      </c>
      <c r="E992" s="14" t="inlineStr">
        <is>
          <t>da 6 anni</t>
        </is>
      </c>
      <c r="F992" s="14" t="inlineStr">
        <is>
          <t>Prime letture (6-8)</t>
        </is>
      </c>
      <c r="G992" s="14" t="inlineStr">
        <is>
          <t>Narrativa</t>
        </is>
      </c>
      <c r="H992" s="14" t="inlineStr"/>
      <c r="I992" s="14" t="inlineStr">
        <is>
          <t>No</t>
        </is>
      </c>
      <c r="J992" s="14" t="inlineStr">
        <is>
          <t>Catalogo</t>
        </is>
      </c>
      <c r="K992" s="14" t="inlineStr">
        <is>
          <t>prime letture, narrativa</t>
        </is>
      </c>
      <c r="L992" s="14" t="inlineStr">
        <is>
          <t>https://www.libri.it/anatrocoso</t>
        </is>
      </c>
      <c r="M992" s="16" t="n">
        <v>10</v>
      </c>
      <c r="N992" s="14" t="inlineStr">
        <is>
          <t>Lista titoli Logos Edizioni 2026 (PVP)</t>
        </is>
      </c>
      <c r="O992" s="16">
        <f>IF(ISNUMBER(M992),ROUND(M992*(1-Condizioni!$B$2),2),"")</f>
        <v/>
      </c>
      <c r="P992" s="17" t="inlineStr">
        <is>
          <t>No</t>
        </is>
      </c>
    </row>
    <row r="993">
      <c r="A993" s="14" t="inlineStr">
        <is>
          <t>Logos</t>
        </is>
      </c>
      <c r="B993" s="14" t="inlineStr">
        <is>
          <t>Il Caso Lupo Cattivo</t>
        </is>
      </c>
      <c r="C993" s="14" t="inlineStr">
        <is>
          <t>Marie-Sabine Roger; ill. Marjolaine Leray</t>
        </is>
      </c>
      <c r="D993" s="14" t="inlineStr">
        <is>
          <t>Albo Ciopi</t>
        </is>
      </c>
      <c r="E993" s="14" t="inlineStr">
        <is>
          <t>da 6 anni</t>
        </is>
      </c>
      <c r="F993" s="14" t="inlineStr">
        <is>
          <t>Prime letture (6-8)</t>
        </is>
      </c>
      <c r="G993" s="14" t="inlineStr">
        <is>
          <t>Albo illustrato</t>
        </is>
      </c>
      <c r="H993" s="14" t="inlineStr"/>
      <c r="I993" s="14" t="inlineStr">
        <is>
          <t>No</t>
        </is>
      </c>
      <c r="J993" s="14" t="inlineStr">
        <is>
          <t>Catalogo</t>
        </is>
      </c>
      <c r="K993" s="14" t="inlineStr">
        <is>
          <t>prime letture</t>
        </is>
      </c>
      <c r="L993" s="14" t="inlineStr">
        <is>
          <t>https://www.libri.it/il-caso-lupo-cattivo</t>
        </is>
      </c>
      <c r="M993" s="16" t="n">
        <v>16</v>
      </c>
      <c r="N993" s="14" t="inlineStr">
        <is>
          <t>Lista titoli Logos Edizioni 2026 (PVP)</t>
        </is>
      </c>
      <c r="O993" s="16">
        <f>IF(ISNUMBER(M993),ROUND(M993*(1-Condizioni!$B$2),2),"")</f>
        <v/>
      </c>
      <c r="P993" s="17" t="inlineStr">
        <is>
          <t>No</t>
        </is>
      </c>
    </row>
    <row r="994">
      <c r="A994" s="14" t="inlineStr">
        <is>
          <t>Logos</t>
        </is>
      </c>
      <c r="B994" s="14" t="inlineStr">
        <is>
          <t>Il Cavaliere Ideale</t>
        </is>
      </c>
      <c r="C994" s="14" t="inlineStr">
        <is>
          <t>Pascal Brissy; ill. Frédéric Pillot</t>
        </is>
      </c>
      <c r="D994" s="14" t="inlineStr">
        <is>
          <t>Biblioteca Ciopi</t>
        </is>
      </c>
      <c r="E994" s="14" t="inlineStr">
        <is>
          <t>da 6 anni</t>
        </is>
      </c>
      <c r="F994" s="14" t="inlineStr">
        <is>
          <t>Prime letture (6-8)</t>
        </is>
      </c>
      <c r="G994" s="14" t="inlineStr">
        <is>
          <t>Narrativa</t>
        </is>
      </c>
      <c r="H994" s="14" t="inlineStr"/>
      <c r="I994" s="14" t="inlineStr">
        <is>
          <t>No</t>
        </is>
      </c>
      <c r="J994" s="14" t="inlineStr">
        <is>
          <t>Catalogo</t>
        </is>
      </c>
      <c r="K994" s="14" t="inlineStr">
        <is>
          <t>prime letture, narrativa</t>
        </is>
      </c>
      <c r="L994" s="14" t="inlineStr">
        <is>
          <t>https://www.libri.it/cavalier-ideale</t>
        </is>
      </c>
      <c r="M994" s="16" t="n">
        <v>10</v>
      </c>
      <c r="N994" s="14" t="inlineStr">
        <is>
          <t>Lista titoli Logos Edizioni 2026 (PVP)</t>
        </is>
      </c>
      <c r="O994" s="16">
        <f>IF(ISNUMBER(M994),ROUND(M994*(1-Condizioni!$B$2),2),"")</f>
        <v/>
      </c>
      <c r="P994" s="17" t="inlineStr">
        <is>
          <t>No</t>
        </is>
      </c>
    </row>
    <row r="995">
      <c r="A995" s="14" t="inlineStr">
        <is>
          <t>Logos</t>
        </is>
      </c>
      <c r="B995" s="14" t="inlineStr">
        <is>
          <t>Il Delfino</t>
        </is>
      </c>
      <c r="C995" s="14" t="inlineStr">
        <is>
          <t>Francesco Cortonesi; ill. Alessandra Manfredi</t>
        </is>
      </c>
      <c r="D995" s="14" t="inlineStr">
        <is>
          <t>Gaia</t>
        </is>
      </c>
      <c r="E995" s="14" t="inlineStr">
        <is>
          <t>da 6 anni</t>
        </is>
      </c>
      <c r="F995" s="14" t="inlineStr">
        <is>
          <t>Prime letture (6-8)</t>
        </is>
      </c>
      <c r="G995" s="14" t="inlineStr">
        <is>
          <t>Albo illustrato</t>
        </is>
      </c>
      <c r="H995" s="14" t="inlineStr"/>
      <c r="I995" s="14" t="inlineStr">
        <is>
          <t>No</t>
        </is>
      </c>
      <c r="J995" s="14" t="inlineStr">
        <is>
          <t>Catalogo</t>
        </is>
      </c>
      <c r="K995" s="14" t="inlineStr">
        <is>
          <t>prime letture</t>
        </is>
      </c>
      <c r="L995" s="14" t="inlineStr">
        <is>
          <t>https://www.libri.it/il-delfino</t>
        </is>
      </c>
      <c r="M995" s="16" t="n">
        <v>17</v>
      </c>
      <c r="N995" s="14" t="inlineStr">
        <is>
          <t>Lista titoli Logos Edizioni 2026 (PVP)</t>
        </is>
      </c>
      <c r="O995" s="16">
        <f>IF(ISNUMBER(M995),ROUND(M995*(1-Condizioni!$B$2),2),"")</f>
        <v/>
      </c>
      <c r="P995" s="17" t="inlineStr">
        <is>
          <t>No</t>
        </is>
      </c>
    </row>
    <row r="996">
      <c r="A996" s="14" t="inlineStr">
        <is>
          <t>Logos</t>
        </is>
      </c>
      <c r="B996" s="14" t="inlineStr">
        <is>
          <t>Il Diario di Lola Patapum</t>
        </is>
      </c>
      <c r="C996" s="14" t="inlineStr">
        <is>
          <t>Baptiste Chaperon; ill. Héloïse Solt</t>
        </is>
      </c>
      <c r="D996" s="14" t="inlineStr">
        <is>
          <t>Biblioteca Ciopi</t>
        </is>
      </c>
      <c r="E996" s="14" t="inlineStr">
        <is>
          <t>da 6 anni</t>
        </is>
      </c>
      <c r="F996" s="14" t="inlineStr">
        <is>
          <t>Prime letture (6-8)</t>
        </is>
      </c>
      <c r="G996" s="14" t="inlineStr">
        <is>
          <t>Narrativa</t>
        </is>
      </c>
      <c r="H996" s="14" t="inlineStr"/>
      <c r="I996" s="14" t="inlineStr">
        <is>
          <t>No</t>
        </is>
      </c>
      <c r="J996" s="14" t="inlineStr">
        <is>
          <t>Catalogo</t>
        </is>
      </c>
      <c r="K996" s="14" t="inlineStr">
        <is>
          <t>prime letture, narrativa</t>
        </is>
      </c>
      <c r="L996" s="14" t="inlineStr">
        <is>
          <t>https://www.libri.it/diario-di-lola-patapum</t>
        </is>
      </c>
      <c r="M996" s="16" t="n">
        <v>14</v>
      </c>
      <c r="N996" s="14" t="inlineStr">
        <is>
          <t>Lista titoli Logos Edizioni 2026 (PVP)</t>
        </is>
      </c>
      <c r="O996" s="16">
        <f>IF(ISNUMBER(M996),ROUND(M996*(1-Condizioni!$B$2),2),"")</f>
        <v/>
      </c>
      <c r="P996" s="17" t="inlineStr">
        <is>
          <t>No</t>
        </is>
      </c>
    </row>
    <row r="997">
      <c r="A997" s="14" t="inlineStr">
        <is>
          <t>Logos</t>
        </is>
      </c>
      <c r="B997" s="14" t="inlineStr">
        <is>
          <t>Il Drago di Salomè</t>
        </is>
      </c>
      <c r="C997" s="14" t="inlineStr">
        <is>
          <t>Lawrence Schimel; ill. Israel Barrón</t>
        </is>
      </c>
      <c r="D997" s="14" t="inlineStr">
        <is>
          <t>Biblioteca Ciopi</t>
        </is>
      </c>
      <c r="E997" s="14" t="inlineStr">
        <is>
          <t>da 6 anni</t>
        </is>
      </c>
      <c r="F997" s="14" t="inlineStr">
        <is>
          <t>Prime letture (6-8)</t>
        </is>
      </c>
      <c r="G997" s="14" t="inlineStr">
        <is>
          <t>Narrativa</t>
        </is>
      </c>
      <c r="H997" s="14" t="inlineStr"/>
      <c r="I997" s="14" t="inlineStr">
        <is>
          <t>No</t>
        </is>
      </c>
      <c r="J997" s="14" t="inlineStr">
        <is>
          <t>Catalogo</t>
        </is>
      </c>
      <c r="K997" s="14" t="inlineStr">
        <is>
          <t>prime letture, narrativa</t>
        </is>
      </c>
      <c r="L997" s="14" t="inlineStr">
        <is>
          <t>https://www.libri.it/drago-di-salome</t>
        </is>
      </c>
      <c r="M997" s="16" t="n">
        <v>11</v>
      </c>
      <c r="N997" s="14" t="inlineStr">
        <is>
          <t>Lista titoli Logos Edizioni 2026 (PVP)</t>
        </is>
      </c>
      <c r="O997" s="16">
        <f>IF(ISNUMBER(M997),ROUND(M997*(1-Condizioni!$B$2),2),"")</f>
        <v/>
      </c>
      <c r="P997" s="17" t="inlineStr">
        <is>
          <t>No</t>
        </is>
      </c>
    </row>
    <row r="998">
      <c r="A998" s="14" t="inlineStr">
        <is>
          <t>Logos</t>
        </is>
      </c>
      <c r="B998" s="14" t="inlineStr">
        <is>
          <t>Il Genio dei Bigodini</t>
        </is>
      </c>
      <c r="C998" s="14" t="inlineStr">
        <is>
          <t>André Bouchard</t>
        </is>
      </c>
      <c r="D998" s="14" t="inlineStr">
        <is>
          <t>Biblioteca Ciopi</t>
        </is>
      </c>
      <c r="E998" s="14" t="inlineStr">
        <is>
          <t>da 6 anni</t>
        </is>
      </c>
      <c r="F998" s="14" t="inlineStr">
        <is>
          <t>Prime letture (6-8)</t>
        </is>
      </c>
      <c r="G998" s="14" t="inlineStr">
        <is>
          <t>Narrativa</t>
        </is>
      </c>
      <c r="H998" s="14" t="inlineStr"/>
      <c r="I998" s="14" t="inlineStr">
        <is>
          <t>No</t>
        </is>
      </c>
      <c r="J998" s="14" t="inlineStr">
        <is>
          <t>Catalogo</t>
        </is>
      </c>
      <c r="K998" s="14" t="inlineStr">
        <is>
          <t>prime letture, narrativa</t>
        </is>
      </c>
      <c r="L998" s="14" t="inlineStr">
        <is>
          <t>https://www.libri.it/bigodini</t>
        </is>
      </c>
      <c r="M998" s="16" t="n">
        <v>10</v>
      </c>
      <c r="N998" s="14" t="inlineStr">
        <is>
          <t>Lista titoli Logos Edizioni 2026 (PVP)</t>
        </is>
      </c>
      <c r="O998" s="16">
        <f>IF(ISNUMBER(M998),ROUND(M998*(1-Condizioni!$B$2),2),"")</f>
        <v/>
      </c>
      <c r="P998" s="17" t="inlineStr">
        <is>
          <t>No</t>
        </is>
      </c>
    </row>
    <row r="999">
      <c r="A999" s="14" t="inlineStr">
        <is>
          <t>Logos</t>
        </is>
      </c>
      <c r="B999" s="14" t="inlineStr">
        <is>
          <t>Il Genio del Barattolo di Ravioli</t>
        </is>
      </c>
      <c r="C999" s="14" t="inlineStr">
        <is>
          <t>Germano Zullo; ill. Albertine</t>
        </is>
      </c>
      <c r="D999" s="14" t="inlineStr">
        <is>
          <t>Fumetto Ciopi</t>
        </is>
      </c>
      <c r="E999" s="14" t="inlineStr">
        <is>
          <t>da 6 anni</t>
        </is>
      </c>
      <c r="F999" s="14" t="inlineStr">
        <is>
          <t>Prime letture (6-8)</t>
        </is>
      </c>
      <c r="G999" s="14" t="inlineStr">
        <is>
          <t>Graphic novel/Fumetto</t>
        </is>
      </c>
      <c r="H999" s="14" t="inlineStr"/>
      <c r="I999" s="14" t="inlineStr">
        <is>
          <t>No</t>
        </is>
      </c>
      <c r="J999" s="14" t="inlineStr">
        <is>
          <t>Catalogo</t>
        </is>
      </c>
      <c r="K999" s="14" t="inlineStr">
        <is>
          <t>prime letture</t>
        </is>
      </c>
      <c r="L999" s="14" t="inlineStr">
        <is>
          <t>https://www.libri.it/il-genio-del-barattolo-di-ravioli</t>
        </is>
      </c>
      <c r="M999" s="16" t="n">
        <v>13</v>
      </c>
      <c r="N999" s="14" t="inlineStr">
        <is>
          <t>Lista titoli Logos Edizioni 2026 (PVP)</t>
        </is>
      </c>
      <c r="O999" s="16">
        <f>IF(ISNUMBER(M999),ROUND(M999*(1-Condizioni!$B$2),2),"")</f>
        <v/>
      </c>
      <c r="P999" s="17" t="inlineStr">
        <is>
          <t>No</t>
        </is>
      </c>
    </row>
    <row r="1000">
      <c r="A1000" s="14" t="inlineStr">
        <is>
          <t>Logos</t>
        </is>
      </c>
      <c r="B1000" s="14" t="inlineStr">
        <is>
          <t>Il Giardino di Abdul Gazasi</t>
        </is>
      </c>
      <c r="C1000" s="14" t="inlineStr">
        <is>
          <t>Chris Van Allsburg</t>
        </is>
      </c>
      <c r="D1000" s="14" t="inlineStr">
        <is>
          <t>Albo Ciopi</t>
        </is>
      </c>
      <c r="E1000" s="14" t="inlineStr">
        <is>
          <t>da 6 anni</t>
        </is>
      </c>
      <c r="F1000" s="14" t="inlineStr">
        <is>
          <t>Prime letture (6-8)</t>
        </is>
      </c>
      <c r="G1000" s="14" t="inlineStr">
        <is>
          <t>Albo illustrato</t>
        </is>
      </c>
      <c r="H1000" s="14" t="inlineStr"/>
      <c r="I1000" s="14" t="inlineStr">
        <is>
          <t>No</t>
        </is>
      </c>
      <c r="J1000" s="14" t="inlineStr">
        <is>
          <t>Catalogo</t>
        </is>
      </c>
      <c r="K1000" s="14" t="inlineStr">
        <is>
          <t>prime letture</t>
        </is>
      </c>
      <c r="L1000" s="14" t="inlineStr">
        <is>
          <t>https://www.libri.it/gasazi</t>
        </is>
      </c>
      <c r="M1000" s="16" t="n">
        <v>18</v>
      </c>
      <c r="N1000" s="14" t="inlineStr">
        <is>
          <t>Lista titoli Logos Edizioni 2026 (PVP)</t>
        </is>
      </c>
      <c r="O1000" s="16">
        <f>IF(ISNUMBER(M1000),ROUND(M1000*(1-Condizioni!$B$2),2),"")</f>
        <v/>
      </c>
      <c r="P1000" s="17" t="inlineStr">
        <is>
          <t>No</t>
        </is>
      </c>
    </row>
    <row r="1001">
      <c r="A1001" s="14" t="inlineStr">
        <is>
          <t>Logos</t>
        </is>
      </c>
      <c r="B1001" s="14" t="inlineStr">
        <is>
          <t>Il Lupo con gli Stivali</t>
        </is>
      </c>
      <c r="C1001" s="14" t="inlineStr">
        <is>
          <t>El Hematocrítico; ill. Alberto Vázquez</t>
        </is>
      </c>
      <c r="D1001" s="14" t="inlineStr">
        <is>
          <t>Biblioteca Ciopi</t>
        </is>
      </c>
      <c r="E1001" s="14" t="inlineStr">
        <is>
          <t>da 6 anni</t>
        </is>
      </c>
      <c r="F1001" s="14" t="inlineStr">
        <is>
          <t>Prime letture (6-8)</t>
        </is>
      </c>
      <c r="G1001" s="14" t="inlineStr">
        <is>
          <t>Narrativa</t>
        </is>
      </c>
      <c r="H1001" s="14" t="inlineStr"/>
      <c r="I1001" s="14" t="inlineStr">
        <is>
          <t>No</t>
        </is>
      </c>
      <c r="J1001" s="14" t="inlineStr">
        <is>
          <t>Catalogo</t>
        </is>
      </c>
      <c r="K1001" s="14" t="inlineStr">
        <is>
          <t>prime letture, narrativa</t>
        </is>
      </c>
      <c r="L1001" s="14" t="inlineStr">
        <is>
          <t>https://www.libri.it/lupo-con-gli-stivali</t>
        </is>
      </c>
      <c r="M1001" s="16" t="n">
        <v>12</v>
      </c>
      <c r="N1001" s="14" t="inlineStr">
        <is>
          <t>Lista titoli Logos Edizioni 2026 (PVP)</t>
        </is>
      </c>
      <c r="O1001" s="16">
        <f>IF(ISNUMBER(M1001),ROUND(M1001*(1-Condizioni!$B$2),2),"")</f>
        <v/>
      </c>
      <c r="P1001" s="17" t="inlineStr">
        <is>
          <t>No</t>
        </is>
      </c>
    </row>
    <row r="1002">
      <c r="A1002" s="14" t="inlineStr">
        <is>
          <t>Logos</t>
        </is>
      </c>
      <c r="B1002" s="14" t="inlineStr">
        <is>
          <t>Il Lupo in Mutanda Quaderno di Esercizi e Giochi Scemi</t>
        </is>
      </c>
      <c r="C1002" s="14" t="inlineStr">
        <is>
          <t xml:space="preserve">Wilfrid Lupano; ill. Mayana Itoïz </t>
        </is>
      </c>
      <c r="D1002" s="14" t="inlineStr">
        <is>
          <t>Fumetto Ciopi</t>
        </is>
      </c>
      <c r="E1002" s="14" t="inlineStr">
        <is>
          <t>da 6 anni</t>
        </is>
      </c>
      <c r="F1002" s="14" t="inlineStr">
        <is>
          <t>Prime letture (6-8)</t>
        </is>
      </c>
      <c r="G1002" s="14" t="inlineStr">
        <is>
          <t>Graphic novel/Fumetto</t>
        </is>
      </c>
      <c r="H1002" s="14" t="inlineStr"/>
      <c r="I1002" s="14" t="inlineStr">
        <is>
          <t>No</t>
        </is>
      </c>
      <c r="J1002" s="14" t="inlineStr">
        <is>
          <t>Catalogo</t>
        </is>
      </c>
      <c r="K1002" s="14" t="inlineStr">
        <is>
          <t>prime letture</t>
        </is>
      </c>
      <c r="L1002" s="14" t="inlineStr">
        <is>
          <t>https://www.libri.it/lupo-in-mutanda-quaderno-di-esercizi-e-giochi-scemi</t>
        </is>
      </c>
      <c r="M1002" s="16" t="n">
        <v>12</v>
      </c>
      <c r="N1002" s="14" t="inlineStr">
        <is>
          <t>Lista titoli Logos Edizioni 2026 (PVP)</t>
        </is>
      </c>
      <c r="O1002" s="16">
        <f>IF(ISNUMBER(M1002),ROUND(M1002*(1-Condizioni!$B$2),2),"")</f>
        <v/>
      </c>
      <c r="P1002" s="17" t="inlineStr">
        <is>
          <t>No</t>
        </is>
      </c>
    </row>
    <row r="1003">
      <c r="A1003" s="14" t="inlineStr">
        <is>
          <t>Logos</t>
        </is>
      </c>
      <c r="B1003" s="14" t="inlineStr">
        <is>
          <t>Il Lupo in Mutanda Vol. 1</t>
        </is>
      </c>
      <c r="C1003" s="14" t="inlineStr">
        <is>
          <t xml:space="preserve">Wilfrid Lupano; ill. Mayana Itoïz </t>
        </is>
      </c>
      <c r="D1003" s="14" t="inlineStr">
        <is>
          <t>Fumetto Ciopi</t>
        </is>
      </c>
      <c r="E1003" s="14" t="inlineStr">
        <is>
          <t>da 6 anni</t>
        </is>
      </c>
      <c r="F1003" s="14" t="inlineStr">
        <is>
          <t>Prime letture (6-8)</t>
        </is>
      </c>
      <c r="G1003" s="14" t="inlineStr">
        <is>
          <t>Graphic novel/Fumetto</t>
        </is>
      </c>
      <c r="H1003" s="14" t="inlineStr"/>
      <c r="I1003" s="14" t="inlineStr">
        <is>
          <t>No</t>
        </is>
      </c>
      <c r="J1003" s="14" t="inlineStr">
        <is>
          <t>Catalogo</t>
        </is>
      </c>
      <c r="K1003" s="14" t="inlineStr">
        <is>
          <t>prime letture</t>
        </is>
      </c>
      <c r="L1003" s="14" t="inlineStr">
        <is>
          <t>https://www.libri.it/lupo-in-mutanda-1</t>
        </is>
      </c>
      <c r="M1003" s="16" t="n">
        <v>11</v>
      </c>
      <c r="N1003" s="14" t="inlineStr">
        <is>
          <t>Lista titoli Logos Edizioni 2026 (PVP)</t>
        </is>
      </c>
      <c r="O1003" s="16">
        <f>IF(ISNUMBER(M1003),ROUND(M1003*(1-Condizioni!$B$2),2),"")</f>
        <v/>
      </c>
      <c r="P1003" s="17" t="inlineStr">
        <is>
          <t>No</t>
        </is>
      </c>
    </row>
    <row r="1004">
      <c r="A1004" s="14" t="inlineStr">
        <is>
          <t>Logos</t>
        </is>
      </c>
      <c r="B1004" s="14" t="inlineStr">
        <is>
          <t>Il Lupo in Mutanda Vol. 2 - Congelano di Brutto</t>
        </is>
      </c>
      <c r="C1004" s="14" t="inlineStr">
        <is>
          <t xml:space="preserve">Wilfrid Lupano; ill. Mayana Itoïz </t>
        </is>
      </c>
      <c r="D1004" s="14" t="inlineStr">
        <is>
          <t>Fumetto Ciopi</t>
        </is>
      </c>
      <c r="E1004" s="14" t="inlineStr">
        <is>
          <t>da 6 anni</t>
        </is>
      </c>
      <c r="F1004" s="14" t="inlineStr">
        <is>
          <t>Prime letture (6-8)</t>
        </is>
      </c>
      <c r="G1004" s="14" t="inlineStr">
        <is>
          <t>Graphic novel/Fumetto</t>
        </is>
      </c>
      <c r="H1004" s="14" t="inlineStr"/>
      <c r="I1004" s="14" t="inlineStr">
        <is>
          <t>No</t>
        </is>
      </c>
      <c r="J1004" s="14" t="inlineStr">
        <is>
          <t>Catalogo</t>
        </is>
      </c>
      <c r="K1004" s="14" t="inlineStr">
        <is>
          <t>prime letture</t>
        </is>
      </c>
      <c r="L1004" s="14" t="inlineStr">
        <is>
          <t>https://www.libri.it/lupo-in-mutanda-2</t>
        </is>
      </c>
      <c r="M1004" s="16" t="n">
        <v>12</v>
      </c>
      <c r="N1004" s="14" t="inlineStr">
        <is>
          <t>Lista titoli Logos Edizioni 2026 (PVP)</t>
        </is>
      </c>
      <c r="O1004" s="16">
        <f>IF(ISNUMBER(M1004),ROUND(M1004*(1-Condizioni!$B$2),2),"")</f>
        <v/>
      </c>
      <c r="P1004" s="17" t="inlineStr">
        <is>
          <t>No</t>
        </is>
      </c>
    </row>
    <row r="1005">
      <c r="A1005" s="14" t="inlineStr">
        <is>
          <t>Logos</t>
        </is>
      </c>
      <c r="B1005" s="14" t="inlineStr">
        <is>
          <t>Il Lupo in Mutanda Vol. 4 - È un Fannullone</t>
        </is>
      </c>
      <c r="C1005" s="14" t="inlineStr">
        <is>
          <t xml:space="preserve">Wilfrid Lupano; ill. Mayana Itoïz </t>
        </is>
      </c>
      <c r="D1005" s="14" t="inlineStr">
        <is>
          <t>Fumetto Ciopi</t>
        </is>
      </c>
      <c r="E1005" s="14" t="inlineStr">
        <is>
          <t>da 6 anni</t>
        </is>
      </c>
      <c r="F1005" s="14" t="inlineStr">
        <is>
          <t>Prime letture (6-8)</t>
        </is>
      </c>
      <c r="G1005" s="14" t="inlineStr">
        <is>
          <t>Graphic novel/Fumetto</t>
        </is>
      </c>
      <c r="H1005" s="14" t="inlineStr"/>
      <c r="I1005" s="14" t="inlineStr">
        <is>
          <t>No</t>
        </is>
      </c>
      <c r="J1005" s="14" t="inlineStr">
        <is>
          <t>Catalogo</t>
        </is>
      </c>
      <c r="K1005" s="14" t="inlineStr">
        <is>
          <t>prime letture</t>
        </is>
      </c>
      <c r="L1005" s="14" t="inlineStr">
        <is>
          <t>https://www.libri.it/lupo-in-mutanda-4</t>
        </is>
      </c>
      <c r="M1005" s="16" t="n">
        <v>12</v>
      </c>
      <c r="N1005" s="14" t="inlineStr">
        <is>
          <t>Lista titoli Logos Edizioni 2026 (PVP)</t>
        </is>
      </c>
      <c r="O1005" s="16">
        <f>IF(ISNUMBER(M1005),ROUND(M1005*(1-Condizioni!$B$2),2),"")</f>
        <v/>
      </c>
      <c r="P1005" s="17" t="inlineStr">
        <is>
          <t>No</t>
        </is>
      </c>
    </row>
    <row r="1006">
      <c r="A1006" s="14" t="inlineStr">
        <is>
          <t>Logos</t>
        </is>
      </c>
      <c r="B1006" s="14" t="inlineStr">
        <is>
          <t>Il Lupo in Mutanda Vol. 5 - in Braghe di Tela</t>
        </is>
      </c>
      <c r="C1006" s="14" t="inlineStr">
        <is>
          <t xml:space="preserve">Wilfrid Lupano; ill. Mayana Itoïz </t>
        </is>
      </c>
      <c r="D1006" s="14" t="inlineStr">
        <is>
          <t>Fumetto Ciopi</t>
        </is>
      </c>
      <c r="E1006" s="14" t="inlineStr">
        <is>
          <t>da 6 anni</t>
        </is>
      </c>
      <c r="F1006" s="14" t="inlineStr">
        <is>
          <t>Prime letture (6-8)</t>
        </is>
      </c>
      <c r="G1006" s="14" t="inlineStr">
        <is>
          <t>Graphic novel/Fumetto</t>
        </is>
      </c>
      <c r="H1006" s="14" t="inlineStr"/>
      <c r="I1006" s="14" t="inlineStr">
        <is>
          <t>No</t>
        </is>
      </c>
      <c r="J1006" s="14" t="inlineStr">
        <is>
          <t>Catalogo</t>
        </is>
      </c>
      <c r="K1006" s="14" t="inlineStr">
        <is>
          <t>prime letture</t>
        </is>
      </c>
      <c r="L1006" s="14" t="inlineStr">
        <is>
          <t>https://www.libri.it/lupo-in-mutanda-5</t>
        </is>
      </c>
      <c r="M1006" s="16" t="n">
        <v>12</v>
      </c>
      <c r="N1006" s="14" t="inlineStr">
        <is>
          <t>Lista titoli Logos Edizioni 2026 (PVP)</t>
        </is>
      </c>
      <c r="O1006" s="16">
        <f>IF(ISNUMBER(M1006),ROUND(M1006*(1-Condizioni!$B$2),2),"")</f>
        <v/>
      </c>
      <c r="P1006" s="17" t="inlineStr">
        <is>
          <t>No</t>
        </is>
      </c>
    </row>
    <row r="1007">
      <c r="A1007" s="14" t="inlineStr">
        <is>
          <t>Logos</t>
        </is>
      </c>
      <c r="B1007" s="14" t="inlineStr">
        <is>
          <t>Il Lupo in Mutanda Vol. 6 - lo Schiaccianocciole</t>
        </is>
      </c>
      <c r="C1007" s="14" t="inlineStr">
        <is>
          <t xml:space="preserve">Wilfrid Lupano; ill. Mayana Itoïz </t>
        </is>
      </c>
      <c r="D1007" s="14" t="inlineStr">
        <is>
          <t>Fumetto Ciopi</t>
        </is>
      </c>
      <c r="E1007" s="14" t="inlineStr">
        <is>
          <t>da 6 anni</t>
        </is>
      </c>
      <c r="F1007" s="14" t="inlineStr">
        <is>
          <t>Prime letture (6-8)</t>
        </is>
      </c>
      <c r="G1007" s="14" t="inlineStr">
        <is>
          <t>Graphic novel/Fumetto</t>
        </is>
      </c>
      <c r="H1007" s="14" t="inlineStr"/>
      <c r="I1007" s="14" t="inlineStr">
        <is>
          <t>No</t>
        </is>
      </c>
      <c r="J1007" s="14" t="inlineStr">
        <is>
          <t>Catalogo</t>
        </is>
      </c>
      <c r="K1007" s="14" t="inlineStr">
        <is>
          <t>prime letture</t>
        </is>
      </c>
      <c r="L1007" s="14" t="inlineStr">
        <is>
          <t>https://www.libri.it/lupo-in-mutanda-6</t>
        </is>
      </c>
      <c r="M1007" s="16" t="n">
        <v>12</v>
      </c>
      <c r="N1007" s="14" t="inlineStr">
        <is>
          <t>Lista titoli Logos Edizioni 2026 (PVP)</t>
        </is>
      </c>
      <c r="O1007" s="16">
        <f>IF(ISNUMBER(M1007),ROUND(M1007*(1-Condizioni!$B$2),2),"")</f>
        <v/>
      </c>
      <c r="P1007" s="17" t="inlineStr">
        <is>
          <t>No</t>
        </is>
      </c>
    </row>
    <row r="1008">
      <c r="A1008" s="14" t="inlineStr">
        <is>
          <t>Logos</t>
        </is>
      </c>
      <c r="B1008" s="14" t="inlineStr">
        <is>
          <t>Il Lupo in Mutanda Vol. 7 - Se la Svigna</t>
        </is>
      </c>
      <c r="C1008" s="14" t="inlineStr">
        <is>
          <t xml:space="preserve">Wilfrid Lupano; ill. Mayana Itoïz </t>
        </is>
      </c>
      <c r="D1008" s="14" t="inlineStr">
        <is>
          <t>Fumetto Ciopi</t>
        </is>
      </c>
      <c r="E1008" s="14" t="inlineStr">
        <is>
          <t>da 6 anni</t>
        </is>
      </c>
      <c r="F1008" s="14" t="inlineStr">
        <is>
          <t>Prime letture (6-8)</t>
        </is>
      </c>
      <c r="G1008" s="14" t="inlineStr">
        <is>
          <t>Graphic novel/Fumetto</t>
        </is>
      </c>
      <c r="H1008" s="14" t="inlineStr"/>
      <c r="I1008" s="14" t="inlineStr">
        <is>
          <t>No</t>
        </is>
      </c>
      <c r="J1008" s="14" t="inlineStr">
        <is>
          <t>Catalogo</t>
        </is>
      </c>
      <c r="K1008" s="14" t="inlineStr">
        <is>
          <t>prime letture</t>
        </is>
      </c>
      <c r="L1008" s="14" t="inlineStr">
        <is>
          <t>https://www.libri.it/lupo-in-mutanda-7</t>
        </is>
      </c>
      <c r="M1008" s="16" t="n">
        <v>12</v>
      </c>
      <c r="N1008" s="14" t="inlineStr">
        <is>
          <t>Lista titoli Logos Edizioni 2026 (PVP)</t>
        </is>
      </c>
      <c r="O1008" s="16">
        <f>IF(ISNUMBER(M1008),ROUND(M1008*(1-Condizioni!$B$2),2),"")</f>
        <v/>
      </c>
      <c r="P1008" s="17" t="inlineStr">
        <is>
          <t>No</t>
        </is>
      </c>
    </row>
    <row r="1009">
      <c r="A1009" s="14" t="inlineStr">
        <is>
          <t>Logos</t>
        </is>
      </c>
      <c r="B1009" s="14" t="inlineStr">
        <is>
          <t>Il Lupo in Mutanda Vol.8 - la Foresta delle Parole</t>
        </is>
      </c>
      <c r="C1009" s="14" t="inlineStr">
        <is>
          <t xml:space="preserve">Wilfrid Lupano; ill. Mayana Itoïz </t>
        </is>
      </c>
      <c r="D1009" s="14" t="inlineStr">
        <is>
          <t>Fumetto Ciopi</t>
        </is>
      </c>
      <c r="E1009" s="14" t="inlineStr">
        <is>
          <t>da 6 anni</t>
        </is>
      </c>
      <c r="F1009" s="14" t="inlineStr">
        <is>
          <t>Prime letture (6-8)</t>
        </is>
      </c>
      <c r="G1009" s="14" t="inlineStr">
        <is>
          <t>Graphic novel/Fumetto</t>
        </is>
      </c>
      <c r="H1009" s="14" t="inlineStr"/>
      <c r="I1009" s="14" t="inlineStr">
        <is>
          <t>No</t>
        </is>
      </c>
      <c r="J1009" s="14" t="inlineStr">
        <is>
          <t>Catalogo</t>
        </is>
      </c>
      <c r="K1009" s="14" t="inlineStr">
        <is>
          <t>prime letture</t>
        </is>
      </c>
      <c r="L1009" s="14" t="inlineStr">
        <is>
          <t>https://www.libri.it/lupo-in-mutanda-8</t>
        </is>
      </c>
      <c r="M1009" s="16" t="n">
        <v>12</v>
      </c>
      <c r="N1009" s="14" t="inlineStr">
        <is>
          <t>Lista titoli Logos Edizioni 2026 (PVP)</t>
        </is>
      </c>
      <c r="O1009" s="16">
        <f>IF(ISNUMBER(M1009),ROUND(M1009*(1-Condizioni!$B$2),2),"")</f>
        <v/>
      </c>
      <c r="P1009" s="17" t="inlineStr">
        <is>
          <t>No</t>
        </is>
      </c>
    </row>
    <row r="1010">
      <c r="A1010" s="14" t="inlineStr">
        <is>
          <t>Logos</t>
        </is>
      </c>
      <c r="B1010" s="14" t="inlineStr">
        <is>
          <t>Il Maiale</t>
        </is>
      </c>
      <c r="C1010" s="14" t="inlineStr">
        <is>
          <t>Sara D'Angelo; ill. Daniela Pareschi</t>
        </is>
      </c>
      <c r="D1010" s="14" t="inlineStr">
        <is>
          <t>Gaia</t>
        </is>
      </c>
      <c r="E1010" s="14" t="inlineStr">
        <is>
          <t>da 6 anni</t>
        </is>
      </c>
      <c r="F1010" s="14" t="inlineStr">
        <is>
          <t>Prime letture (6-8)</t>
        </is>
      </c>
      <c r="G1010" s="14" t="inlineStr">
        <is>
          <t>Albo illustrato</t>
        </is>
      </c>
      <c r="H1010" s="14" t="inlineStr"/>
      <c r="I1010" s="14" t="inlineStr">
        <is>
          <t>No</t>
        </is>
      </c>
      <c r="J1010" s="14" t="inlineStr">
        <is>
          <t>Catalogo</t>
        </is>
      </c>
      <c r="K1010" s="14" t="inlineStr">
        <is>
          <t>prime letture</t>
        </is>
      </c>
      <c r="L1010" s="14" t="inlineStr">
        <is>
          <t>https://www.libri.it/maiale</t>
        </is>
      </c>
      <c r="M1010" s="16" t="n">
        <v>20</v>
      </c>
      <c r="N1010" s="14" t="inlineStr">
        <is>
          <t>Lista titoli Logos Edizioni 2026 (PVP)</t>
        </is>
      </c>
      <c r="O1010" s="16">
        <f>IF(ISNUMBER(M1010),ROUND(M1010*(1-Condizioni!$B$2),2),"")</f>
        <v/>
      </c>
      <c r="P1010" s="17" t="inlineStr">
        <is>
          <t>No</t>
        </is>
      </c>
    </row>
    <row r="1011">
      <c r="A1011" s="14" t="inlineStr">
        <is>
          <t>Logos</t>
        </is>
      </c>
      <c r="B1011" s="14" t="inlineStr">
        <is>
          <t>Il Modo Migliore per Imparare a Disegnare una Mucca</t>
        </is>
      </c>
      <c r="C1011" s="14" t="inlineStr">
        <is>
          <t>Hélène Rice; ill. Ronan Badel</t>
        </is>
      </c>
      <c r="D1011" s="14" t="inlineStr">
        <is>
          <t>Albo Ciopi</t>
        </is>
      </c>
      <c r="E1011" s="14" t="inlineStr">
        <is>
          <t>da 6 anni</t>
        </is>
      </c>
      <c r="F1011" s="14" t="inlineStr">
        <is>
          <t>Prime letture (6-8)</t>
        </is>
      </c>
      <c r="G1011" s="14" t="inlineStr">
        <is>
          <t>Albo illustrato</t>
        </is>
      </c>
      <c r="H1011" s="14" t="inlineStr"/>
      <c r="I1011" s="14" t="inlineStr">
        <is>
          <t>No</t>
        </is>
      </c>
      <c r="J1011" s="14" t="inlineStr">
        <is>
          <t>Catalogo</t>
        </is>
      </c>
      <c r="K1011" s="14" t="inlineStr">
        <is>
          <t>prime letture</t>
        </is>
      </c>
      <c r="L1011" s="14" t="inlineStr">
        <is>
          <t>https://www.libri.it/il-modo-migliore-per-imparare-a-disegnare-una-mucca</t>
        </is>
      </c>
      <c r="M1011" s="16" t="n">
        <v>11</v>
      </c>
      <c r="N1011" s="14" t="inlineStr">
        <is>
          <t>Lista titoli Logos Edizioni 2026 (PVP)</t>
        </is>
      </c>
      <c r="O1011" s="16">
        <f>IF(ISNUMBER(M1011),ROUND(M1011*(1-Condizioni!$B$2),2),"")</f>
        <v/>
      </c>
      <c r="P1011" s="17" t="inlineStr">
        <is>
          <t>No</t>
        </is>
      </c>
    </row>
    <row r="1012">
      <c r="A1012" s="14" t="inlineStr">
        <is>
          <t>Logos</t>
        </is>
      </c>
      <c r="B1012" s="14" t="inlineStr">
        <is>
          <t>Il Pesce</t>
        </is>
      </c>
      <c r="C1012" s="14" t="inlineStr">
        <is>
          <t>Ronald Curchod</t>
        </is>
      </c>
      <c r="D1012" s="14" t="inlineStr">
        <is>
          <t>Albo Ciopi</t>
        </is>
      </c>
      <c r="E1012" s="14" t="inlineStr">
        <is>
          <t>da 6 anni</t>
        </is>
      </c>
      <c r="F1012" s="14" t="inlineStr">
        <is>
          <t>Prime letture (6-8)</t>
        </is>
      </c>
      <c r="G1012" s="14" t="inlineStr">
        <is>
          <t>Albo illustrato</t>
        </is>
      </c>
      <c r="H1012" s="14" t="inlineStr"/>
      <c r="I1012" s="14" t="inlineStr">
        <is>
          <t>No</t>
        </is>
      </c>
      <c r="J1012" s="14" t="inlineStr">
        <is>
          <t>Catalogo</t>
        </is>
      </c>
      <c r="K1012" s="14" t="inlineStr">
        <is>
          <t>prime letture</t>
        </is>
      </c>
      <c r="L1012" s="14" t="inlineStr">
        <is>
          <t>https://www.libri.it/il-pesce</t>
        </is>
      </c>
      <c r="M1012" s="16" t="n">
        <v>18</v>
      </c>
      <c r="N1012" s="14" t="inlineStr">
        <is>
          <t>Lista titoli Logos Edizioni 2026 (PVP)</t>
        </is>
      </c>
      <c r="O1012" s="16">
        <f>IF(ISNUMBER(M1012),ROUND(M1012*(1-Condizioni!$B$2),2),"")</f>
        <v/>
      </c>
      <c r="P1012" s="17" t="inlineStr">
        <is>
          <t>No</t>
        </is>
      </c>
    </row>
    <row r="1013">
      <c r="A1013" s="14" t="inlineStr">
        <is>
          <t>Logos</t>
        </is>
      </c>
      <c r="B1013" s="14" t="inlineStr">
        <is>
          <t>Il Pomeriggio di una Fata</t>
        </is>
      </c>
      <c r="C1013" s="14" t="inlineStr">
        <is>
          <t>André Bouchard</t>
        </is>
      </c>
      <c r="D1013" s="14" t="inlineStr">
        <is>
          <t>Biblioteca Ciopi</t>
        </is>
      </c>
      <c r="E1013" s="14" t="inlineStr">
        <is>
          <t>da 6 anni</t>
        </is>
      </c>
      <c r="F1013" s="14" t="inlineStr">
        <is>
          <t>Prime letture (6-8)</t>
        </is>
      </c>
      <c r="G1013" s="14" t="inlineStr">
        <is>
          <t>Narrativa</t>
        </is>
      </c>
      <c r="H1013" s="14" t="inlineStr"/>
      <c r="I1013" s="14" t="inlineStr">
        <is>
          <t>No</t>
        </is>
      </c>
      <c r="J1013" s="14" t="inlineStr">
        <is>
          <t>Catalogo</t>
        </is>
      </c>
      <c r="K1013" s="14" t="inlineStr">
        <is>
          <t>prime letture, narrativa</t>
        </is>
      </c>
      <c r="L1013" s="14" t="inlineStr">
        <is>
          <t>https://www.libri.it/il-pomeriggio-di-una-fata</t>
        </is>
      </c>
      <c r="M1013" s="16" t="n">
        <v>10</v>
      </c>
      <c r="N1013" s="14" t="inlineStr">
        <is>
          <t>Lista titoli Logos Edizioni 2026 (PVP)</t>
        </is>
      </c>
      <c r="O1013" s="16">
        <f>IF(ISNUMBER(M1013),ROUND(M1013*(1-Condizioni!$B$2),2),"")</f>
        <v/>
      </c>
      <c r="P1013" s="17" t="inlineStr">
        <is>
          <t>No</t>
        </is>
      </c>
    </row>
    <row r="1014">
      <c r="A1014" s="14" t="inlineStr">
        <is>
          <t>Logos</t>
        </is>
      </c>
      <c r="B1014" s="14" t="inlineStr">
        <is>
          <t>Il Principe Cerca Moglie</t>
        </is>
      </c>
      <c r="C1014" s="14" t="inlineStr">
        <is>
          <t>Linda de Haan; ill. Stern Nijland</t>
        </is>
      </c>
      <c r="D1014" s="14" t="inlineStr">
        <is>
          <t>Albo Ciopi</t>
        </is>
      </c>
      <c r="E1014" s="14" t="inlineStr">
        <is>
          <t>da 6 anni</t>
        </is>
      </c>
      <c r="F1014" s="14" t="inlineStr">
        <is>
          <t>Prime letture (6-8)</t>
        </is>
      </c>
      <c r="G1014" s="14" t="inlineStr">
        <is>
          <t>Albo illustrato</t>
        </is>
      </c>
      <c r="H1014" s="14" t="inlineStr"/>
      <c r="I1014" s="14" t="inlineStr">
        <is>
          <t>No</t>
        </is>
      </c>
      <c r="J1014" s="14" t="inlineStr">
        <is>
          <t>Catalogo</t>
        </is>
      </c>
      <c r="K1014" s="14" t="inlineStr">
        <is>
          <t>prime letture</t>
        </is>
      </c>
      <c r="L1014" s="14" t="inlineStr">
        <is>
          <t>https://www.libri.it/il-principe-cerca-moglie</t>
        </is>
      </c>
      <c r="M1014" s="16" t="n">
        <v>16</v>
      </c>
      <c r="N1014" s="14" t="inlineStr">
        <is>
          <t>Lista titoli Logos Edizioni 2026 (PVP)</t>
        </is>
      </c>
      <c r="O1014" s="16">
        <f>IF(ISNUMBER(M1014),ROUND(M1014*(1-Condizioni!$B$2),2),"")</f>
        <v/>
      </c>
      <c r="P1014" s="17" t="inlineStr">
        <is>
          <t>No</t>
        </is>
      </c>
    </row>
    <row r="1015">
      <c r="A1015" s="14" t="inlineStr">
        <is>
          <t>Logos</t>
        </is>
      </c>
      <c r="B1015" s="14" t="inlineStr">
        <is>
          <t>Il Rammendo</t>
        </is>
      </c>
      <c r="C1015" s="14" t="inlineStr">
        <is>
          <t>Isol</t>
        </is>
      </c>
      <c r="D1015" s="14" t="inlineStr">
        <is>
          <t>Biblioteca Ciopi</t>
        </is>
      </c>
      <c r="E1015" s="14" t="inlineStr">
        <is>
          <t>da 6 anni</t>
        </is>
      </c>
      <c r="F1015" s="14" t="inlineStr">
        <is>
          <t>Prime letture (6-8)</t>
        </is>
      </c>
      <c r="G1015" s="14" t="inlineStr">
        <is>
          <t>Narrativa</t>
        </is>
      </c>
      <c r="H1015" s="14" t="inlineStr"/>
      <c r="I1015" s="14" t="inlineStr">
        <is>
          <t>No</t>
        </is>
      </c>
      <c r="J1015" s="14" t="inlineStr">
        <is>
          <t>Catalogo</t>
        </is>
      </c>
      <c r="K1015" s="14" t="inlineStr">
        <is>
          <t>prime letture, narrativa</t>
        </is>
      </c>
      <c r="L1015" s="14" t="inlineStr">
        <is>
          <t>https://www.libri.it/il-rammendo</t>
        </is>
      </c>
      <c r="M1015" s="16" t="n">
        <v>12</v>
      </c>
      <c r="N1015" s="14" t="inlineStr">
        <is>
          <t>Lista titoli Logos Edizioni 2026 (PVP)</t>
        </is>
      </c>
      <c r="O1015" s="16">
        <f>IF(ISNUMBER(M1015),ROUND(M1015*(1-Condizioni!$B$2),2),"")</f>
        <v/>
      </c>
      <c r="P1015" s="17" t="inlineStr">
        <is>
          <t>No</t>
        </is>
      </c>
    </row>
    <row r="1016">
      <c r="A1016" s="14" t="inlineStr">
        <is>
          <t>Logos</t>
        </is>
      </c>
      <c r="B1016" s="14" t="inlineStr">
        <is>
          <t>Il Re che Valeva 4,50 €</t>
        </is>
      </c>
      <c r="C1016" s="14" t="inlineStr">
        <is>
          <t>André Bouchard</t>
        </is>
      </c>
      <c r="D1016" s="14" t="inlineStr">
        <is>
          <t>Biblioteca Ciopi</t>
        </is>
      </c>
      <c r="E1016" s="14" t="inlineStr">
        <is>
          <t>da 6 anni</t>
        </is>
      </c>
      <c r="F1016" s="14" t="inlineStr">
        <is>
          <t>Prime letture (6-8)</t>
        </is>
      </c>
      <c r="G1016" s="14" t="inlineStr">
        <is>
          <t>Narrativa</t>
        </is>
      </c>
      <c r="H1016" s="14" t="inlineStr"/>
      <c r="I1016" s="14" t="inlineStr">
        <is>
          <t>No</t>
        </is>
      </c>
      <c r="J1016" s="14" t="inlineStr">
        <is>
          <t>Catalogo</t>
        </is>
      </c>
      <c r="K1016" s="14" t="inlineStr">
        <is>
          <t>prime letture, narrativa</t>
        </is>
      </c>
      <c r="L1016" s="14" t="inlineStr">
        <is>
          <t>https://www.libri.it/re-che-valeva</t>
        </is>
      </c>
      <c r="M1016" s="16" t="n">
        <v>10</v>
      </c>
      <c r="N1016" s="14" t="inlineStr">
        <is>
          <t>Lista titoli Logos Edizioni 2026 (PVP)</t>
        </is>
      </c>
      <c r="O1016" s="16">
        <f>IF(ISNUMBER(M1016),ROUND(M1016*(1-Condizioni!$B$2),2),"")</f>
        <v/>
      </c>
      <c r="P1016" s="17" t="inlineStr">
        <is>
          <t>No</t>
        </is>
      </c>
    </row>
    <row r="1017">
      <c r="A1017" s="14" t="inlineStr">
        <is>
          <t>Logos</t>
        </is>
      </c>
      <c r="B1017" s="14" t="inlineStr">
        <is>
          <t>Il Viaggio della Madreperla Vol. 2 Caccia Agli Orchi</t>
        </is>
      </c>
      <c r="C1017" s="14" t="inlineStr">
        <is>
          <t>Nicolás Arispe</t>
        </is>
      </c>
      <c r="D1017" s="14" t="inlineStr">
        <is>
          <t>Fumetto Ciopi</t>
        </is>
      </c>
      <c r="E1017" s="14" t="inlineStr">
        <is>
          <t>da 6 anni</t>
        </is>
      </c>
      <c r="F1017" s="14" t="inlineStr">
        <is>
          <t>Prime letture (6-8)</t>
        </is>
      </c>
      <c r="G1017" s="14" t="inlineStr">
        <is>
          <t>Graphic novel/Fumetto</t>
        </is>
      </c>
      <c r="H1017" s="14" t="inlineStr"/>
      <c r="I1017" s="14" t="inlineStr">
        <is>
          <t>No</t>
        </is>
      </c>
      <c r="J1017" s="14" t="inlineStr">
        <is>
          <t>Catalogo</t>
        </is>
      </c>
      <c r="K1017" s="14" t="inlineStr">
        <is>
          <t>prime letture</t>
        </is>
      </c>
      <c r="L1017" s="14" t="inlineStr">
        <is>
          <t>https://www.libri.it/viaggio-della-madreperla-2</t>
        </is>
      </c>
      <c r="M1017" s="16" t="n">
        <v>16</v>
      </c>
      <c r="N1017" s="14" t="inlineStr">
        <is>
          <t>Lista titoli Logos Edizioni 2026 (PVP)</t>
        </is>
      </c>
      <c r="O1017" s="16">
        <f>IF(ISNUMBER(M1017),ROUND(M1017*(1-Condizioni!$B$2),2),"")</f>
        <v/>
      </c>
      <c r="P1017" s="17" t="inlineStr">
        <is>
          <t>No</t>
        </is>
      </c>
    </row>
    <row r="1018">
      <c r="A1018" s="14" t="inlineStr">
        <is>
          <t>Logos</t>
        </is>
      </c>
      <c r="B1018" s="14" t="inlineStr">
        <is>
          <t>Il Viaggio della Madreperla Vol. 3 l’Ombra delle Pietre</t>
        </is>
      </c>
      <c r="C1018" s="14" t="inlineStr">
        <is>
          <t>Nicolás Arispe</t>
        </is>
      </c>
      <c r="D1018" s="14" t="inlineStr">
        <is>
          <t>Fumetto Ciopi</t>
        </is>
      </c>
      <c r="E1018" s="14" t="inlineStr">
        <is>
          <t>da 6 anni</t>
        </is>
      </c>
      <c r="F1018" s="14" t="inlineStr">
        <is>
          <t>Prime letture (6-8)</t>
        </is>
      </c>
      <c r="G1018" s="14" t="inlineStr">
        <is>
          <t>Graphic novel/Fumetto</t>
        </is>
      </c>
      <c r="H1018" s="14" t="inlineStr"/>
      <c r="I1018" s="14" t="inlineStr">
        <is>
          <t>No</t>
        </is>
      </c>
      <c r="J1018" s="14" t="inlineStr">
        <is>
          <t>Catalogo</t>
        </is>
      </c>
      <c r="K1018" s="14" t="inlineStr">
        <is>
          <t>prime letture</t>
        </is>
      </c>
      <c r="L1018" s="14" t="inlineStr">
        <is>
          <t>https://www.libri.it/viaggio-della-madreperla-3</t>
        </is>
      </c>
      <c r="M1018" s="16" t="n">
        <v>16</v>
      </c>
      <c r="N1018" s="14" t="inlineStr">
        <is>
          <t>Lista titoli Logos Edizioni 2026 (PVP)</t>
        </is>
      </c>
      <c r="O1018" s="16">
        <f>IF(ISNUMBER(M1018),ROUND(M1018*(1-Condizioni!$B$2),2),"")</f>
        <v/>
      </c>
      <c r="P1018" s="17" t="inlineStr">
        <is>
          <t>No</t>
        </is>
      </c>
    </row>
    <row r="1019">
      <c r="A1019" s="14" t="inlineStr">
        <is>
          <t>Logos</t>
        </is>
      </c>
      <c r="B1019" s="14" t="inlineStr">
        <is>
          <t>Il Viaggio della Madreperla Vol.1 le Isole Sommergibili</t>
        </is>
      </c>
      <c r="C1019" s="14" t="inlineStr">
        <is>
          <t>Nicolás Arispe</t>
        </is>
      </c>
      <c r="D1019" s="14" t="inlineStr">
        <is>
          <t>Fumetto Ciopi</t>
        </is>
      </c>
      <c r="E1019" s="14" t="inlineStr">
        <is>
          <t>da 6 anni</t>
        </is>
      </c>
      <c r="F1019" s="14" t="inlineStr">
        <is>
          <t>Prime letture (6-8)</t>
        </is>
      </c>
      <c r="G1019" s="14" t="inlineStr">
        <is>
          <t>Graphic novel/Fumetto</t>
        </is>
      </c>
      <c r="H1019" s="14" t="inlineStr"/>
      <c r="I1019" s="14" t="inlineStr">
        <is>
          <t>No</t>
        </is>
      </c>
      <c r="J1019" s="14" t="inlineStr">
        <is>
          <t>Catalogo</t>
        </is>
      </c>
      <c r="K1019" s="14" t="inlineStr">
        <is>
          <t>prime letture</t>
        </is>
      </c>
      <c r="L1019" s="14" t="inlineStr">
        <is>
          <t>https://www.libri.it/viaggio-della-madreperla-1</t>
        </is>
      </c>
      <c r="M1019" s="16" t="n">
        <v>16</v>
      </c>
      <c r="N1019" s="14" t="inlineStr">
        <is>
          <t>Lista titoli Logos Edizioni 2026 (PVP)</t>
        </is>
      </c>
      <c r="O1019" s="16">
        <f>IF(ISNUMBER(M1019),ROUND(M1019*(1-Condizioni!$B$2),2),"")</f>
        <v/>
      </c>
      <c r="P1019" s="17" t="inlineStr">
        <is>
          <t>No</t>
        </is>
      </c>
    </row>
    <row r="1020">
      <c r="A1020" s="14" t="inlineStr">
        <is>
          <t>Logos</t>
        </is>
      </c>
      <c r="B1020" s="14" t="inlineStr">
        <is>
          <t>Io Parlo con le Mani</t>
        </is>
      </c>
      <c r="C1020" s="14" t="inlineStr">
        <is>
          <t>Bénédicte Gourdon; ill. Malika Fouchier</t>
        </is>
      </c>
      <c r="D1020" s="14" t="inlineStr">
        <is>
          <t>Fumetto Ciopi</t>
        </is>
      </c>
      <c r="E1020" s="14" t="inlineStr">
        <is>
          <t>da 6 anni</t>
        </is>
      </c>
      <c r="F1020" s="14" t="inlineStr">
        <is>
          <t>Prime letture (6-8)</t>
        </is>
      </c>
      <c r="G1020" s="14" t="inlineStr">
        <is>
          <t>Graphic novel/Fumetto</t>
        </is>
      </c>
      <c r="H1020" s="14" t="inlineStr"/>
      <c r="I1020" s="14" t="inlineStr">
        <is>
          <t>No</t>
        </is>
      </c>
      <c r="J1020" s="14" t="inlineStr">
        <is>
          <t>Catalogo</t>
        </is>
      </c>
      <c r="K1020" s="14" t="inlineStr">
        <is>
          <t>prime letture</t>
        </is>
      </c>
      <c r="L1020" s="14" t="inlineStr">
        <is>
          <t>https://www.libri.it/parlo-con-le-mani</t>
        </is>
      </c>
      <c r="M1020" s="16" t="n">
        <v>14</v>
      </c>
      <c r="N1020" s="14" t="inlineStr">
        <is>
          <t>Lista titoli Logos Edizioni 2026 (PVP)</t>
        </is>
      </c>
      <c r="O1020" s="16">
        <f>IF(ISNUMBER(M1020),ROUND(M1020*(1-Condizioni!$B$2),2),"")</f>
        <v/>
      </c>
      <c r="P1020" s="17" t="inlineStr">
        <is>
          <t>No</t>
        </is>
      </c>
    </row>
    <row r="1021">
      <c r="A1021" s="14" t="inlineStr">
        <is>
          <t>Logos</t>
        </is>
      </c>
      <c r="B1021" s="14" t="inlineStr">
        <is>
          <t>Io Persona</t>
        </is>
      </c>
      <c r="C1021" s="14" t="inlineStr">
        <is>
          <t>Ellen Duthie; ill. Daniela Martagón</t>
        </is>
      </c>
      <c r="D1021" s="14" t="inlineStr">
        <is>
          <t>Wonder Ponder</t>
        </is>
      </c>
      <c r="E1021" s="14" t="inlineStr">
        <is>
          <t>da 6 anni</t>
        </is>
      </c>
      <c r="F1021" s="14" t="inlineStr">
        <is>
          <t>Prime letture (6-8)</t>
        </is>
      </c>
      <c r="G1021" s="14" t="inlineStr">
        <is>
          <t>Albo illustrato</t>
        </is>
      </c>
      <c r="H1021" s="14" t="inlineStr"/>
      <c r="I1021" s="14" t="inlineStr">
        <is>
          <t>No</t>
        </is>
      </c>
      <c r="J1021" s="14" t="inlineStr">
        <is>
          <t>Catalogo</t>
        </is>
      </c>
      <c r="K1021" s="14" t="inlineStr">
        <is>
          <t>prime letture</t>
        </is>
      </c>
      <c r="L1021" s="14" t="inlineStr">
        <is>
          <t>https://www.libri.it/io-persona</t>
        </is>
      </c>
      <c r="M1021" s="16" t="n">
        <v>12</v>
      </c>
      <c r="N1021" s="14" t="inlineStr">
        <is>
          <t>Lista titoli Logos Edizioni 2026 (PVP)</t>
        </is>
      </c>
      <c r="O1021" s="16">
        <f>IF(ISNUMBER(M1021),ROUND(M1021*(1-Condizioni!$B$2),2),"")</f>
        <v/>
      </c>
      <c r="P1021" s="17" t="inlineStr">
        <is>
          <t>No</t>
        </is>
      </c>
    </row>
    <row r="1022">
      <c r="A1022" s="14" t="inlineStr">
        <is>
          <t>Logos</t>
        </is>
      </c>
      <c r="B1022" s="14" t="inlineStr">
        <is>
          <t>Io, il Lupo e i Biscotti al Cioccolato</t>
        </is>
      </c>
      <c r="C1022" s="14" t="inlineStr">
        <is>
          <t>Delphine Perret</t>
        </is>
      </c>
      <c r="D1022" s="14" t="inlineStr">
        <is>
          <t>Fumetto Ciopi</t>
        </is>
      </c>
      <c r="E1022" s="14" t="inlineStr">
        <is>
          <t>da 6 anni</t>
        </is>
      </c>
      <c r="F1022" s="14" t="inlineStr">
        <is>
          <t>Prime letture (6-8)</t>
        </is>
      </c>
      <c r="G1022" s="14" t="inlineStr">
        <is>
          <t>Graphic novel/Fumetto</t>
        </is>
      </c>
      <c r="H1022" s="14" t="inlineStr"/>
      <c r="I1022" s="14" t="inlineStr">
        <is>
          <t>No</t>
        </is>
      </c>
      <c r="J1022" s="14" t="inlineStr">
        <is>
          <t>Catalogo</t>
        </is>
      </c>
      <c r="K1022" s="14" t="inlineStr">
        <is>
          <t>prime letture</t>
        </is>
      </c>
      <c r="L1022" s="14" t="inlineStr">
        <is>
          <t>https://www.libri.it/io-il-lupo-e-i-biscotti-al-cioccolato</t>
        </is>
      </c>
      <c r="M1022" s="16" t="n">
        <v>14</v>
      </c>
      <c r="N1022" s="14" t="inlineStr">
        <is>
          <t>Lista titoli Logos Edizioni 2026 (PVP)</t>
        </is>
      </c>
      <c r="O1022" s="16">
        <f>IF(ISNUMBER(M1022),ROUND(M1022*(1-Condizioni!$B$2),2),"")</f>
        <v/>
      </c>
      <c r="P1022" s="17" t="inlineStr">
        <is>
          <t>No</t>
        </is>
      </c>
    </row>
    <row r="1023">
      <c r="A1023" s="14" t="inlineStr">
        <is>
          <t>Logos</t>
        </is>
      </c>
      <c r="B1023" s="14" t="inlineStr">
        <is>
          <t>Io, il Lupo e la Capanna</t>
        </is>
      </c>
      <c r="C1023" s="14" t="inlineStr">
        <is>
          <t>Delphine Perret</t>
        </is>
      </c>
      <c r="D1023" s="14" t="inlineStr">
        <is>
          <t>Fumetto Ciopi</t>
        </is>
      </c>
      <c r="E1023" s="14" t="inlineStr">
        <is>
          <t>da 6 anni</t>
        </is>
      </c>
      <c r="F1023" s="14" t="inlineStr">
        <is>
          <t>Prime letture (6-8)</t>
        </is>
      </c>
      <c r="G1023" s="14" t="inlineStr">
        <is>
          <t>Graphic novel/Fumetto</t>
        </is>
      </c>
      <c r="H1023" s="14" t="inlineStr"/>
      <c r="I1023" s="14" t="inlineStr">
        <is>
          <t>No</t>
        </is>
      </c>
      <c r="J1023" s="14" t="inlineStr">
        <is>
          <t>Catalogo</t>
        </is>
      </c>
      <c r="K1023" s="14" t="inlineStr">
        <is>
          <t>prime letture</t>
        </is>
      </c>
      <c r="L1023" s="14" t="inlineStr">
        <is>
          <t>https://www.libri.it/io-il-lupo-la-capanna</t>
        </is>
      </c>
      <c r="M1023" s="16" t="n">
        <v>14</v>
      </c>
      <c r="N1023" s="14" t="inlineStr">
        <is>
          <t>Lista titoli Logos Edizioni 2026 (PVP)</t>
        </is>
      </c>
      <c r="O1023" s="16">
        <f>IF(ISNUMBER(M1023),ROUND(M1023*(1-Condizioni!$B$2),2),"")</f>
        <v/>
      </c>
      <c r="P1023" s="17" t="inlineStr">
        <is>
          <t>No</t>
        </is>
      </c>
    </row>
    <row r="1024">
      <c r="A1024" s="14" t="inlineStr">
        <is>
          <t>Logos</t>
        </is>
      </c>
      <c r="B1024" s="14" t="inlineStr">
        <is>
          <t>Io, il Lupo e le Vacanze con Pepè</t>
        </is>
      </c>
      <c r="C1024" s="14" t="inlineStr">
        <is>
          <t>Delphine Perret</t>
        </is>
      </c>
      <c r="D1024" s="14" t="inlineStr">
        <is>
          <t>Fumetto Ciopi</t>
        </is>
      </c>
      <c r="E1024" s="14" t="inlineStr">
        <is>
          <t>da 6 anni</t>
        </is>
      </c>
      <c r="F1024" s="14" t="inlineStr">
        <is>
          <t>Prime letture (6-8)</t>
        </is>
      </c>
      <c r="G1024" s="14" t="inlineStr">
        <is>
          <t>Graphic novel/Fumetto</t>
        </is>
      </c>
      <c r="H1024" s="14" t="inlineStr"/>
      <c r="I1024" s="14" t="inlineStr">
        <is>
          <t>No</t>
        </is>
      </c>
      <c r="J1024" s="14" t="inlineStr">
        <is>
          <t>Catalogo</t>
        </is>
      </c>
      <c r="K1024" s="14" t="inlineStr">
        <is>
          <t>prime letture</t>
        </is>
      </c>
      <c r="L1024" s="14" t="inlineStr">
        <is>
          <t>https://www.libri.it/io-il-lupo-e-le-vacanze-con-pepe</t>
        </is>
      </c>
      <c r="M1024" s="16" t="n">
        <v>14</v>
      </c>
      <c r="N1024" s="14" t="inlineStr">
        <is>
          <t>Lista titoli Logos Edizioni 2026 (PVP)</t>
        </is>
      </c>
      <c r="O1024" s="16">
        <f>IF(ISNUMBER(M1024),ROUND(M1024*(1-Condizioni!$B$2),2),"")</f>
        <v/>
      </c>
      <c r="P1024" s="17" t="inlineStr">
        <is>
          <t>No</t>
        </is>
      </c>
    </row>
    <row r="1025">
      <c r="A1025" s="14" t="inlineStr">
        <is>
          <t>Logos</t>
        </is>
      </c>
      <c r="B1025" s="14" t="inlineStr">
        <is>
          <t>Jean-blaise. Si Innamora</t>
        </is>
      </c>
      <c r="C1025" s="14" t="inlineStr">
        <is>
          <t>Émilie Boré; ill. Vincent</t>
        </is>
      </c>
      <c r="D1025" s="14" t="inlineStr">
        <is>
          <t>Fumetto Ciopi</t>
        </is>
      </c>
      <c r="E1025" s="14" t="inlineStr">
        <is>
          <t>da 6 anni</t>
        </is>
      </c>
      <c r="F1025" s="14" t="inlineStr">
        <is>
          <t>Prime letture (6-8)</t>
        </is>
      </c>
      <c r="G1025" s="14" t="inlineStr">
        <is>
          <t>Graphic novel/Fumetto</t>
        </is>
      </c>
      <c r="H1025" s="14" t="inlineStr"/>
      <c r="I1025" s="14" t="inlineStr">
        <is>
          <t>No</t>
        </is>
      </c>
      <c r="J1025" s="14" t="inlineStr">
        <is>
          <t>Catalogo</t>
        </is>
      </c>
      <c r="K1025" s="14" t="inlineStr">
        <is>
          <t>prime letture</t>
        </is>
      </c>
      <c r="L1025" s="14" t="inlineStr">
        <is>
          <t>https://www.libri.it/jean-blaise-si-innamora</t>
        </is>
      </c>
      <c r="M1025" s="16" t="n">
        <v>18</v>
      </c>
      <c r="N1025" s="14" t="inlineStr">
        <is>
          <t>Lista titoli Logos Edizioni 2026 (PVP)</t>
        </is>
      </c>
      <c r="O1025" s="16">
        <f>IF(ISNUMBER(M1025),ROUND(M1025*(1-Condizioni!$B$2),2),"")</f>
        <v/>
      </c>
      <c r="P1025" s="17" t="inlineStr">
        <is>
          <t>No</t>
        </is>
      </c>
    </row>
    <row r="1026">
      <c r="A1026" s="14" t="inlineStr">
        <is>
          <t>Logos</t>
        </is>
      </c>
      <c r="B1026" s="14" t="inlineStr">
        <is>
          <t>Jean-blaise. il Gatto che Si Credeva un Uccello</t>
        </is>
      </c>
      <c r="C1026" s="14" t="inlineStr">
        <is>
          <t>Émilie Boré; ill. Vincent</t>
        </is>
      </c>
      <c r="D1026" s="14" t="inlineStr">
        <is>
          <t>Fumetto Ciopi</t>
        </is>
      </c>
      <c r="E1026" s="14" t="inlineStr">
        <is>
          <t>da 6 anni</t>
        </is>
      </c>
      <c r="F1026" s="14" t="inlineStr">
        <is>
          <t>Prime letture (6-8)</t>
        </is>
      </c>
      <c r="G1026" s="14" t="inlineStr">
        <is>
          <t>Graphic novel/Fumetto</t>
        </is>
      </c>
      <c r="H1026" s="14" t="inlineStr"/>
      <c r="I1026" s="14" t="inlineStr">
        <is>
          <t>No</t>
        </is>
      </c>
      <c r="J1026" s="14" t="inlineStr">
        <is>
          <t>Catalogo</t>
        </is>
      </c>
      <c r="K1026" s="14" t="inlineStr">
        <is>
          <t>prime letture</t>
        </is>
      </c>
      <c r="L1026" s="14" t="inlineStr">
        <is>
          <t>https://www.libri.it/jean-blaise-il-gatto-che-si-credeva-un-uccello</t>
        </is>
      </c>
      <c r="M1026" s="16" t="n">
        <v>16</v>
      </c>
      <c r="N1026" s="14" t="inlineStr">
        <is>
          <t>Lista titoli Logos Edizioni 2026 (PVP)</t>
        </is>
      </c>
      <c r="O1026" s="16">
        <f>IF(ISNUMBER(M1026),ROUND(M1026*(1-Condizioni!$B$2),2),"")</f>
        <v/>
      </c>
      <c r="P1026" s="17" t="inlineStr">
        <is>
          <t>No</t>
        </is>
      </c>
    </row>
    <row r="1027">
      <c r="A1027" s="14" t="inlineStr">
        <is>
          <t>Logos</t>
        </is>
      </c>
      <c r="B1027" s="14" t="inlineStr">
        <is>
          <t>Jean-michel il Supercaribù Si Innamora</t>
        </is>
      </c>
      <c r="C1027" s="14" t="inlineStr">
        <is>
          <t>Magali Le Huche</t>
        </is>
      </c>
      <c r="D1027" s="14" t="inlineStr">
        <is>
          <t>Fumetto Ciopi</t>
        </is>
      </c>
      <c r="E1027" s="14" t="inlineStr">
        <is>
          <t>da 6 anni</t>
        </is>
      </c>
      <c r="F1027" s="14" t="inlineStr">
        <is>
          <t>Prime letture (6-8)</t>
        </is>
      </c>
      <c r="G1027" s="14" t="inlineStr">
        <is>
          <t>Graphic novel/Fumetto</t>
        </is>
      </c>
      <c r="H1027" s="14" t="inlineStr"/>
      <c r="I1027" s="14" t="inlineStr">
        <is>
          <t>No</t>
        </is>
      </c>
      <c r="J1027" s="14" t="inlineStr">
        <is>
          <t>Catalogo</t>
        </is>
      </c>
      <c r="K1027" s="14" t="inlineStr">
        <is>
          <t>prime letture</t>
        </is>
      </c>
      <c r="L1027" s="14" t="inlineStr">
        <is>
          <t>https://www.libri.it/3d/anteprima/jmsiinnamora/</t>
        </is>
      </c>
      <c r="M1027" s="16" t="n">
        <v>12</v>
      </c>
      <c r="N1027" s="14" t="inlineStr">
        <is>
          <t>Lista titoli Logos Edizioni 2026 (PVP)</t>
        </is>
      </c>
      <c r="O1027" s="16">
        <f>IF(ISNUMBER(M1027),ROUND(M1027*(1-Condizioni!$B$2),2),"")</f>
        <v/>
      </c>
      <c r="P1027" s="17" t="inlineStr">
        <is>
          <t>No</t>
        </is>
      </c>
    </row>
    <row r="1028">
      <c r="A1028" s="14" t="inlineStr">
        <is>
          <t>Logos</t>
        </is>
      </c>
      <c r="B1028" s="14" t="inlineStr">
        <is>
          <t>Jean-michel il Supercaribù e Babbo Natale in Ritardo</t>
        </is>
      </c>
      <c r="C1028" s="14" t="inlineStr">
        <is>
          <t>Magali Le Huche</t>
        </is>
      </c>
      <c r="D1028" s="14" t="inlineStr">
        <is>
          <t>Fumetto Ciopi</t>
        </is>
      </c>
      <c r="E1028" s="14" t="inlineStr">
        <is>
          <t>da 6 anni</t>
        </is>
      </c>
      <c r="F1028" s="14" t="inlineStr">
        <is>
          <t>Prime letture (6-8)</t>
        </is>
      </c>
      <c r="G1028" s="14" t="inlineStr">
        <is>
          <t>Graphic novel/Fumetto</t>
        </is>
      </c>
      <c r="H1028" s="14" t="inlineStr"/>
      <c r="I1028" s="14" t="inlineStr">
        <is>
          <t>No</t>
        </is>
      </c>
      <c r="J1028" s="14" t="inlineStr">
        <is>
          <t>Catalogo</t>
        </is>
      </c>
      <c r="K1028" s="14" t="inlineStr">
        <is>
          <t>prime letture</t>
        </is>
      </c>
      <c r="L1028" s="14" t="inlineStr">
        <is>
          <t>https://www.libri.it/jeanmichel-babbo-natale</t>
        </is>
      </c>
      <c r="M1028" s="16" t="n">
        <v>12</v>
      </c>
      <c r="N1028" s="14" t="inlineStr">
        <is>
          <t>Lista titoli Logos Edizioni 2026 (PVP)</t>
        </is>
      </c>
      <c r="O1028" s="16">
        <f>IF(ISNUMBER(M1028),ROUND(M1028*(1-Condizioni!$B$2),2),"")</f>
        <v/>
      </c>
      <c r="P1028" s="17" t="inlineStr">
        <is>
          <t>No</t>
        </is>
      </c>
    </row>
    <row r="1029">
      <c r="A1029" s="14" t="inlineStr">
        <is>
          <t>Logos</t>
        </is>
      </c>
      <c r="B1029" s="14" t="inlineStr">
        <is>
          <t>Jean-michel il Supercaribù e la Fata Victoria</t>
        </is>
      </c>
      <c r="C1029" s="14" t="inlineStr">
        <is>
          <t>Magali Le Huche</t>
        </is>
      </c>
      <c r="D1029" s="14" t="inlineStr">
        <is>
          <t>Fumetto Ciopi</t>
        </is>
      </c>
      <c r="E1029" s="14" t="inlineStr">
        <is>
          <t>da 6 anni</t>
        </is>
      </c>
      <c r="F1029" s="14" t="inlineStr">
        <is>
          <t>Prime letture (6-8)</t>
        </is>
      </c>
      <c r="G1029" s="14" t="inlineStr">
        <is>
          <t>Graphic novel/Fumetto</t>
        </is>
      </c>
      <c r="H1029" s="14" t="inlineStr"/>
      <c r="I1029" s="14" t="inlineStr">
        <is>
          <t>No</t>
        </is>
      </c>
      <c r="J1029" s="14" t="inlineStr">
        <is>
          <t>Catalogo</t>
        </is>
      </c>
      <c r="K1029" s="14" t="inlineStr">
        <is>
          <t>prime letture</t>
        </is>
      </c>
      <c r="L1029" s="14" t="inlineStr">
        <is>
          <t>https://www.libri.it/fata-victoria</t>
        </is>
      </c>
      <c r="M1029" s="16" t="n">
        <v>12</v>
      </c>
      <c r="N1029" s="14" t="inlineStr">
        <is>
          <t>Lista titoli Logos Edizioni 2026 (PVP)</t>
        </is>
      </c>
      <c r="O1029" s="16">
        <f>IF(ISNUMBER(M1029),ROUND(M1029*(1-Condizioni!$B$2),2),"")</f>
        <v/>
      </c>
      <c r="P1029" s="17" t="inlineStr">
        <is>
          <t>No</t>
        </is>
      </c>
    </row>
    <row r="1030">
      <c r="A1030" s="14" t="inlineStr">
        <is>
          <t>Logos</t>
        </is>
      </c>
      <c r="B1030" s="14" t="inlineStr">
        <is>
          <t>Kiki e Rosalia</t>
        </is>
      </c>
      <c r="C1030" s="14" t="inlineStr">
        <is>
          <t>Ronan Badel</t>
        </is>
      </c>
      <c r="D1030" s="14" t="inlineStr">
        <is>
          <t>Biblioteca Ciopi</t>
        </is>
      </c>
      <c r="E1030" s="14" t="inlineStr">
        <is>
          <t>da 6 anni</t>
        </is>
      </c>
      <c r="F1030" s="14" t="inlineStr">
        <is>
          <t>Prime letture (6-8)</t>
        </is>
      </c>
      <c r="G1030" s="14" t="inlineStr">
        <is>
          <t>Narrativa</t>
        </is>
      </c>
      <c r="H1030" s="14" t="inlineStr"/>
      <c r="I1030" s="14" t="inlineStr">
        <is>
          <t>No</t>
        </is>
      </c>
      <c r="J1030" s="14" t="inlineStr">
        <is>
          <t>Catalogo</t>
        </is>
      </c>
      <c r="K1030" s="14" t="inlineStr">
        <is>
          <t>prime letture, narrativa</t>
        </is>
      </c>
      <c r="L1030" s="14" t="inlineStr">
        <is>
          <t>https://www.libri.it/kiki-e-rosalia</t>
        </is>
      </c>
      <c r="M1030" s="16" t="n">
        <v>10</v>
      </c>
      <c r="N1030" s="14" t="inlineStr">
        <is>
          <t>Lista titoli Logos Edizioni 2026 (PVP)</t>
        </is>
      </c>
      <c r="O1030" s="16">
        <f>IF(ISNUMBER(M1030),ROUND(M1030*(1-Condizioni!$B$2),2),"")</f>
        <v/>
      </c>
      <c r="P1030" s="17" t="inlineStr">
        <is>
          <t>No</t>
        </is>
      </c>
    </row>
    <row r="1031">
      <c r="A1031" s="14" t="inlineStr">
        <is>
          <t>Logos</t>
        </is>
      </c>
      <c r="B1031" s="14" t="inlineStr">
        <is>
          <t>Kiwi</t>
        </is>
      </c>
      <c r="C1031" s="14" t="inlineStr">
        <is>
          <t>Carmen Posadas; ill. Alessandra Manfredi</t>
        </is>
      </c>
      <c r="D1031" s="14" t="inlineStr">
        <is>
          <t>Biblioteca Ciopi</t>
        </is>
      </c>
      <c r="E1031" s="14" t="inlineStr">
        <is>
          <t>da 6 anni</t>
        </is>
      </c>
      <c r="F1031" s="14" t="inlineStr">
        <is>
          <t>Prime letture (6-8)</t>
        </is>
      </c>
      <c r="G1031" s="14" t="inlineStr">
        <is>
          <t>Narrativa</t>
        </is>
      </c>
      <c r="H1031" s="14" t="inlineStr"/>
      <c r="I1031" s="14" t="inlineStr">
        <is>
          <t>No</t>
        </is>
      </c>
      <c r="J1031" s="14" t="inlineStr">
        <is>
          <t>Catalogo</t>
        </is>
      </c>
      <c r="K1031" s="14" t="inlineStr">
        <is>
          <t>prime letture, narrativa</t>
        </is>
      </c>
      <c r="L1031" s="14" t="inlineStr">
        <is>
          <t>https://www.libri.it/kiwi</t>
        </is>
      </c>
      <c r="M1031" s="16" t="n">
        <v>7</v>
      </c>
      <c r="N1031" s="14" t="inlineStr">
        <is>
          <t>Lista titoli Logos Edizioni 2026 (PVP)</t>
        </is>
      </c>
      <c r="O1031" s="16">
        <f>IF(ISNUMBER(M1031),ROUND(M1031*(1-Condizioni!$B$2),2),"")</f>
        <v/>
      </c>
      <c r="P1031" s="17" t="inlineStr">
        <is>
          <t>No</t>
        </is>
      </c>
    </row>
    <row r="1032">
      <c r="A1032" s="14" t="inlineStr">
        <is>
          <t>Logos</t>
        </is>
      </c>
      <c r="B1032" s="14" t="inlineStr">
        <is>
          <t>La Doppia Vita di Medoro</t>
        </is>
      </c>
      <c r="C1032" s="14" t="inlineStr">
        <is>
          <t>André Bouchard</t>
        </is>
      </c>
      <c r="D1032" s="14" t="inlineStr">
        <is>
          <t>Biblioteca Ciopi</t>
        </is>
      </c>
      <c r="E1032" s="14" t="inlineStr">
        <is>
          <t>da 6 anni</t>
        </is>
      </c>
      <c r="F1032" s="14" t="inlineStr">
        <is>
          <t>Prime letture (6-8)</t>
        </is>
      </c>
      <c r="G1032" s="14" t="inlineStr">
        <is>
          <t>Narrativa</t>
        </is>
      </c>
      <c r="H1032" s="14" t="inlineStr"/>
      <c r="I1032" s="14" t="inlineStr">
        <is>
          <t>No</t>
        </is>
      </c>
      <c r="J1032" s="14" t="inlineStr">
        <is>
          <t>Catalogo</t>
        </is>
      </c>
      <c r="K1032" s="14" t="inlineStr">
        <is>
          <t>prime letture, narrativa</t>
        </is>
      </c>
      <c r="L1032" s="14" t="inlineStr">
        <is>
          <t>https://www.libri.it/la-doppia-vita-di-medoro</t>
        </is>
      </c>
      <c r="M1032" s="16" t="n">
        <v>10</v>
      </c>
      <c r="N1032" s="14" t="inlineStr">
        <is>
          <t>Lista titoli Logos Edizioni 2026 (PVP)</t>
        </is>
      </c>
      <c r="O1032" s="16">
        <f>IF(ISNUMBER(M1032),ROUND(M1032*(1-Condizioni!$B$2),2),"")</f>
        <v/>
      </c>
      <c r="P1032" s="17" t="inlineStr">
        <is>
          <t>No</t>
        </is>
      </c>
    </row>
    <row r="1033">
      <c r="A1033" s="14" t="inlineStr">
        <is>
          <t>Logos</t>
        </is>
      </c>
      <c r="B1033" s="14" t="inlineStr">
        <is>
          <t>La Doppia Vita di Medoro (albo)</t>
        </is>
      </c>
      <c r="C1033" s="14" t="inlineStr">
        <is>
          <t>André Bouchard</t>
        </is>
      </c>
      <c r="D1033" s="14" t="inlineStr">
        <is>
          <t>Albo Ciopi</t>
        </is>
      </c>
      <c r="E1033" s="14" t="inlineStr">
        <is>
          <t>da 6 anni</t>
        </is>
      </c>
      <c r="F1033" s="14" t="inlineStr">
        <is>
          <t>Prime letture (6-8)</t>
        </is>
      </c>
      <c r="G1033" s="14" t="inlineStr">
        <is>
          <t>Albo illustrato</t>
        </is>
      </c>
      <c r="H1033" s="14" t="inlineStr"/>
      <c r="I1033" s="14" t="inlineStr">
        <is>
          <t>No</t>
        </is>
      </c>
      <c r="J1033" s="14" t="inlineStr">
        <is>
          <t>Catalogo</t>
        </is>
      </c>
      <c r="K1033" s="14" t="inlineStr">
        <is>
          <t>prime letture</t>
        </is>
      </c>
      <c r="L1033" s="14" t="inlineStr">
        <is>
          <t>https://www.libri.it/medoro-albo</t>
        </is>
      </c>
      <c r="M1033" s="16" t="n">
        <v>18</v>
      </c>
      <c r="N1033" s="14" t="inlineStr">
        <is>
          <t>Lista titoli Logos Edizioni 2026 (PVP)</t>
        </is>
      </c>
      <c r="O1033" s="16">
        <f>IF(ISNUMBER(M1033),ROUND(M1033*(1-Condizioni!$B$2),2),"")</f>
        <v/>
      </c>
      <c r="P1033" s="17" t="inlineStr">
        <is>
          <t>No</t>
        </is>
      </c>
    </row>
    <row r="1034">
      <c r="A1034" s="14" t="inlineStr">
        <is>
          <t>Logos</t>
        </is>
      </c>
      <c r="B1034" s="14" t="inlineStr">
        <is>
          <t>La Famiglia Porelli</t>
        </is>
      </c>
      <c r="C1034" s="14" t="inlineStr">
        <is>
          <t>André Bouchard</t>
        </is>
      </c>
      <c r="D1034" s="14" t="inlineStr">
        <is>
          <t>Biblioteca Ciopi</t>
        </is>
      </c>
      <c r="E1034" s="14" t="inlineStr">
        <is>
          <t>da 6 anni</t>
        </is>
      </c>
      <c r="F1034" s="14" t="inlineStr">
        <is>
          <t>Prime letture (6-8)</t>
        </is>
      </c>
      <c r="G1034" s="14" t="inlineStr">
        <is>
          <t>Narrativa</t>
        </is>
      </c>
      <c r="H1034" s="14" t="inlineStr"/>
      <c r="I1034" s="14" t="inlineStr">
        <is>
          <t>No</t>
        </is>
      </c>
      <c r="J1034" s="14" t="inlineStr">
        <is>
          <t>Catalogo</t>
        </is>
      </c>
      <c r="K1034" s="14" t="inlineStr">
        <is>
          <t>prime letture, narrativa</t>
        </is>
      </c>
      <c r="L1034" s="14" t="inlineStr">
        <is>
          <t>https://www.libri.it/la-famiglia-porelli</t>
        </is>
      </c>
      <c r="M1034" s="16" t="n">
        <v>10</v>
      </c>
      <c r="N1034" s="14" t="inlineStr">
        <is>
          <t>Lista titoli Logos Edizioni 2026 (PVP)</t>
        </is>
      </c>
      <c r="O1034" s="16">
        <f>IF(ISNUMBER(M1034),ROUND(M1034*(1-Condizioni!$B$2),2),"")</f>
        <v/>
      </c>
      <c r="P1034" s="17" t="inlineStr">
        <is>
          <t>No</t>
        </is>
      </c>
    </row>
    <row r="1035">
      <c r="A1035" s="14" t="inlineStr">
        <is>
          <t>Logos</t>
        </is>
      </c>
      <c r="B1035" s="14" t="inlineStr">
        <is>
          <t>La Forza della Gazzella</t>
        </is>
      </c>
      <c r="C1035" s="14" t="inlineStr">
        <is>
          <t>Carmen Vázquez Vigo; ill. Alessandra Manfredi</t>
        </is>
      </c>
      <c r="D1035" s="14" t="inlineStr">
        <is>
          <t>Biblioteca Ciopi</t>
        </is>
      </c>
      <c r="E1035" s="14" t="inlineStr">
        <is>
          <t>da 6 anni</t>
        </is>
      </c>
      <c r="F1035" s="14" t="inlineStr">
        <is>
          <t>Prime letture (6-8)</t>
        </is>
      </c>
      <c r="G1035" s="14" t="inlineStr">
        <is>
          <t>Narrativa</t>
        </is>
      </c>
      <c r="H1035" s="14" t="inlineStr"/>
      <c r="I1035" s="14" t="inlineStr">
        <is>
          <t>No</t>
        </is>
      </c>
      <c r="J1035" s="14" t="inlineStr">
        <is>
          <t>Catalogo</t>
        </is>
      </c>
      <c r="K1035" s="14" t="inlineStr">
        <is>
          <t>prime letture, narrativa</t>
        </is>
      </c>
      <c r="L1035" s="14" t="inlineStr">
        <is>
          <t>https://www.libri.it/la-forza-della-gazzella</t>
        </is>
      </c>
      <c r="M1035" s="16" t="n">
        <v>8</v>
      </c>
      <c r="N1035" s="14" t="inlineStr">
        <is>
          <t>Lista titoli Logos Edizioni 2026 (PVP)</t>
        </is>
      </c>
      <c r="O1035" s="16">
        <f>IF(ISNUMBER(M1035),ROUND(M1035*(1-Condizioni!$B$2),2),"")</f>
        <v/>
      </c>
      <c r="P1035" s="17" t="inlineStr">
        <is>
          <t>No</t>
        </is>
      </c>
    </row>
    <row r="1036">
      <c r="A1036" s="14" t="inlineStr">
        <is>
          <t>Logos</t>
        </is>
      </c>
      <c r="B1036" s="14" t="inlineStr">
        <is>
          <t>La Frottolite Galoppante</t>
        </is>
      </c>
      <c r="C1036" s="14" t="inlineStr">
        <is>
          <t>André Bouchard</t>
        </is>
      </c>
      <c r="D1036" s="14" t="inlineStr">
        <is>
          <t>Biblioteca Ciopi</t>
        </is>
      </c>
      <c r="E1036" s="14" t="inlineStr">
        <is>
          <t>da 6 anni</t>
        </is>
      </c>
      <c r="F1036" s="14" t="inlineStr">
        <is>
          <t>Prime letture (6-8)</t>
        </is>
      </c>
      <c r="G1036" s="14" t="inlineStr">
        <is>
          <t>Narrativa</t>
        </is>
      </c>
      <c r="H1036" s="14" t="inlineStr"/>
      <c r="I1036" s="14" t="inlineStr">
        <is>
          <t>No</t>
        </is>
      </c>
      <c r="J1036" s="14" t="inlineStr">
        <is>
          <t>Catalogo</t>
        </is>
      </c>
      <c r="K1036" s="14" t="inlineStr">
        <is>
          <t>prime letture, narrativa</t>
        </is>
      </c>
      <c r="L1036" s="14" t="inlineStr">
        <is>
          <t>https://www.libri.it/frottolite</t>
        </is>
      </c>
      <c r="M1036" s="16" t="n">
        <v>10</v>
      </c>
      <c r="N1036" s="14" t="inlineStr">
        <is>
          <t>Lista titoli Logos Edizioni 2026 (PVP)</t>
        </is>
      </c>
      <c r="O1036" s="16">
        <f>IF(ISNUMBER(M1036),ROUND(M1036*(1-Condizioni!$B$2),2),"")</f>
        <v/>
      </c>
      <c r="P1036" s="17" t="inlineStr">
        <is>
          <t>No</t>
        </is>
      </c>
    </row>
    <row r="1037">
      <c r="A1037" s="14" t="inlineStr">
        <is>
          <t>Logos</t>
        </is>
      </c>
      <c r="B1037" s="14" t="inlineStr">
        <is>
          <t>La Gallina</t>
        </is>
      </c>
      <c r="C1037" s="14" t="inlineStr">
        <is>
          <t>Sara D'Angelo; ill. Alessandra Manfredi</t>
        </is>
      </c>
      <c r="D1037" s="14" t="inlineStr">
        <is>
          <t>Gaia</t>
        </is>
      </c>
      <c r="E1037" s="14" t="inlineStr">
        <is>
          <t>da 6 anni</t>
        </is>
      </c>
      <c r="F1037" s="14" t="inlineStr">
        <is>
          <t>Prime letture (6-8)</t>
        </is>
      </c>
      <c r="G1037" s="14" t="inlineStr">
        <is>
          <t>Albo illustrato</t>
        </is>
      </c>
      <c r="H1037" s="14" t="inlineStr"/>
      <c r="I1037" s="14" t="inlineStr">
        <is>
          <t>No</t>
        </is>
      </c>
      <c r="J1037" s="14" t="inlineStr">
        <is>
          <t>Catalogo</t>
        </is>
      </c>
      <c r="K1037" s="14" t="inlineStr">
        <is>
          <t>prime letture</t>
        </is>
      </c>
      <c r="L1037" s="14" t="inlineStr">
        <is>
          <t>https://www.libri.it/3d/anteprima/lagallina/</t>
        </is>
      </c>
      <c r="M1037" s="16" t="n">
        <v>17</v>
      </c>
      <c r="N1037" s="14" t="inlineStr">
        <is>
          <t>Lista titoli Logos Edizioni 2026 (PVP)</t>
        </is>
      </c>
      <c r="O1037" s="16">
        <f>IF(ISNUMBER(M1037),ROUND(M1037*(1-Condizioni!$B$2),2),"")</f>
        <v/>
      </c>
      <c r="P1037" s="17" t="inlineStr">
        <is>
          <t>No</t>
        </is>
      </c>
    </row>
    <row r="1038">
      <c r="A1038" s="14" t="inlineStr">
        <is>
          <t>Logos</t>
        </is>
      </c>
      <c r="B1038" s="14" t="inlineStr">
        <is>
          <t>La Gallina Piripiri</t>
        </is>
      </c>
      <c r="C1038" s="14" t="inlineStr">
        <is>
          <t>Xan López Domínguez</t>
        </is>
      </c>
      <c r="D1038" s="14" t="inlineStr">
        <is>
          <t>Biblioteca Ciopi</t>
        </is>
      </c>
      <c r="E1038" s="14" t="inlineStr">
        <is>
          <t>da 6 anni</t>
        </is>
      </c>
      <c r="F1038" s="14" t="inlineStr">
        <is>
          <t>Prime letture (6-8)</t>
        </is>
      </c>
      <c r="G1038" s="14" t="inlineStr">
        <is>
          <t>Narrativa</t>
        </is>
      </c>
      <c r="H1038" s="14" t="inlineStr"/>
      <c r="I1038" s="14" t="inlineStr">
        <is>
          <t>No</t>
        </is>
      </c>
      <c r="J1038" s="14" t="inlineStr">
        <is>
          <t>Catalogo</t>
        </is>
      </c>
      <c r="K1038" s="14" t="inlineStr">
        <is>
          <t>prime letture, narrativa</t>
        </is>
      </c>
      <c r="L1038" s="14" t="inlineStr">
        <is>
          <t>https://www.libri.it/gallina-piripiri</t>
        </is>
      </c>
      <c r="M1038" s="16" t="n">
        <v>7</v>
      </c>
      <c r="N1038" s="14" t="inlineStr">
        <is>
          <t>Lista titoli Logos Edizioni 2026 (PVP)</t>
        </is>
      </c>
      <c r="O1038" s="16">
        <f>IF(ISNUMBER(M1038),ROUND(M1038*(1-Condizioni!$B$2),2),"")</f>
        <v/>
      </c>
      <c r="P1038" s="17" t="inlineStr">
        <is>
          <t>No</t>
        </is>
      </c>
    </row>
    <row r="1039">
      <c r="A1039" s="14" t="inlineStr">
        <is>
          <t>Logos</t>
        </is>
      </c>
      <c r="B1039" s="14" t="inlineStr">
        <is>
          <t>La Leggenda di Zum</t>
        </is>
      </c>
      <c r="C1039" s="14" t="inlineStr">
        <is>
          <t xml:space="preserve">Txabi Arnal; ill. Roger Olmos </t>
        </is>
      </c>
      <c r="D1039" s="14" t="inlineStr">
        <is>
          <t>Albo Ciopi</t>
        </is>
      </c>
      <c r="E1039" s="14" t="inlineStr">
        <is>
          <t>da 6 anni</t>
        </is>
      </c>
      <c r="F1039" s="14" t="inlineStr">
        <is>
          <t>Prime letture (6-8)</t>
        </is>
      </c>
      <c r="G1039" s="14" t="inlineStr">
        <is>
          <t>Albo illustrato</t>
        </is>
      </c>
      <c r="H1039" s="14" t="inlineStr"/>
      <c r="I1039" s="14" t="inlineStr">
        <is>
          <t>No</t>
        </is>
      </c>
      <c r="J1039" s="14" t="inlineStr">
        <is>
          <t>Catalogo</t>
        </is>
      </c>
      <c r="K1039" s="14" t="inlineStr">
        <is>
          <t>prime letture</t>
        </is>
      </c>
      <c r="L1039" s="14" t="inlineStr">
        <is>
          <t>https://www.libri.it/la-leggenda-di-zum</t>
        </is>
      </c>
      <c r="M1039" s="16" t="n">
        <v>18</v>
      </c>
      <c r="N1039" s="14" t="inlineStr">
        <is>
          <t>Lista titoli Logos Edizioni 2026 (PVP)</t>
        </is>
      </c>
      <c r="O1039" s="16">
        <f>IF(ISNUMBER(M1039),ROUND(M1039*(1-Condizioni!$B$2),2),"")</f>
        <v/>
      </c>
      <c r="P1039" s="17" t="inlineStr">
        <is>
          <t>No</t>
        </is>
      </c>
    </row>
    <row r="1040">
      <c r="A1040" s="14" t="inlineStr">
        <is>
          <t>Logos</t>
        </is>
      </c>
      <c r="B1040" s="14" t="inlineStr">
        <is>
          <t>La Libellula</t>
        </is>
      </c>
      <c r="C1040" s="14" t="inlineStr">
        <is>
          <t>Gianumberto Accinelli; ill. Anna Paolini</t>
        </is>
      </c>
      <c r="D1040" s="14" t="inlineStr">
        <is>
          <t>Gaia</t>
        </is>
      </c>
      <c r="E1040" s="14" t="inlineStr">
        <is>
          <t>da 6 anni</t>
        </is>
      </c>
      <c r="F1040" s="14" t="inlineStr">
        <is>
          <t>Prime letture (6-8)</t>
        </is>
      </c>
      <c r="G1040" s="14" t="inlineStr">
        <is>
          <t>Albo illustrato</t>
        </is>
      </c>
      <c r="H1040" s="14" t="inlineStr"/>
      <c r="I1040" s="14" t="inlineStr">
        <is>
          <t>No</t>
        </is>
      </c>
      <c r="J1040" s="14" t="inlineStr">
        <is>
          <t>Catalogo</t>
        </is>
      </c>
      <c r="K1040" s="14" t="inlineStr">
        <is>
          <t>prime letture</t>
        </is>
      </c>
      <c r="L1040" s="14" t="inlineStr">
        <is>
          <t>https://www.libri.it/libellula</t>
        </is>
      </c>
      <c r="M1040" s="16" t="n">
        <v>20</v>
      </c>
      <c r="N1040" s="14" t="inlineStr">
        <is>
          <t>Lista titoli Logos Edizioni 2026 (PVP)</t>
        </is>
      </c>
      <c r="O1040" s="16">
        <f>IF(ISNUMBER(M1040),ROUND(M1040*(1-Condizioni!$B$2),2),"")</f>
        <v/>
      </c>
      <c r="P1040" s="17" t="inlineStr">
        <is>
          <t>No</t>
        </is>
      </c>
    </row>
    <row r="1041">
      <c r="A1041" s="14" t="inlineStr">
        <is>
          <t>Logos</t>
        </is>
      </c>
      <c r="B1041" s="14" t="inlineStr">
        <is>
          <t>La Lucertola</t>
        </is>
      </c>
      <c r="C1041" s="14" t="inlineStr">
        <is>
          <t>Luisa Noguera; ill. Israel Barrón</t>
        </is>
      </c>
      <c r="D1041" s="14" t="inlineStr">
        <is>
          <t>Biblioteca Ciopi</t>
        </is>
      </c>
      <c r="E1041" s="14" t="inlineStr">
        <is>
          <t>da 6 anni</t>
        </is>
      </c>
      <c r="F1041" s="14" t="inlineStr">
        <is>
          <t>Prime letture (6-8)</t>
        </is>
      </c>
      <c r="G1041" s="14" t="inlineStr">
        <is>
          <t>Narrativa</t>
        </is>
      </c>
      <c r="H1041" s="14" t="inlineStr"/>
      <c r="I1041" s="14" t="inlineStr">
        <is>
          <t>No</t>
        </is>
      </c>
      <c r="J1041" s="14" t="inlineStr">
        <is>
          <t>Catalogo</t>
        </is>
      </c>
      <c r="K1041" s="14" t="inlineStr">
        <is>
          <t>prime letture, narrativa</t>
        </is>
      </c>
      <c r="L1041" s="14" t="inlineStr">
        <is>
          <t>https://www.libri.it/la-lucertola</t>
        </is>
      </c>
      <c r="M1041" s="16" t="n">
        <v>14</v>
      </c>
      <c r="N1041" s="14" t="inlineStr">
        <is>
          <t>Lista titoli Logos Edizioni 2026 (PVP)</t>
        </is>
      </c>
      <c r="O1041" s="16">
        <f>IF(ISNUMBER(M1041),ROUND(M1041*(1-Condizioni!$B$2),2),"")</f>
        <v/>
      </c>
      <c r="P1041" s="17" t="inlineStr">
        <is>
          <t>No</t>
        </is>
      </c>
    </row>
    <row r="1042">
      <c r="A1042" s="14" t="inlineStr">
        <is>
          <t>Logos</t>
        </is>
      </c>
      <c r="B1042" s="14" t="inlineStr">
        <is>
          <t>La Mano</t>
        </is>
      </c>
      <c r="C1042" s="14" t="inlineStr">
        <is>
          <t>Ronald Curchod</t>
        </is>
      </c>
      <c r="D1042" s="14" t="inlineStr">
        <is>
          <t>Albo Ciopi</t>
        </is>
      </c>
      <c r="E1042" s="14" t="inlineStr">
        <is>
          <t>da 6 anni</t>
        </is>
      </c>
      <c r="F1042" s="14" t="inlineStr">
        <is>
          <t>Prime letture (6-8)</t>
        </is>
      </c>
      <c r="G1042" s="14" t="inlineStr">
        <is>
          <t>Albo illustrato</t>
        </is>
      </c>
      <c r="H1042" s="14" t="inlineStr"/>
      <c r="I1042" s="14" t="inlineStr">
        <is>
          <t>No</t>
        </is>
      </c>
      <c r="J1042" s="14" t="inlineStr">
        <is>
          <t>Catalogo</t>
        </is>
      </c>
      <c r="K1042" s="14" t="inlineStr">
        <is>
          <t>prime letture</t>
        </is>
      </c>
      <c r="L1042" s="14" t="inlineStr">
        <is>
          <t>https://www.libri.it/la-mano</t>
        </is>
      </c>
      <c r="M1042" s="16" t="n">
        <v>19</v>
      </c>
      <c r="N1042" s="14" t="inlineStr">
        <is>
          <t>Lista titoli Logos Edizioni 2026 (PVP)</t>
        </is>
      </c>
      <c r="O1042" s="16">
        <f>IF(ISNUMBER(M1042),ROUND(M1042*(1-Condizioni!$B$2),2),"")</f>
        <v/>
      </c>
      <c r="P1042" s="17" t="inlineStr">
        <is>
          <t>No</t>
        </is>
      </c>
    </row>
    <row r="1043">
      <c r="A1043" s="14" t="inlineStr">
        <is>
          <t>Logos</t>
        </is>
      </c>
      <c r="B1043" s="14" t="inlineStr">
        <is>
          <t>La Pecora</t>
        </is>
      </c>
      <c r="C1043" s="14" t="inlineStr">
        <is>
          <t>Sara D'Angelo; ill. Alessandra Manfredi</t>
        </is>
      </c>
      <c r="D1043" s="14" t="inlineStr">
        <is>
          <t>Gaia</t>
        </is>
      </c>
      <c r="E1043" s="14" t="inlineStr">
        <is>
          <t>da 6 anni</t>
        </is>
      </c>
      <c r="F1043" s="14" t="inlineStr">
        <is>
          <t>Prime letture (6-8)</t>
        </is>
      </c>
      <c r="G1043" s="14" t="inlineStr">
        <is>
          <t>Albo illustrato</t>
        </is>
      </c>
      <c r="H1043" s="14" t="inlineStr"/>
      <c r="I1043" s="14" t="inlineStr">
        <is>
          <t>No</t>
        </is>
      </c>
      <c r="J1043" s="14" t="inlineStr">
        <is>
          <t>Catalogo</t>
        </is>
      </c>
      <c r="K1043" s="14" t="inlineStr">
        <is>
          <t>prime letture</t>
        </is>
      </c>
      <c r="L1043" s="14" t="inlineStr">
        <is>
          <t>https://www.libri.it/la-pecora</t>
        </is>
      </c>
      <c r="M1043" s="16" t="n">
        <v>17</v>
      </c>
      <c r="N1043" s="14" t="inlineStr">
        <is>
          <t>Lista titoli Logos Edizioni 2026 (PVP)</t>
        </is>
      </c>
      <c r="O1043" s="16">
        <f>IF(ISNUMBER(M1043),ROUND(M1043*(1-Condizioni!$B$2),2),"")</f>
        <v/>
      </c>
      <c r="P1043" s="17" t="inlineStr">
        <is>
          <t>No</t>
        </is>
      </c>
    </row>
    <row r="1044">
      <c r="A1044" s="14" t="inlineStr">
        <is>
          <t>Logos</t>
        </is>
      </c>
      <c r="B1044" s="14" t="inlineStr">
        <is>
          <t>La Regina delle Niagara Falls</t>
        </is>
      </c>
      <c r="C1044" s="14" t="inlineStr">
        <is>
          <t>Chris Van Allsburg</t>
        </is>
      </c>
      <c r="D1044" s="14" t="inlineStr">
        <is>
          <t>Albo Ciopi</t>
        </is>
      </c>
      <c r="E1044" s="14" t="inlineStr">
        <is>
          <t>da 6 anni</t>
        </is>
      </c>
      <c r="F1044" s="14" t="inlineStr">
        <is>
          <t>Prime letture (6-8)</t>
        </is>
      </c>
      <c r="G1044" s="14" t="inlineStr">
        <is>
          <t>Albo illustrato</t>
        </is>
      </c>
      <c r="H1044" s="14" t="inlineStr"/>
      <c r="I1044" s="14" t="inlineStr">
        <is>
          <t>No</t>
        </is>
      </c>
      <c r="J1044" s="14" t="inlineStr">
        <is>
          <t>Catalogo</t>
        </is>
      </c>
      <c r="K1044" s="14" t="inlineStr">
        <is>
          <t>prime letture</t>
        </is>
      </c>
      <c r="L1044" s="14" t="inlineStr">
        <is>
          <t>https://www.libri.it/niagara</t>
        </is>
      </c>
      <c r="M1044" s="16" t="n">
        <v>18</v>
      </c>
      <c r="N1044" s="14" t="inlineStr">
        <is>
          <t>Lista titoli Logos Edizioni 2026 (PVP)</t>
        </is>
      </c>
      <c r="O1044" s="16">
        <f>IF(ISNUMBER(M1044),ROUND(M1044*(1-Condizioni!$B$2),2),"")</f>
        <v/>
      </c>
      <c r="P1044" s="17" t="inlineStr">
        <is>
          <t>No</t>
        </is>
      </c>
    </row>
    <row r="1045">
      <c r="A1045" s="14" t="inlineStr">
        <is>
          <t>Logos</t>
        </is>
      </c>
      <c r="B1045" s="14" t="inlineStr">
        <is>
          <t>La Scimmia e lo Spaventapasseri</t>
        </is>
      </c>
      <c r="C1045" s="14" t="inlineStr">
        <is>
          <t>Pierre Senges; ill. Albertine</t>
        </is>
      </c>
      <c r="D1045" s="14" t="inlineStr">
        <is>
          <t>Biblioteca Ciopi</t>
        </is>
      </c>
      <c r="E1045" s="14" t="inlineStr">
        <is>
          <t>da 6 anni</t>
        </is>
      </c>
      <c r="F1045" s="14" t="inlineStr">
        <is>
          <t>Prime letture (6-8)</t>
        </is>
      </c>
      <c r="G1045" s="14" t="inlineStr">
        <is>
          <t>Narrativa</t>
        </is>
      </c>
      <c r="H1045" s="14" t="inlineStr"/>
      <c r="I1045" s="14" t="inlineStr">
        <is>
          <t>No</t>
        </is>
      </c>
      <c r="J1045" s="14" t="inlineStr">
        <is>
          <t>Catalogo</t>
        </is>
      </c>
      <c r="K1045" s="14" t="inlineStr">
        <is>
          <t>prime letture, narrativa</t>
        </is>
      </c>
      <c r="L1045" s="14" t="inlineStr">
        <is>
          <t>https://www.libri.it/scimmia-e-lo-spaventapasseri</t>
        </is>
      </c>
      <c r="M1045" s="16" t="n">
        <v>14</v>
      </c>
      <c r="N1045" s="14" t="inlineStr">
        <is>
          <t>Lista titoli Logos Edizioni 2026 (PVP)</t>
        </is>
      </c>
      <c r="O1045" s="16">
        <f>IF(ISNUMBER(M1045),ROUND(M1045*(1-Condizioni!$B$2),2),"")</f>
        <v/>
      </c>
      <c r="P1045" s="17" t="inlineStr">
        <is>
          <t>No</t>
        </is>
      </c>
    </row>
    <row r="1046">
      <c r="A1046" s="14" t="inlineStr">
        <is>
          <t>Logos</t>
        </is>
      </c>
      <c r="B1046" s="14" t="inlineStr">
        <is>
          <t>La Storia di Cinghial Otto</t>
        </is>
      </c>
      <c r="C1046" s="14" t="inlineStr">
        <is>
          <t>Jerry Kramsky</t>
        </is>
      </c>
      <c r="D1046" s="14" t="inlineStr">
        <is>
          <t>Fumetto Ciopi</t>
        </is>
      </c>
      <c r="E1046" s="14" t="inlineStr">
        <is>
          <t>da 6 anni</t>
        </is>
      </c>
      <c r="F1046" s="14" t="inlineStr">
        <is>
          <t>Prime letture (6-8)</t>
        </is>
      </c>
      <c r="G1046" s="14" t="inlineStr">
        <is>
          <t>Graphic novel/Fumetto</t>
        </is>
      </c>
      <c r="H1046" s="14" t="inlineStr"/>
      <c r="I1046" s="14" t="inlineStr">
        <is>
          <t>No</t>
        </is>
      </c>
      <c r="J1046" s="14" t="inlineStr">
        <is>
          <t>Catalogo</t>
        </is>
      </c>
      <c r="K1046" s="14" t="inlineStr">
        <is>
          <t>prime letture</t>
        </is>
      </c>
      <c r="L1046" s="14" t="inlineStr">
        <is>
          <t>https://www.libri.it/storia-di-cinghialotto-e-di-camilla-piumata</t>
        </is>
      </c>
      <c r="M1046" s="16" t="n">
        <v>16</v>
      </c>
      <c r="N1046" s="14" t="inlineStr">
        <is>
          <t>Lista titoli Logos Edizioni 2026 (PVP)</t>
        </is>
      </c>
      <c r="O1046" s="16">
        <f>IF(ISNUMBER(M1046),ROUND(M1046*(1-Condizioni!$B$2),2),"")</f>
        <v/>
      </c>
      <c r="P1046" s="17" t="inlineStr">
        <is>
          <t>No</t>
        </is>
      </c>
    </row>
    <row r="1047">
      <c r="A1047" s="14" t="inlineStr">
        <is>
          <t>Logos</t>
        </is>
      </c>
      <c r="B1047" s="14" t="inlineStr">
        <is>
          <t>Lilli e Mostropupazzolo</t>
        </is>
      </c>
      <c r="C1047" s="14" t="inlineStr">
        <is>
          <t>MIC &amp; VAL</t>
        </is>
      </c>
      <c r="D1047" s="14" t="inlineStr">
        <is>
          <t>Fumetto Ciopi</t>
        </is>
      </c>
      <c r="E1047" s="14" t="inlineStr">
        <is>
          <t>da 6 anni</t>
        </is>
      </c>
      <c r="F1047" s="14" t="inlineStr">
        <is>
          <t>Prime letture (6-8)</t>
        </is>
      </c>
      <c r="G1047" s="14" t="inlineStr">
        <is>
          <t>Graphic novel/Fumetto</t>
        </is>
      </c>
      <c r="H1047" s="14" t="inlineStr"/>
      <c r="I1047" s="14" t="inlineStr">
        <is>
          <t>No</t>
        </is>
      </c>
      <c r="J1047" s="14" t="inlineStr">
        <is>
          <t>Catalogo</t>
        </is>
      </c>
      <c r="K1047" s="14" t="inlineStr">
        <is>
          <t>prime letture</t>
        </is>
      </c>
      <c r="L1047" s="14" t="inlineStr">
        <is>
          <t>https://www.libri.it/lilli-e-mostropupazzolo</t>
        </is>
      </c>
      <c r="M1047" s="16" t="n">
        <v>12</v>
      </c>
      <c r="N1047" s="14" t="inlineStr">
        <is>
          <t>Lista titoli Logos Edizioni 2026 (PVP)</t>
        </is>
      </c>
      <c r="O1047" s="16">
        <f>IF(ISNUMBER(M1047),ROUND(M1047*(1-Condizioni!$B$2),2),"")</f>
        <v/>
      </c>
      <c r="P1047" s="17" t="inlineStr">
        <is>
          <t>No</t>
        </is>
      </c>
    </row>
    <row r="1048">
      <c r="A1048" s="14" t="inlineStr">
        <is>
          <t>Logos</t>
        </is>
      </c>
      <c r="B1048" s="14" t="inlineStr">
        <is>
          <t>Lilli e Mostropupazzolo 2</t>
        </is>
      </c>
      <c r="C1048" s="14" t="inlineStr">
        <is>
          <t>MIC &amp; VAL</t>
        </is>
      </c>
      <c r="D1048" s="14" t="inlineStr">
        <is>
          <t>Fumetto Ciopi</t>
        </is>
      </c>
      <c r="E1048" s="14" t="inlineStr">
        <is>
          <t>da 6 anni</t>
        </is>
      </c>
      <c r="F1048" s="14" t="inlineStr">
        <is>
          <t>Prime letture (6-8)</t>
        </is>
      </c>
      <c r="G1048" s="14" t="inlineStr">
        <is>
          <t>Graphic novel/Fumetto</t>
        </is>
      </c>
      <c r="H1048" s="14" t="inlineStr"/>
      <c r="I1048" s="14" t="inlineStr">
        <is>
          <t>No</t>
        </is>
      </c>
      <c r="J1048" s="14" t="inlineStr">
        <is>
          <t>Catalogo</t>
        </is>
      </c>
      <c r="K1048" s="14" t="inlineStr">
        <is>
          <t>prime letture</t>
        </is>
      </c>
      <c r="L1048" s="14" t="inlineStr">
        <is>
          <t>https://www.libri.it/mostropupazzolo-2</t>
        </is>
      </c>
      <c r="M1048" s="16" t="n">
        <v>12</v>
      </c>
      <c r="N1048" s="14" t="inlineStr">
        <is>
          <t>Lista titoli Logos Edizioni 2026 (PVP)</t>
        </is>
      </c>
      <c r="O1048" s="16">
        <f>IF(ISNUMBER(M1048),ROUND(M1048*(1-Condizioni!$B$2),2),"")</f>
        <v/>
      </c>
      <c r="P1048" s="17" t="inlineStr">
        <is>
          <t>No</t>
        </is>
      </c>
    </row>
    <row r="1049">
      <c r="A1049" s="14" t="inlineStr">
        <is>
          <t>Logos</t>
        </is>
      </c>
      <c r="B1049" s="14" t="inlineStr">
        <is>
          <t>Lo Struffallocero Blu</t>
        </is>
      </c>
      <c r="C1049" s="14" t="inlineStr">
        <is>
          <t>Ursula Wölfel; ill. Roger Olmos</t>
        </is>
      </c>
      <c r="D1049" s="14" t="inlineStr">
        <is>
          <t>Biblioteca Ciopi</t>
        </is>
      </c>
      <c r="E1049" s="14" t="inlineStr">
        <is>
          <t>da 6 anni</t>
        </is>
      </c>
      <c r="F1049" s="14" t="inlineStr">
        <is>
          <t>Prime letture (6-8)</t>
        </is>
      </c>
      <c r="G1049" s="14" t="inlineStr">
        <is>
          <t>Narrativa</t>
        </is>
      </c>
      <c r="H1049" s="14" t="inlineStr"/>
      <c r="I1049" s="14" t="inlineStr">
        <is>
          <t>No</t>
        </is>
      </c>
      <c r="J1049" s="14" t="inlineStr">
        <is>
          <t>Catalogo</t>
        </is>
      </c>
      <c r="K1049" s="14" t="inlineStr">
        <is>
          <t>prime letture, narrativa</t>
        </is>
      </c>
      <c r="L1049" s="14" t="inlineStr">
        <is>
          <t>https://www.libri.it/struffallocero-blu</t>
        </is>
      </c>
      <c r="M1049" s="16" t="n">
        <v>7</v>
      </c>
      <c r="N1049" s="14" t="inlineStr">
        <is>
          <t>Lista titoli Logos Edizioni 2026 (PVP)</t>
        </is>
      </c>
      <c r="O1049" s="16">
        <f>IF(ISNUMBER(M1049),ROUND(M1049*(1-Condizioni!$B$2),2),"")</f>
        <v/>
      </c>
      <c r="P1049" s="17" t="inlineStr">
        <is>
          <t>No</t>
        </is>
      </c>
    </row>
    <row r="1050">
      <c r="A1050" s="14" t="inlineStr">
        <is>
          <t>Logos</t>
        </is>
      </c>
      <c r="B1050" s="14" t="inlineStr">
        <is>
          <t>Lottatore per Amore</t>
        </is>
      </c>
      <c r="C1050" s="14" t="inlineStr">
        <is>
          <t>Gala Vanson</t>
        </is>
      </c>
      <c r="D1050" s="14" t="inlineStr">
        <is>
          <t>Albo Ciopi</t>
        </is>
      </c>
      <c r="E1050" s="14" t="inlineStr">
        <is>
          <t>da 6 anni</t>
        </is>
      </c>
      <c r="F1050" s="14" t="inlineStr">
        <is>
          <t>Prime letture (6-8)</t>
        </is>
      </c>
      <c r="G1050" s="14" t="inlineStr">
        <is>
          <t>Albo illustrato</t>
        </is>
      </c>
      <c r="H1050" s="14" t="inlineStr"/>
      <c r="I1050" s="14" t="inlineStr">
        <is>
          <t>No</t>
        </is>
      </c>
      <c r="J1050" s="14" t="inlineStr">
        <is>
          <t>Catalogo</t>
        </is>
      </c>
      <c r="K1050" s="14" t="inlineStr">
        <is>
          <t>prime letture</t>
        </is>
      </c>
      <c r="L1050" s="14" t="inlineStr">
        <is>
          <t>https://www.libri.it/lottatore-per-amore</t>
        </is>
      </c>
      <c r="M1050" s="16" t="n">
        <v>17</v>
      </c>
      <c r="N1050" s="14" t="inlineStr">
        <is>
          <t>Lista titoli Logos Edizioni 2026 (PVP)</t>
        </is>
      </c>
      <c r="O1050" s="16">
        <f>IF(ISNUMBER(M1050),ROUND(M1050*(1-Condizioni!$B$2),2),"")</f>
        <v/>
      </c>
      <c r="P1050" s="17" t="inlineStr">
        <is>
          <t>No</t>
        </is>
      </c>
    </row>
    <row r="1051">
      <c r="A1051" s="14" t="inlineStr">
        <is>
          <t>Logos</t>
        </is>
      </c>
      <c r="B1051" s="14" t="inlineStr">
        <is>
          <t>Lucia. la Biblioteca della Ciopi</t>
        </is>
      </c>
      <c r="C1051" s="14" t="inlineStr">
        <is>
          <t>Roger Olmos</t>
        </is>
      </c>
      <c r="D1051" s="14" t="inlineStr">
        <is>
          <t>Biblioteca Ciopi</t>
        </is>
      </c>
      <c r="E1051" s="14" t="inlineStr">
        <is>
          <t>da 6 anni</t>
        </is>
      </c>
      <c r="F1051" s="14" t="inlineStr">
        <is>
          <t>Prime letture (6-8)</t>
        </is>
      </c>
      <c r="G1051" s="14" t="inlineStr">
        <is>
          <t>Narrativa</t>
        </is>
      </c>
      <c r="H1051" s="14" t="inlineStr"/>
      <c r="I1051" s="14" t="inlineStr">
        <is>
          <t>No</t>
        </is>
      </c>
      <c r="J1051" s="14" t="inlineStr">
        <is>
          <t>Catalogo</t>
        </is>
      </c>
      <c r="K1051" s="14" t="inlineStr">
        <is>
          <t>prime letture, narrativa</t>
        </is>
      </c>
      <c r="L1051" s="14" t="inlineStr">
        <is>
          <t>https://www.libri.it/lucia-ciopi</t>
        </is>
      </c>
      <c r="M1051" s="16" t="n">
        <v>10</v>
      </c>
      <c r="N1051" s="14" t="inlineStr">
        <is>
          <t>Lista titoli Logos Edizioni 2026 (PVP)</t>
        </is>
      </c>
      <c r="O1051" s="16">
        <f>IF(ISNUMBER(M1051),ROUND(M1051*(1-Condizioni!$B$2),2),"")</f>
        <v/>
      </c>
      <c r="P1051" s="17" t="inlineStr">
        <is>
          <t>No</t>
        </is>
      </c>
    </row>
    <row r="1052">
      <c r="A1052" s="14" t="inlineStr">
        <is>
          <t>Logos</t>
        </is>
      </c>
      <c r="B1052" s="14" t="inlineStr">
        <is>
          <t>Luise</t>
        </is>
      </c>
      <c r="C1052" s="14" t="inlineStr">
        <is>
          <t>Nikolaus Heidelbach</t>
        </is>
      </c>
      <c r="D1052" s="14" t="inlineStr">
        <is>
          <t>Albo Ciopi</t>
        </is>
      </c>
      <c r="E1052" s="14" t="inlineStr">
        <is>
          <t>da 6 anni</t>
        </is>
      </c>
      <c r="F1052" s="14" t="inlineStr">
        <is>
          <t>Prime letture (6-8)</t>
        </is>
      </c>
      <c r="G1052" s="14" t="inlineStr">
        <is>
          <t>Albo illustrato</t>
        </is>
      </c>
      <c r="H1052" s="14" t="inlineStr"/>
      <c r="I1052" s="14" t="inlineStr">
        <is>
          <t>No</t>
        </is>
      </c>
      <c r="J1052" s="14" t="inlineStr">
        <is>
          <t>Catalogo</t>
        </is>
      </c>
      <c r="K1052" s="14" t="inlineStr">
        <is>
          <t>prime letture</t>
        </is>
      </c>
      <c r="L1052" s="14" t="inlineStr">
        <is>
          <t>https://www.libri.it/3d/anteprima/luise/</t>
        </is>
      </c>
      <c r="M1052" s="16" t="n">
        <v>18</v>
      </c>
      <c r="N1052" s="14" t="inlineStr">
        <is>
          <t>Lista titoli Logos Edizioni 2026 (PVP)</t>
        </is>
      </c>
      <c r="O1052" s="16">
        <f>IF(ISNUMBER(M1052),ROUND(M1052*(1-Condizioni!$B$2),2),"")</f>
        <v/>
      </c>
      <c r="P1052" s="17" t="inlineStr">
        <is>
          <t>No</t>
        </is>
      </c>
    </row>
    <row r="1053">
      <c r="A1053" s="14" t="inlineStr">
        <is>
          <t>Logos</t>
        </is>
      </c>
      <c r="B1053" s="14" t="inlineStr">
        <is>
          <t>Lungo È il Cammino</t>
        </is>
      </c>
      <c r="C1053" s="14" t="inlineStr">
        <is>
          <t>Nicolás Arispe</t>
        </is>
      </c>
      <c r="D1053" s="14" t="inlineStr">
        <is>
          <t>Albo Ciopi</t>
        </is>
      </c>
      <c r="E1053" s="14" t="inlineStr">
        <is>
          <t>da 6 anni</t>
        </is>
      </c>
      <c r="F1053" s="14" t="inlineStr">
        <is>
          <t>Prime letture (6-8)</t>
        </is>
      </c>
      <c r="G1053" s="14" t="inlineStr">
        <is>
          <t>Albo illustrato</t>
        </is>
      </c>
      <c r="H1053" s="14" t="inlineStr"/>
      <c r="I1053" s="14" t="inlineStr">
        <is>
          <t>No</t>
        </is>
      </c>
      <c r="J1053" s="14" t="inlineStr">
        <is>
          <t>Catalogo</t>
        </is>
      </c>
      <c r="K1053" s="14" t="inlineStr">
        <is>
          <t>prime letture</t>
        </is>
      </c>
      <c r="L1053" s="14" t="inlineStr">
        <is>
          <t>https://www.libri.it/lungo-e-il-cammino</t>
        </is>
      </c>
      <c r="M1053" s="16" t="n">
        <v>14</v>
      </c>
      <c r="N1053" s="14" t="inlineStr">
        <is>
          <t>Lista titoli Logos Edizioni 2026 (PVP)</t>
        </is>
      </c>
      <c r="O1053" s="16">
        <f>IF(ISNUMBER(M1053),ROUND(M1053*(1-Condizioni!$B$2),2),"")</f>
        <v/>
      </c>
      <c r="P1053" s="17" t="inlineStr">
        <is>
          <t>No</t>
        </is>
      </c>
    </row>
    <row r="1054">
      <c r="A1054" s="14" t="inlineStr">
        <is>
          <t>Logos</t>
        </is>
      </c>
      <c r="B1054" s="14" t="inlineStr">
        <is>
          <t>L’Ape e il Fantasma dell’Alveare</t>
        </is>
      </c>
      <c r="C1054" s="14" t="inlineStr">
        <is>
          <t>Gianumberto Accinelli; ill. Anna Paolini</t>
        </is>
      </c>
      <c r="D1054" s="14" t="inlineStr">
        <is>
          <t>Gaia</t>
        </is>
      </c>
      <c r="E1054" s="14" t="inlineStr">
        <is>
          <t>da 6 anni</t>
        </is>
      </c>
      <c r="F1054" s="14" t="inlineStr">
        <is>
          <t>Prime letture (6-8)</t>
        </is>
      </c>
      <c r="G1054" s="14" t="inlineStr">
        <is>
          <t>Albo illustrato</t>
        </is>
      </c>
      <c r="H1054" s="14" t="inlineStr"/>
      <c r="I1054" s="14" t="inlineStr">
        <is>
          <t>No</t>
        </is>
      </c>
      <c r="J1054" s="14" t="inlineStr">
        <is>
          <t>Catalogo</t>
        </is>
      </c>
      <c r="K1054" s="14" t="inlineStr">
        <is>
          <t>prime letture</t>
        </is>
      </c>
      <c r="L1054" s="14" t="inlineStr">
        <is>
          <t>https://www.libri.it/ape-e-il-fantasma-dell-alveare</t>
        </is>
      </c>
      <c r="M1054" s="16" t="n">
        <v>17</v>
      </c>
      <c r="N1054" s="14" t="inlineStr">
        <is>
          <t>Lista titoli Logos Edizioni 2026 (PVP)</t>
        </is>
      </c>
      <c r="O1054" s="16">
        <f>IF(ISNUMBER(M1054),ROUND(M1054*(1-Condizioni!$B$2),2),"")</f>
        <v/>
      </c>
      <c r="P1054" s="17" t="inlineStr">
        <is>
          <t>No</t>
        </is>
      </c>
    </row>
    <row r="1055">
      <c r="A1055" s="14" t="inlineStr">
        <is>
          <t>Logos</t>
        </is>
      </c>
      <c r="B1055" s="14" t="inlineStr">
        <is>
          <t>L’Orso e il Sasso</t>
        </is>
      </c>
      <c r="C1055" s="14" t="inlineStr">
        <is>
          <t>Victoria Pérez Escrivá; ill. Ester García</t>
        </is>
      </c>
      <c r="D1055" s="14" t="inlineStr">
        <is>
          <t>Albo Ciopi</t>
        </is>
      </c>
      <c r="E1055" s="14" t="inlineStr">
        <is>
          <t>da 6 anni</t>
        </is>
      </c>
      <c r="F1055" s="14" t="inlineStr">
        <is>
          <t>Prime letture (6-8)</t>
        </is>
      </c>
      <c r="G1055" s="14" t="inlineStr">
        <is>
          <t>Albo illustrato</t>
        </is>
      </c>
      <c r="H1055" s="14" t="inlineStr"/>
      <c r="I1055" s="14" t="inlineStr">
        <is>
          <t>No</t>
        </is>
      </c>
      <c r="J1055" s="14" t="inlineStr">
        <is>
          <t>Catalogo</t>
        </is>
      </c>
      <c r="K1055" s="14" t="inlineStr">
        <is>
          <t>prime letture</t>
        </is>
      </c>
      <c r="L1055" s="14" t="inlineStr">
        <is>
          <t>https://www.libri.it/orso-e-il-sasso</t>
        </is>
      </c>
      <c r="M1055" s="16" t="n">
        <v>17</v>
      </c>
      <c r="N1055" s="14" t="inlineStr">
        <is>
          <t>Lista titoli Logos Edizioni 2026 (PVP)</t>
        </is>
      </c>
      <c r="O1055" s="16">
        <f>IF(ISNUMBER(M1055),ROUND(M1055*(1-Condizioni!$B$2),2),"")</f>
        <v/>
      </c>
      <c r="P1055" s="17" t="inlineStr">
        <is>
          <t>No</t>
        </is>
      </c>
    </row>
    <row r="1056">
      <c r="A1056" s="14" t="inlineStr">
        <is>
          <t>Logos</t>
        </is>
      </c>
      <c r="B1056" s="14" t="inlineStr">
        <is>
          <t>Mademoiselle Sophie</t>
        </is>
      </c>
      <c r="C1056" s="14" t="inlineStr">
        <is>
          <t>Zabus &amp; Hippolyte</t>
        </is>
      </c>
      <c r="D1056" s="14" t="inlineStr">
        <is>
          <t>Fumetto Ciopi</t>
        </is>
      </c>
      <c r="E1056" s="14" t="inlineStr">
        <is>
          <t>da 6 anni</t>
        </is>
      </c>
      <c r="F1056" s="14" t="inlineStr">
        <is>
          <t>Prime letture (6-8)</t>
        </is>
      </c>
      <c r="G1056" s="14" t="inlineStr">
        <is>
          <t>Graphic novel/Fumetto</t>
        </is>
      </c>
      <c r="H1056" s="14" t="inlineStr"/>
      <c r="I1056" s="14" t="inlineStr">
        <is>
          <t>No</t>
        </is>
      </c>
      <c r="J1056" s="14" t="inlineStr">
        <is>
          <t>Catalogo</t>
        </is>
      </c>
      <c r="K1056" s="14" t="inlineStr">
        <is>
          <t>prime letture</t>
        </is>
      </c>
      <c r="L1056" s="14" t="inlineStr">
        <is>
          <t>https://www.libri.it/sophie</t>
        </is>
      </c>
      <c r="M1056" s="16" t="n">
        <v>22</v>
      </c>
      <c r="N1056" s="14" t="inlineStr">
        <is>
          <t>Lista titoli Logos Edizioni 2026 (PVP)</t>
        </is>
      </c>
      <c r="O1056" s="16">
        <f>IF(ISNUMBER(M1056),ROUND(M1056*(1-Condizioni!$B$2),2),"")</f>
        <v/>
      </c>
      <c r="P1056" s="17" t="inlineStr">
        <is>
          <t>No</t>
        </is>
      </c>
    </row>
    <row r="1057">
      <c r="A1057" s="14" t="inlineStr">
        <is>
          <t>Logos</t>
        </is>
      </c>
      <c r="B1057" s="14" t="inlineStr">
        <is>
          <t>Marina</t>
        </is>
      </c>
      <c r="C1057" s="14" t="inlineStr">
        <is>
          <t>Nikolaus Heidelbach; ill. Nikolaus Heidelback</t>
        </is>
      </c>
      <c r="D1057" s="14" t="inlineStr">
        <is>
          <t>Albo Ciopi</t>
        </is>
      </c>
      <c r="E1057" s="14" t="inlineStr">
        <is>
          <t>da 6 anni</t>
        </is>
      </c>
      <c r="F1057" s="14" t="inlineStr">
        <is>
          <t>Prime letture (6-8)</t>
        </is>
      </c>
      <c r="G1057" s="14" t="inlineStr">
        <is>
          <t>Albo illustrato</t>
        </is>
      </c>
      <c r="H1057" s="14" t="inlineStr"/>
      <c r="I1057" s="14" t="inlineStr">
        <is>
          <t>No</t>
        </is>
      </c>
      <c r="J1057" s="14" t="inlineStr">
        <is>
          <t>Catalogo</t>
        </is>
      </c>
      <c r="K1057" s="14" t="inlineStr">
        <is>
          <t>prime letture</t>
        </is>
      </c>
      <c r="L1057" s="14" t="inlineStr">
        <is>
          <t>https://www.libri.it/marina</t>
        </is>
      </c>
      <c r="M1057" s="16" t="n">
        <v>18</v>
      </c>
      <c r="N1057" s="14" t="inlineStr">
        <is>
          <t>Lista titoli Logos Edizioni 2026 (PVP)</t>
        </is>
      </c>
      <c r="O1057" s="16">
        <f>IF(ISNUMBER(M1057),ROUND(M1057*(1-Condizioni!$B$2),2),"")</f>
        <v/>
      </c>
      <c r="P1057" s="17" t="inlineStr">
        <is>
          <t>No</t>
        </is>
      </c>
    </row>
    <row r="1058">
      <c r="A1058" s="14" t="inlineStr">
        <is>
          <t>Logos</t>
        </is>
      </c>
      <c r="B1058" s="14" t="inlineStr">
        <is>
          <t>Matrioska</t>
        </is>
      </c>
      <c r="C1058" s="14" t="inlineStr">
        <is>
          <t>Dimiter Inkiow; ill. Anna Paolini</t>
        </is>
      </c>
      <c r="D1058" s="14" t="inlineStr">
        <is>
          <t>Biblioteca Ciopi</t>
        </is>
      </c>
      <c r="E1058" s="14" t="inlineStr">
        <is>
          <t>da 6 anni</t>
        </is>
      </c>
      <c r="F1058" s="14" t="inlineStr">
        <is>
          <t>Prime letture (6-8)</t>
        </is>
      </c>
      <c r="G1058" s="14" t="inlineStr">
        <is>
          <t>Narrativa</t>
        </is>
      </c>
      <c r="H1058" s="14" t="inlineStr"/>
      <c r="I1058" s="14" t="inlineStr">
        <is>
          <t>No</t>
        </is>
      </c>
      <c r="J1058" s="14" t="inlineStr">
        <is>
          <t>Catalogo</t>
        </is>
      </c>
      <c r="K1058" s="14" t="inlineStr">
        <is>
          <t>prime letture, narrativa</t>
        </is>
      </c>
      <c r="L1058" s="14" t="inlineStr">
        <is>
          <t>https://www.libri.it/matrioska</t>
        </is>
      </c>
      <c r="M1058" s="16" t="n">
        <v>8</v>
      </c>
      <c r="N1058" s="14" t="inlineStr">
        <is>
          <t>Lista titoli Logos Edizioni 2026 (PVP)</t>
        </is>
      </c>
      <c r="O1058" s="16">
        <f>IF(ISNUMBER(M1058),ROUND(M1058*(1-Condizioni!$B$2),2),"")</f>
        <v/>
      </c>
      <c r="P1058" s="17" t="inlineStr">
        <is>
          <t>No</t>
        </is>
      </c>
    </row>
    <row r="1059">
      <c r="A1059" s="14" t="inlineStr">
        <is>
          <t>Logos</t>
        </is>
      </c>
      <c r="B1059" s="14" t="inlineStr">
        <is>
          <t>Migranti</t>
        </is>
      </c>
      <c r="C1059" s="14" t="inlineStr">
        <is>
          <t>Issa Watanabe; ill. Issa Watanabe</t>
        </is>
      </c>
      <c r="D1059" s="14" t="inlineStr">
        <is>
          <t>Albo Ciopi</t>
        </is>
      </c>
      <c r="E1059" s="14" t="inlineStr">
        <is>
          <t>da 6 anni</t>
        </is>
      </c>
      <c r="F1059" s="14" t="inlineStr">
        <is>
          <t>Prime letture (6-8)</t>
        </is>
      </c>
      <c r="G1059" s="14" t="inlineStr">
        <is>
          <t>Albo illustrato</t>
        </is>
      </c>
      <c r="H1059" s="14" t="inlineStr"/>
      <c r="I1059" s="14" t="inlineStr">
        <is>
          <t>No</t>
        </is>
      </c>
      <c r="J1059" s="14" t="inlineStr">
        <is>
          <t>Catalogo</t>
        </is>
      </c>
      <c r="K1059" s="14" t="inlineStr">
        <is>
          <t>prime letture</t>
        </is>
      </c>
      <c r="L1059" s="14" t="inlineStr">
        <is>
          <t>https://www.libri.it/migranti</t>
        </is>
      </c>
      <c r="M1059" s="16" t="n">
        <v>17</v>
      </c>
      <c r="N1059" s="14" t="inlineStr">
        <is>
          <t>Lista titoli Logos Edizioni 2026 (PVP)</t>
        </is>
      </c>
      <c r="O1059" s="16">
        <f>IF(ISNUMBER(M1059),ROUND(M1059*(1-Condizioni!$B$2),2),"")</f>
        <v/>
      </c>
      <c r="P1059" s="17" t="inlineStr">
        <is>
          <t>No</t>
        </is>
      </c>
    </row>
    <row r="1060">
      <c r="A1060" s="14" t="inlineStr">
        <is>
          <t>Logos</t>
        </is>
      </c>
      <c r="B1060" s="14" t="inlineStr">
        <is>
          <t>Mistero nel Bosco</t>
        </is>
      </c>
      <c r="C1060" s="14" t="inlineStr">
        <is>
          <t>Susanna Isern; ill. Daniel Montero Galán</t>
        </is>
      </c>
      <c r="D1060" s="14" t="inlineStr">
        <is>
          <t>Albo Ciopi</t>
        </is>
      </c>
      <c r="E1060" s="14" t="inlineStr">
        <is>
          <t>da 6 anni</t>
        </is>
      </c>
      <c r="F1060" s="14" t="inlineStr">
        <is>
          <t>Prime letture (6-8)</t>
        </is>
      </c>
      <c r="G1060" s="14" t="inlineStr">
        <is>
          <t>Albo illustrato</t>
        </is>
      </c>
      <c r="H1060" s="14" t="inlineStr"/>
      <c r="I1060" s="14" t="inlineStr">
        <is>
          <t>No</t>
        </is>
      </c>
      <c r="J1060" s="14" t="inlineStr">
        <is>
          <t>Catalogo</t>
        </is>
      </c>
      <c r="K1060" s="14" t="inlineStr">
        <is>
          <t>prime letture</t>
        </is>
      </c>
      <c r="L1060" s="14" t="inlineStr">
        <is>
          <t>https://www.libri.it/mistero-nel-bosco</t>
        </is>
      </c>
      <c r="M1060" s="16" t="n">
        <v>15</v>
      </c>
      <c r="N1060" s="14" t="inlineStr">
        <is>
          <t>Lista titoli Logos Edizioni 2026 (PVP)</t>
        </is>
      </c>
      <c r="O1060" s="16">
        <f>IF(ISNUMBER(M1060),ROUND(M1060*(1-Condizioni!$B$2),2),"")</f>
        <v/>
      </c>
      <c r="P1060" s="17" t="inlineStr">
        <is>
          <t>No</t>
        </is>
      </c>
    </row>
    <row r="1061">
      <c r="A1061" s="14" t="inlineStr">
        <is>
          <t>Logos</t>
        </is>
      </c>
      <c r="B1061" s="14" t="inlineStr">
        <is>
          <t>Mondo Crudele</t>
        </is>
      </c>
      <c r="C1061" s="14" t="inlineStr">
        <is>
          <t>Ellen Duthie; ill. Daniela Martagón</t>
        </is>
      </c>
      <c r="D1061" s="14" t="inlineStr">
        <is>
          <t>Wonder Ponder</t>
        </is>
      </c>
      <c r="E1061" s="14" t="inlineStr">
        <is>
          <t>da 6 anni</t>
        </is>
      </c>
      <c r="F1061" s="14" t="inlineStr">
        <is>
          <t>Prime letture (6-8)</t>
        </is>
      </c>
      <c r="G1061" s="14" t="inlineStr">
        <is>
          <t>Albo illustrato</t>
        </is>
      </c>
      <c r="H1061" s="14" t="inlineStr"/>
      <c r="I1061" s="14" t="inlineStr">
        <is>
          <t>No</t>
        </is>
      </c>
      <c r="J1061" s="14" t="inlineStr">
        <is>
          <t>Catalogo</t>
        </is>
      </c>
      <c r="K1061" s="14" t="inlineStr">
        <is>
          <t>prime letture</t>
        </is>
      </c>
      <c r="L1061" s="14" t="inlineStr">
        <is>
          <t>https://www.libri.it/mondo-crudele</t>
        </is>
      </c>
      <c r="M1061" s="16" t="n">
        <v>12</v>
      </c>
      <c r="N1061" s="14" t="inlineStr">
        <is>
          <t>Lista titoli Logos Edizioni 2026 (PVP)</t>
        </is>
      </c>
      <c r="O1061" s="16">
        <f>IF(ISNUMBER(M1061),ROUND(M1061*(1-Condizioni!$B$2),2),"")</f>
        <v/>
      </c>
      <c r="P1061" s="17" t="inlineStr">
        <is>
          <t>No</t>
        </is>
      </c>
    </row>
    <row r="1062">
      <c r="A1062" s="14" t="inlineStr">
        <is>
          <t>Logos</t>
        </is>
      </c>
      <c r="B1062" s="14" t="inlineStr">
        <is>
          <t>Neve, Neve e Ancora Tanta Neve</t>
        </is>
      </c>
      <c r="C1062" s="14" t="inlineStr">
        <is>
          <t>Xosé  Cermeño; ill. Giulia Pintus</t>
        </is>
      </c>
      <c r="D1062" s="14" t="inlineStr">
        <is>
          <t>Biblioteca Ciopi</t>
        </is>
      </c>
      <c r="E1062" s="14" t="inlineStr">
        <is>
          <t>da 6 anni</t>
        </is>
      </c>
      <c r="F1062" s="14" t="inlineStr">
        <is>
          <t>Prime letture (6-8)</t>
        </is>
      </c>
      <c r="G1062" s="14" t="inlineStr">
        <is>
          <t>Narrativa</t>
        </is>
      </c>
      <c r="H1062" s="14" t="inlineStr"/>
      <c r="I1062" s="14" t="inlineStr">
        <is>
          <t>No</t>
        </is>
      </c>
      <c r="J1062" s="14" t="inlineStr">
        <is>
          <t>Catalogo</t>
        </is>
      </c>
      <c r="K1062" s="14" t="inlineStr">
        <is>
          <t>prime letture, narrativa</t>
        </is>
      </c>
      <c r="L1062" s="14" t="inlineStr">
        <is>
          <t>https://www.libri.it/neve-neve-e-ancora-tanta-neve</t>
        </is>
      </c>
      <c r="M1062" s="16" t="n">
        <v>9</v>
      </c>
      <c r="N1062" s="14" t="inlineStr">
        <is>
          <t>Lista titoli Logos Edizioni 2026 (PVP)</t>
        </is>
      </c>
      <c r="O1062" s="16">
        <f>IF(ISNUMBER(M1062),ROUND(M1062*(1-Condizioni!$B$2),2),"")</f>
        <v/>
      </c>
      <c r="P1062" s="17" t="inlineStr">
        <is>
          <t>No</t>
        </is>
      </c>
    </row>
    <row r="1063">
      <c r="A1063" s="14" t="inlineStr">
        <is>
          <t>Logos</t>
        </is>
      </c>
      <c r="B1063" s="14" t="inlineStr">
        <is>
          <t>Non Voglio Stare Qui</t>
        </is>
      </c>
      <c r="C1063" s="14" t="inlineStr">
        <is>
          <t>Lawrence Schimel; ill. Israel Barrón</t>
        </is>
      </c>
      <c r="D1063" s="14" t="inlineStr">
        <is>
          <t>Albo Ciopi</t>
        </is>
      </c>
      <c r="E1063" s="14" t="inlineStr">
        <is>
          <t>da 6 anni</t>
        </is>
      </c>
      <c r="F1063" s="14" t="inlineStr">
        <is>
          <t>Prime letture (6-8)</t>
        </is>
      </c>
      <c r="G1063" s="14" t="inlineStr">
        <is>
          <t>Albo illustrato</t>
        </is>
      </c>
      <c r="H1063" s="14" t="inlineStr"/>
      <c r="I1063" s="14" t="inlineStr">
        <is>
          <t>No</t>
        </is>
      </c>
      <c r="J1063" s="14" t="inlineStr">
        <is>
          <t>Catalogo</t>
        </is>
      </c>
      <c r="K1063" s="14" t="inlineStr">
        <is>
          <t>prime letture</t>
        </is>
      </c>
      <c r="L1063" s="14" t="inlineStr">
        <is>
          <t>https://www.libri.it/non-voglio-stare-qui</t>
        </is>
      </c>
      <c r="M1063" s="16" t="n">
        <v>17</v>
      </c>
      <c r="N1063" s="14" t="inlineStr">
        <is>
          <t>Lista titoli Logos Edizioni 2026 (PVP)</t>
        </is>
      </c>
      <c r="O1063" s="16">
        <f>IF(ISNUMBER(M1063),ROUND(M1063*(1-Condizioni!$B$2),2),"")</f>
        <v/>
      </c>
      <c r="P1063" s="17" t="inlineStr">
        <is>
          <t>No</t>
        </is>
      </c>
    </row>
    <row r="1064">
      <c r="A1064" s="14" t="inlineStr">
        <is>
          <t>Logos</t>
        </is>
      </c>
      <c r="B1064" s="14" t="inlineStr">
        <is>
          <t>Nonnina e il Lupo</t>
        </is>
      </c>
      <c r="C1064" s="14" t="inlineStr">
        <is>
          <t>Sofía Luminosa; ill. Israel Barrón</t>
        </is>
      </c>
      <c r="D1064" s="14" t="inlineStr">
        <is>
          <t>Biblioteca Ciopi</t>
        </is>
      </c>
      <c r="E1064" s="14" t="inlineStr">
        <is>
          <t>da 6 anni</t>
        </is>
      </c>
      <c r="F1064" s="14" t="inlineStr">
        <is>
          <t>Prime letture (6-8)</t>
        </is>
      </c>
      <c r="G1064" s="14" t="inlineStr">
        <is>
          <t>Narrativa</t>
        </is>
      </c>
      <c r="H1064" s="14" t="inlineStr"/>
      <c r="I1064" s="14" t="inlineStr">
        <is>
          <t>No</t>
        </is>
      </c>
      <c r="J1064" s="14" t="inlineStr">
        <is>
          <t>Catalogo</t>
        </is>
      </c>
      <c r="K1064" s="14" t="inlineStr">
        <is>
          <t>prime letture, narrativa</t>
        </is>
      </c>
      <c r="L1064" s="14" t="inlineStr">
        <is>
          <t>https://www.libri.it/nonnina-e-il-lupo</t>
        </is>
      </c>
      <c r="M1064" s="16" t="n">
        <v>9</v>
      </c>
      <c r="N1064" s="14" t="inlineStr">
        <is>
          <t>Lista titoli Logos Edizioni 2026 (PVP)</t>
        </is>
      </c>
      <c r="O1064" s="16">
        <f>IF(ISNUMBER(M1064),ROUND(M1064*(1-Condizioni!$B$2),2),"")</f>
        <v/>
      </c>
      <c r="P1064" s="17" t="inlineStr">
        <is>
          <t>No</t>
        </is>
      </c>
    </row>
    <row r="1065">
      <c r="A1065" s="14" t="inlineStr">
        <is>
          <t>Logos</t>
        </is>
      </c>
      <c r="B1065" s="14" t="inlineStr">
        <is>
          <t>Papà Ha Perso la Testa</t>
        </is>
      </c>
      <c r="C1065" s="14" t="inlineStr">
        <is>
          <t>André Bouchard; ill. Quentin Blake</t>
        </is>
      </c>
      <c r="D1065" s="14" t="inlineStr">
        <is>
          <t>Albo Ciopi</t>
        </is>
      </c>
      <c r="E1065" s="14" t="inlineStr">
        <is>
          <t>da 6 anni</t>
        </is>
      </c>
      <c r="F1065" s="14" t="inlineStr">
        <is>
          <t>Prime letture (6-8)</t>
        </is>
      </c>
      <c r="G1065" s="14" t="inlineStr">
        <is>
          <t>Albo illustrato</t>
        </is>
      </c>
      <c r="H1065" s="14" t="inlineStr"/>
      <c r="I1065" s="14" t="inlineStr">
        <is>
          <t>No</t>
        </is>
      </c>
      <c r="J1065" s="14" t="inlineStr">
        <is>
          <t>Catalogo</t>
        </is>
      </c>
      <c r="K1065" s="14" t="inlineStr">
        <is>
          <t>prime letture</t>
        </is>
      </c>
      <c r="L1065" s="14" t="inlineStr">
        <is>
          <t>https://www.libri.it/papa-ha-perso-la-testa</t>
        </is>
      </c>
      <c r="M1065" s="16" t="n">
        <v>18</v>
      </c>
      <c r="N1065" s="14" t="inlineStr">
        <is>
          <t>Lista titoli Logos Edizioni 2026 (PVP)</t>
        </is>
      </c>
      <c r="O1065" s="16">
        <f>IF(ISNUMBER(M1065),ROUND(M1065*(1-Condizioni!$B$2),2),"")</f>
        <v/>
      </c>
      <c r="P1065" s="17" t="inlineStr">
        <is>
          <t>No</t>
        </is>
      </c>
    </row>
    <row r="1066">
      <c r="A1066" s="14" t="inlineStr">
        <is>
          <t>Logos</t>
        </is>
      </c>
      <c r="B1066" s="14" t="inlineStr">
        <is>
          <t>Papà e le Pozzanghere</t>
        </is>
      </c>
      <c r="C1066" s="14" t="inlineStr">
        <is>
          <t>Lawrence Schimel; ill. Israel Barrón</t>
        </is>
      </c>
      <c r="D1066" s="14" t="inlineStr">
        <is>
          <t>Biblioteca Ciopi</t>
        </is>
      </c>
      <c r="E1066" s="14" t="inlineStr">
        <is>
          <t>da 6 anni</t>
        </is>
      </c>
      <c r="F1066" s="14" t="inlineStr">
        <is>
          <t>Prime letture (6-8)</t>
        </is>
      </c>
      <c r="G1066" s="14" t="inlineStr">
        <is>
          <t>Narrativa</t>
        </is>
      </c>
      <c r="H1066" s="14" t="inlineStr"/>
      <c r="I1066" s="14" t="inlineStr">
        <is>
          <t>No</t>
        </is>
      </c>
      <c r="J1066" s="14" t="inlineStr">
        <is>
          <t>Catalogo</t>
        </is>
      </c>
      <c r="K1066" s="14" t="inlineStr">
        <is>
          <t>prime letture, narrativa</t>
        </is>
      </c>
      <c r="L1066" s="14" t="inlineStr">
        <is>
          <t>https://www.libri.it/papa-e-le-pozzanghere</t>
        </is>
      </c>
      <c r="M1066" s="16" t="n">
        <v>8</v>
      </c>
      <c r="N1066" s="14" t="inlineStr">
        <is>
          <t>Lista titoli Logos Edizioni 2026 (PVP)</t>
        </is>
      </c>
      <c r="O1066" s="16">
        <f>IF(ISNUMBER(M1066),ROUND(M1066*(1-Condizioni!$B$2),2),"")</f>
        <v/>
      </c>
      <c r="P1066" s="17" t="inlineStr">
        <is>
          <t>No</t>
        </is>
      </c>
    </row>
    <row r="1067">
      <c r="A1067" s="14" t="inlineStr">
        <is>
          <t>Logos</t>
        </is>
      </c>
      <c r="B1067" s="14" t="inlineStr">
        <is>
          <t>Patatrac!</t>
        </is>
      </c>
      <c r="C1067" s="14" t="inlineStr">
        <is>
          <t>Guillaume Long</t>
        </is>
      </c>
      <c r="D1067" s="14" t="inlineStr">
        <is>
          <t>Fumetto Ciopi</t>
        </is>
      </c>
      <c r="E1067" s="14" t="inlineStr">
        <is>
          <t>da 6 anni</t>
        </is>
      </c>
      <c r="F1067" s="14" t="inlineStr">
        <is>
          <t>Prime letture (6-8)</t>
        </is>
      </c>
      <c r="G1067" s="14" t="inlineStr">
        <is>
          <t>Graphic novel/Fumetto</t>
        </is>
      </c>
      <c r="H1067" s="14" t="inlineStr"/>
      <c r="I1067" s="14" t="inlineStr">
        <is>
          <t>No</t>
        </is>
      </c>
      <c r="J1067" s="14" t="inlineStr">
        <is>
          <t>Catalogo</t>
        </is>
      </c>
      <c r="K1067" s="14" t="inlineStr">
        <is>
          <t>prime letture</t>
        </is>
      </c>
      <c r="L1067" s="14" t="inlineStr">
        <is>
          <t>https://www.libri.it/patatrac</t>
        </is>
      </c>
      <c r="M1067" s="16" t="n">
        <v>13</v>
      </c>
      <c r="N1067" s="14" t="inlineStr">
        <is>
          <t>Lista titoli Logos Edizioni 2026 (PVP)</t>
        </is>
      </c>
      <c r="O1067" s="16">
        <f>IF(ISNUMBER(M1067),ROUND(M1067*(1-Condizioni!$B$2),2),"")</f>
        <v/>
      </c>
      <c r="P1067" s="17" t="inlineStr">
        <is>
          <t>No</t>
        </is>
      </c>
    </row>
    <row r="1068">
      <c r="A1068" s="14" t="inlineStr">
        <is>
          <t>Logos</t>
        </is>
      </c>
      <c r="B1068" s="14" t="inlineStr">
        <is>
          <t>Piccole Storie di Natale</t>
        </is>
      </c>
      <c r="C1068" s="14" t="inlineStr">
        <is>
          <t>S. Corinna Bille; ill. Anna Paolini</t>
        </is>
      </c>
      <c r="D1068" s="14" t="inlineStr">
        <is>
          <t>Biblioteca Ciopi</t>
        </is>
      </c>
      <c r="E1068" s="14" t="inlineStr">
        <is>
          <t>da 6 anni</t>
        </is>
      </c>
      <c r="F1068" s="14" t="inlineStr">
        <is>
          <t>Prime letture (6-8)</t>
        </is>
      </c>
      <c r="G1068" s="14" t="inlineStr">
        <is>
          <t>Narrativa</t>
        </is>
      </c>
      <c r="H1068" s="14" t="inlineStr"/>
      <c r="I1068" s="14" t="inlineStr">
        <is>
          <t>No</t>
        </is>
      </c>
      <c r="J1068" s="14" t="inlineStr">
        <is>
          <t>Catalogo</t>
        </is>
      </c>
      <c r="K1068" s="14" t="inlineStr">
        <is>
          <t>prime letture, narrativa</t>
        </is>
      </c>
      <c r="L1068" s="14" t="inlineStr">
        <is>
          <t>https://www.libri.it/piccole-storie-di-natale</t>
        </is>
      </c>
      <c r="M1068" s="16" t="n">
        <v>10</v>
      </c>
      <c r="N1068" s="14" t="inlineStr">
        <is>
          <t>Lista titoli Logos Edizioni 2026 (PVP)</t>
        </is>
      </c>
      <c r="O1068" s="16">
        <f>IF(ISNUMBER(M1068),ROUND(M1068*(1-Condizioni!$B$2),2),"")</f>
        <v/>
      </c>
      <c r="P1068" s="17" t="inlineStr">
        <is>
          <t>No</t>
        </is>
      </c>
    </row>
    <row r="1069">
      <c r="A1069" s="14" t="inlineStr">
        <is>
          <t>Logos</t>
        </is>
      </c>
      <c r="B1069" s="14" t="inlineStr">
        <is>
          <t>Pirata Novello!</t>
        </is>
      </c>
      <c r="C1069" s="14" t="inlineStr">
        <is>
          <t>Lionel Richerand</t>
        </is>
      </c>
      <c r="D1069" s="14" t="inlineStr">
        <is>
          <t>Fumetto Ciopi</t>
        </is>
      </c>
      <c r="E1069" s="14" t="inlineStr">
        <is>
          <t>da 6 anni</t>
        </is>
      </c>
      <c r="F1069" s="14" t="inlineStr">
        <is>
          <t>Prime letture (6-8)</t>
        </is>
      </c>
      <c r="G1069" s="14" t="inlineStr">
        <is>
          <t>Graphic novel/Fumetto</t>
        </is>
      </c>
      <c r="H1069" s="14" t="inlineStr"/>
      <c r="I1069" s="14" t="inlineStr">
        <is>
          <t>No</t>
        </is>
      </c>
      <c r="J1069" s="14" t="inlineStr">
        <is>
          <t>Catalogo</t>
        </is>
      </c>
      <c r="K1069" s="14" t="inlineStr">
        <is>
          <t>prime letture</t>
        </is>
      </c>
      <c r="L1069" s="14" t="inlineStr">
        <is>
          <t>https://www.libri.it/pirata-novello</t>
        </is>
      </c>
      <c r="M1069" s="16" t="n">
        <v>12</v>
      </c>
      <c r="N1069" s="14" t="inlineStr">
        <is>
          <t>Lista titoli Logos Edizioni 2026 (PVP)</t>
        </is>
      </c>
      <c r="O1069" s="16">
        <f>IF(ISNUMBER(M1069),ROUND(M1069*(1-Condizioni!$B$2),2),"")</f>
        <v/>
      </c>
      <c r="P1069" s="17" t="inlineStr">
        <is>
          <t>No</t>
        </is>
      </c>
    </row>
    <row r="1070">
      <c r="A1070" s="14" t="inlineStr">
        <is>
          <t>Logos</t>
        </is>
      </c>
      <c r="B1070" s="14" t="inlineStr">
        <is>
          <t>Pirulì</t>
        </is>
      </c>
      <c r="C1070" s="14" t="inlineStr">
        <is>
          <t>Isabel Córdova Rosas; ill. Alessandra Manfredi</t>
        </is>
      </c>
      <c r="D1070" s="14" t="inlineStr">
        <is>
          <t>Biblioteca Ciopi</t>
        </is>
      </c>
      <c r="E1070" s="14" t="inlineStr">
        <is>
          <t>da 6 anni</t>
        </is>
      </c>
      <c r="F1070" s="14" t="inlineStr">
        <is>
          <t>Prime letture (6-8)</t>
        </is>
      </c>
      <c r="G1070" s="14" t="inlineStr">
        <is>
          <t>Narrativa</t>
        </is>
      </c>
      <c r="H1070" s="14" t="inlineStr"/>
      <c r="I1070" s="14" t="inlineStr">
        <is>
          <t>No</t>
        </is>
      </c>
      <c r="J1070" s="14" t="inlineStr">
        <is>
          <t>Catalogo</t>
        </is>
      </c>
      <c r="K1070" s="14" t="inlineStr">
        <is>
          <t>prime letture, narrativa</t>
        </is>
      </c>
      <c r="L1070" s="14" t="inlineStr">
        <is>
          <t>https://www.libri.it/piruli</t>
        </is>
      </c>
      <c r="M1070" s="16" t="n">
        <v>8</v>
      </c>
      <c r="N1070" s="14" t="inlineStr">
        <is>
          <t>Lista titoli Logos Edizioni 2026 (PVP)</t>
        </is>
      </c>
      <c r="O1070" s="16">
        <f>IF(ISNUMBER(M1070),ROUND(M1070*(1-Condizioni!$B$2),2),"")</f>
        <v/>
      </c>
      <c r="P1070" s="17" t="inlineStr">
        <is>
          <t>No</t>
        </is>
      </c>
    </row>
    <row r="1071">
      <c r="A1071" s="14" t="inlineStr">
        <is>
          <t>Logos</t>
        </is>
      </c>
      <c r="B1071" s="14" t="inlineStr">
        <is>
          <t>Pizzicami</t>
        </is>
      </c>
      <c r="C1071" s="14" t="inlineStr">
        <is>
          <t>Ellen Duthie; ill. Daniela Martagón</t>
        </is>
      </c>
      <c r="D1071" s="14" t="inlineStr">
        <is>
          <t>Wonder Ponder</t>
        </is>
      </c>
      <c r="E1071" s="14" t="inlineStr">
        <is>
          <t>da 6 anni</t>
        </is>
      </c>
      <c r="F1071" s="14" t="inlineStr">
        <is>
          <t>Prime letture (6-8)</t>
        </is>
      </c>
      <c r="G1071" s="14" t="inlineStr">
        <is>
          <t>Albo illustrato</t>
        </is>
      </c>
      <c r="H1071" s="14" t="inlineStr"/>
      <c r="I1071" s="14" t="inlineStr">
        <is>
          <t>No</t>
        </is>
      </c>
      <c r="J1071" s="14" t="inlineStr">
        <is>
          <t>Catalogo</t>
        </is>
      </c>
      <c r="K1071" s="14" t="inlineStr">
        <is>
          <t>prime letture</t>
        </is>
      </c>
      <c r="L1071" s="14" t="inlineStr">
        <is>
          <t>https://www.libri.it/pizzicami</t>
        </is>
      </c>
      <c r="M1071" s="16" t="n">
        <v>12</v>
      </c>
      <c r="N1071" s="14" t="inlineStr">
        <is>
          <t>Lista titoli Logos Edizioni 2026 (PVP)</t>
        </is>
      </c>
      <c r="O1071" s="16">
        <f>IF(ISNUMBER(M1071),ROUND(M1071*(1-Condizioni!$B$2),2),"")</f>
        <v/>
      </c>
      <c r="P1071" s="17" t="inlineStr">
        <is>
          <t>No</t>
        </is>
      </c>
    </row>
    <row r="1072">
      <c r="A1072" s="14" t="inlineStr">
        <is>
          <t>Logos</t>
        </is>
      </c>
      <c r="B1072" s="14" t="inlineStr">
        <is>
          <t>Pollicino</t>
        </is>
      </c>
      <c r="C1072" s="14" t="inlineStr">
        <is>
          <t>Agnès Ledig; ill. Frédéric Pillot</t>
        </is>
      </c>
      <c r="D1072" s="14" t="inlineStr">
        <is>
          <t>Albo Ciopi</t>
        </is>
      </c>
      <c r="E1072" s="14" t="inlineStr">
        <is>
          <t>da 6 anni</t>
        </is>
      </c>
      <c r="F1072" s="14" t="inlineStr">
        <is>
          <t>Prime letture (6-8)</t>
        </is>
      </c>
      <c r="G1072" s="14" t="inlineStr">
        <is>
          <t>Albo illustrato</t>
        </is>
      </c>
      <c r="H1072" s="14" t="inlineStr"/>
      <c r="I1072" s="14" t="inlineStr">
        <is>
          <t>No</t>
        </is>
      </c>
      <c r="J1072" s="14" t="inlineStr">
        <is>
          <t>Catalogo</t>
        </is>
      </c>
      <c r="K1072" s="14" t="inlineStr">
        <is>
          <t>prime letture</t>
        </is>
      </c>
      <c r="L1072" s="14" t="inlineStr">
        <is>
          <t>https://www.libri.it/pollicino</t>
        </is>
      </c>
      <c r="M1072" s="16" t="n">
        <v>18</v>
      </c>
      <c r="N1072" s="14" t="inlineStr">
        <is>
          <t>Lista titoli Logos Edizioni 2026 (PVP)</t>
        </is>
      </c>
      <c r="O1072" s="16">
        <f>IF(ISNUMBER(M1072),ROUND(M1072*(1-Condizioni!$B$2),2),"")</f>
        <v/>
      </c>
      <c r="P1072" s="17" t="inlineStr">
        <is>
          <t>No</t>
        </is>
      </c>
    </row>
    <row r="1073">
      <c r="A1073" s="14" t="inlineStr">
        <is>
          <t>Logos</t>
        </is>
      </c>
      <c r="B1073" s="14" t="inlineStr">
        <is>
          <t>Quando Dormo la Notte</t>
        </is>
      </c>
      <c r="C1073" s="14" t="inlineStr">
        <is>
          <t>Ronald Curchod</t>
        </is>
      </c>
      <c r="D1073" s="14" t="inlineStr">
        <is>
          <t>Albo Ciopi</t>
        </is>
      </c>
      <c r="E1073" s="14" t="inlineStr">
        <is>
          <t>da 6 anni</t>
        </is>
      </c>
      <c r="F1073" s="14" t="inlineStr">
        <is>
          <t>Prime letture (6-8)</t>
        </is>
      </c>
      <c r="G1073" s="14" t="inlineStr">
        <is>
          <t>Albo illustrato</t>
        </is>
      </c>
      <c r="H1073" s="14" t="inlineStr"/>
      <c r="I1073" s="14" t="inlineStr">
        <is>
          <t>No</t>
        </is>
      </c>
      <c r="J1073" s="14" t="inlineStr">
        <is>
          <t>Catalogo</t>
        </is>
      </c>
      <c r="K1073" s="14" t="inlineStr">
        <is>
          <t>prime letture</t>
        </is>
      </c>
      <c r="L1073" s="14" t="inlineStr">
        <is>
          <t>https://www.libri.it/quando-dormo-la-notte</t>
        </is>
      </c>
      <c r="M1073" s="16" t="n">
        <v>18</v>
      </c>
      <c r="N1073" s="14" t="inlineStr">
        <is>
          <t>Lista titoli Logos Edizioni 2026 (PVP)</t>
        </is>
      </c>
      <c r="O1073" s="16">
        <f>IF(ISNUMBER(M1073),ROUND(M1073*(1-Condizioni!$B$2),2),"")</f>
        <v/>
      </c>
      <c r="P1073" s="17" t="inlineStr">
        <is>
          <t>No</t>
        </is>
      </c>
    </row>
    <row r="1074">
      <c r="A1074" s="14" t="inlineStr">
        <is>
          <t>Logos</t>
        </is>
      </c>
      <c r="B1074" s="14" t="inlineStr">
        <is>
          <t>Quando le Galline Avranno i Denti</t>
        </is>
      </c>
      <c r="C1074" s="14" t="inlineStr">
        <is>
          <t>André Bouchard</t>
        </is>
      </c>
      <c r="D1074" s="14" t="inlineStr">
        <is>
          <t>Biblioteca Ciopi</t>
        </is>
      </c>
      <c r="E1074" s="14" t="inlineStr">
        <is>
          <t>da 6 anni</t>
        </is>
      </c>
      <c r="F1074" s="14" t="inlineStr">
        <is>
          <t>Prime letture (6-8)</t>
        </is>
      </c>
      <c r="G1074" s="14" t="inlineStr">
        <is>
          <t>Narrativa</t>
        </is>
      </c>
      <c r="H1074" s="14" t="inlineStr"/>
      <c r="I1074" s="14" t="inlineStr">
        <is>
          <t>No</t>
        </is>
      </c>
      <c r="J1074" s="14" t="inlineStr">
        <is>
          <t>Catalogo</t>
        </is>
      </c>
      <c r="K1074" s="14" t="inlineStr">
        <is>
          <t>prime letture, narrativa</t>
        </is>
      </c>
      <c r="L1074" s="14" t="inlineStr">
        <is>
          <t>https://www.libri.it/quando-le-galline-avranno-i-denti</t>
        </is>
      </c>
      <c r="M1074" s="16" t="n">
        <v>10</v>
      </c>
      <c r="N1074" s="14" t="inlineStr">
        <is>
          <t>Lista titoli Logos Edizioni 2026 (PVP)</t>
        </is>
      </c>
      <c r="O1074" s="16">
        <f>IF(ISNUMBER(M1074),ROUND(M1074*(1-Condizioni!$B$2),2),"")</f>
        <v/>
      </c>
      <c r="P1074" s="17" t="inlineStr">
        <is>
          <t>No</t>
        </is>
      </c>
    </row>
    <row r="1075">
      <c r="A1075" s="14" t="inlineStr">
        <is>
          <t>Logos</t>
        </is>
      </c>
      <c r="B1075" s="14" t="inlineStr">
        <is>
          <t>Quello che Vuoi</t>
        </is>
      </c>
      <c r="C1075" s="14" t="inlineStr">
        <is>
          <t>Ellen Duthie; ill. Daniela Martagón</t>
        </is>
      </c>
      <c r="D1075" s="14" t="inlineStr">
        <is>
          <t>Wonder Ponder</t>
        </is>
      </c>
      <c r="E1075" s="14" t="inlineStr">
        <is>
          <t>da 6 anni</t>
        </is>
      </c>
      <c r="F1075" s="14" t="inlineStr">
        <is>
          <t>Prime letture (6-8)</t>
        </is>
      </c>
      <c r="G1075" s="14" t="inlineStr">
        <is>
          <t>Albo illustrato</t>
        </is>
      </c>
      <c r="H1075" s="14" t="inlineStr"/>
      <c r="I1075" s="14" t="inlineStr">
        <is>
          <t>No</t>
        </is>
      </c>
      <c r="J1075" s="14" t="inlineStr">
        <is>
          <t>Catalogo</t>
        </is>
      </c>
      <c r="K1075" s="14" t="inlineStr">
        <is>
          <t>prime letture</t>
        </is>
      </c>
      <c r="L1075" s="14" t="inlineStr">
        <is>
          <t>https://www.libri.it/quello-che-vuoi</t>
        </is>
      </c>
      <c r="M1075" s="16" t="n">
        <v>12</v>
      </c>
      <c r="N1075" s="14" t="inlineStr">
        <is>
          <t>Lista titoli Logos Edizioni 2026 (PVP)</t>
        </is>
      </c>
      <c r="O1075" s="16">
        <f>IF(ISNUMBER(M1075),ROUND(M1075*(1-Condizioni!$B$2),2),"")</f>
        <v/>
      </c>
      <c r="P1075" s="17" t="inlineStr">
        <is>
          <t>No</t>
        </is>
      </c>
    </row>
    <row r="1076">
      <c r="A1076" s="14" t="inlineStr">
        <is>
          <t>Logos</t>
        </is>
      </c>
      <c r="B1076" s="14" t="inlineStr">
        <is>
          <t>Regalo di Natale</t>
        </is>
      </c>
      <c r="C1076" s="14" t="inlineStr">
        <is>
          <t>Sofía Luminosa; ill. Israel Barrón</t>
        </is>
      </c>
      <c r="D1076" s="14" t="inlineStr">
        <is>
          <t>Biblioteca Ciopi</t>
        </is>
      </c>
      <c r="E1076" s="14" t="inlineStr">
        <is>
          <t>da 6 anni</t>
        </is>
      </c>
      <c r="F1076" s="14" t="inlineStr">
        <is>
          <t>Prime letture (6-8)</t>
        </is>
      </c>
      <c r="G1076" s="14" t="inlineStr">
        <is>
          <t>Narrativa</t>
        </is>
      </c>
      <c r="H1076" s="14" t="inlineStr"/>
      <c r="I1076" s="14" t="inlineStr">
        <is>
          <t>No</t>
        </is>
      </c>
      <c r="J1076" s="14" t="inlineStr">
        <is>
          <t>Catalogo</t>
        </is>
      </c>
      <c r="K1076" s="14" t="inlineStr">
        <is>
          <t>prime letture, narrativa</t>
        </is>
      </c>
      <c r="L1076" s="14" t="inlineStr">
        <is>
          <t>https://www.libri.it/regalo-di-natale</t>
        </is>
      </c>
      <c r="M1076" s="16" t="n">
        <v>8</v>
      </c>
      <c r="N1076" s="14" t="inlineStr">
        <is>
          <t>Lista titoli Logos Edizioni 2026 (PVP)</t>
        </is>
      </c>
      <c r="O1076" s="16">
        <f>IF(ISNUMBER(M1076),ROUND(M1076*(1-Condizioni!$B$2),2),"")</f>
        <v/>
      </c>
      <c r="P1076" s="17" t="inlineStr">
        <is>
          <t>No</t>
        </is>
      </c>
    </row>
    <row r="1077">
      <c r="A1077" s="14" t="inlineStr">
        <is>
          <t>Logos</t>
        </is>
      </c>
      <c r="B1077" s="14" t="inlineStr">
        <is>
          <t>Rosalie Sogna…</t>
        </is>
      </c>
      <c r="C1077" s="14" t="inlineStr">
        <is>
          <t>Nikolaus Heidelbach; ill.  	Nikolaus Heidelbach</t>
        </is>
      </c>
      <c r="D1077" s="14" t="inlineStr">
        <is>
          <t>Albo Ciopi</t>
        </is>
      </c>
      <c r="E1077" s="14" t="inlineStr">
        <is>
          <t>da 6 anni</t>
        </is>
      </c>
      <c r="F1077" s="14" t="inlineStr">
        <is>
          <t>Prime letture (6-8)</t>
        </is>
      </c>
      <c r="G1077" s="14" t="inlineStr">
        <is>
          <t>Albo illustrato</t>
        </is>
      </c>
      <c r="H1077" s="14" t="inlineStr"/>
      <c r="I1077" s="14" t="inlineStr">
        <is>
          <t>No</t>
        </is>
      </c>
      <c r="J1077" s="14" t="inlineStr">
        <is>
          <t>Catalogo</t>
        </is>
      </c>
      <c r="K1077" s="14" t="inlineStr">
        <is>
          <t>prime letture</t>
        </is>
      </c>
      <c r="L1077" s="14" t="inlineStr">
        <is>
          <t>https://www.libri.it/rosalie</t>
        </is>
      </c>
      <c r="M1077" s="16" t="n">
        <v>18</v>
      </c>
      <c r="N1077" s="14" t="inlineStr">
        <is>
          <t>Lista titoli Logos Edizioni 2026 (PVP)</t>
        </is>
      </c>
      <c r="O1077" s="16">
        <f>IF(ISNUMBER(M1077),ROUND(M1077*(1-Condizioni!$B$2),2),"")</f>
        <v/>
      </c>
      <c r="P1077" s="17" t="inlineStr">
        <is>
          <t>No</t>
        </is>
      </c>
    </row>
    <row r="1078">
      <c r="A1078" s="14" t="inlineStr">
        <is>
          <t>Logos</t>
        </is>
      </c>
      <c r="B1078" s="14" t="inlineStr">
        <is>
          <t>Solletichino</t>
        </is>
      </c>
      <c r="C1078" s="14" t="inlineStr">
        <is>
          <t>Graciela Beatriz Cabal; ill. Giulia Pintus</t>
        </is>
      </c>
      <c r="D1078" s="14" t="inlineStr">
        <is>
          <t>Biblioteca Ciopi</t>
        </is>
      </c>
      <c r="E1078" s="14" t="inlineStr">
        <is>
          <t>da 6 anni</t>
        </is>
      </c>
      <c r="F1078" s="14" t="inlineStr">
        <is>
          <t>Prime letture (6-8)</t>
        </is>
      </c>
      <c r="G1078" s="14" t="inlineStr">
        <is>
          <t>Narrativa</t>
        </is>
      </c>
      <c r="H1078" s="14" t="inlineStr"/>
      <c r="I1078" s="14" t="inlineStr">
        <is>
          <t>No</t>
        </is>
      </c>
      <c r="J1078" s="14" t="inlineStr">
        <is>
          <t>Catalogo</t>
        </is>
      </c>
      <c r="K1078" s="14" t="inlineStr">
        <is>
          <t>prime letture, narrativa</t>
        </is>
      </c>
      <c r="L1078" s="14" t="inlineStr">
        <is>
          <t>https://www.libri.it/solletichino-ciopi</t>
        </is>
      </c>
      <c r="M1078" s="16" t="n">
        <v>9</v>
      </c>
      <c r="N1078" s="14" t="inlineStr">
        <is>
          <t>Lista titoli Logos Edizioni 2026 (PVP)</t>
        </is>
      </c>
      <c r="O1078" s="16">
        <f>IF(ISNUMBER(M1078),ROUND(M1078*(1-Condizioni!$B$2),2),"")</f>
        <v/>
      </c>
      <c r="P1078" s="17" t="inlineStr">
        <is>
          <t>No</t>
        </is>
      </c>
    </row>
    <row r="1079">
      <c r="A1079" s="14" t="inlineStr">
        <is>
          <t>Logos</t>
        </is>
      </c>
      <c r="B1079" s="14" t="inlineStr">
        <is>
          <t>Swimming Pollo</t>
        </is>
      </c>
      <c r="C1079" s="14" t="inlineStr">
        <is>
          <t>Guillaume Long</t>
        </is>
      </c>
      <c r="D1079" s="14" t="inlineStr">
        <is>
          <t>Fumetto Ciopi</t>
        </is>
      </c>
      <c r="E1079" s="14" t="inlineStr">
        <is>
          <t>da 6 anni</t>
        </is>
      </c>
      <c r="F1079" s="14" t="inlineStr">
        <is>
          <t>Prime letture (6-8)</t>
        </is>
      </c>
      <c r="G1079" s="14" t="inlineStr">
        <is>
          <t>Graphic novel/Fumetto</t>
        </is>
      </c>
      <c r="H1079" s="14" t="inlineStr"/>
      <c r="I1079" s="14" t="inlineStr">
        <is>
          <t>No</t>
        </is>
      </c>
      <c r="J1079" s="14" t="inlineStr">
        <is>
          <t>Catalogo</t>
        </is>
      </c>
      <c r="K1079" s="14" t="inlineStr">
        <is>
          <t>prime letture</t>
        </is>
      </c>
      <c r="L1079" s="14" t="inlineStr">
        <is>
          <t>https://www.libri.it/swimming-pollo</t>
        </is>
      </c>
      <c r="M1079" s="16" t="n">
        <v>12</v>
      </c>
      <c r="N1079" s="14" t="inlineStr">
        <is>
          <t>Lista titoli Logos Edizioni 2026 (PVP)</t>
        </is>
      </c>
      <c r="O1079" s="16">
        <f>IF(ISNUMBER(M1079),ROUND(M1079*(1-Condizioni!$B$2),2),"")</f>
        <v/>
      </c>
      <c r="P1079" s="17" t="inlineStr">
        <is>
          <t>No</t>
        </is>
      </c>
    </row>
    <row r="1080">
      <c r="A1080" s="14" t="inlineStr">
        <is>
          <t>Logos</t>
        </is>
      </c>
      <c r="B1080" s="14" t="inlineStr">
        <is>
          <t>Trucas</t>
        </is>
      </c>
      <c r="C1080" s="14" t="inlineStr">
        <is>
          <t>Juan Gedovius</t>
        </is>
      </c>
      <c r="D1080" s="14" t="inlineStr">
        <is>
          <t>Albo Ciopi</t>
        </is>
      </c>
      <c r="E1080" s="14" t="inlineStr">
        <is>
          <t>da 6 anni</t>
        </is>
      </c>
      <c r="F1080" s="14" t="inlineStr">
        <is>
          <t>Prime letture (6-8)</t>
        </is>
      </c>
      <c r="G1080" s="14" t="inlineStr">
        <is>
          <t>Albo illustrato</t>
        </is>
      </c>
      <c r="H1080" s="14" t="inlineStr"/>
      <c r="I1080" s="14" t="inlineStr">
        <is>
          <t>No</t>
        </is>
      </c>
      <c r="J1080" s="14" t="inlineStr">
        <is>
          <t>Catalogo</t>
        </is>
      </c>
      <c r="K1080" s="14" t="inlineStr">
        <is>
          <t>prime letture</t>
        </is>
      </c>
      <c r="L1080" s="14" t="inlineStr">
        <is>
          <t>https://www.libri.it/trucas</t>
        </is>
      </c>
      <c r="M1080" s="16" t="n">
        <v>13.5</v>
      </c>
      <c r="N1080" s="14" t="inlineStr">
        <is>
          <t>Lista titoli Logos Edizioni 2026 (PVP)</t>
        </is>
      </c>
      <c r="O1080" s="16">
        <f>IF(ISNUMBER(M1080),ROUND(M1080*(1-Condizioni!$B$2),2),"")</f>
        <v/>
      </c>
      <c r="P1080" s="17" t="inlineStr">
        <is>
          <t>No</t>
        </is>
      </c>
    </row>
    <row r="1081">
      <c r="A1081" s="14" t="inlineStr">
        <is>
          <t>Logos</t>
        </is>
      </c>
      <c r="B1081" s="14" t="inlineStr">
        <is>
          <t>Tutti Uguali in Famiglia</t>
        </is>
      </c>
      <c r="C1081" s="14" t="inlineStr">
        <is>
          <t>Lawrence Schimel; ill. Israel Barrón</t>
        </is>
      </c>
      <c r="D1081" s="14" t="inlineStr">
        <is>
          <t>Biblioteca Ciopi</t>
        </is>
      </c>
      <c r="E1081" s="14" t="inlineStr">
        <is>
          <t>da 6 anni</t>
        </is>
      </c>
      <c r="F1081" s="14" t="inlineStr">
        <is>
          <t>Prime letture (6-8)</t>
        </is>
      </c>
      <c r="G1081" s="14" t="inlineStr">
        <is>
          <t>Narrativa</t>
        </is>
      </c>
      <c r="H1081" s="14" t="inlineStr"/>
      <c r="I1081" s="14" t="inlineStr">
        <is>
          <t>No</t>
        </is>
      </c>
      <c r="J1081" s="14" t="inlineStr">
        <is>
          <t>Catalogo</t>
        </is>
      </c>
      <c r="K1081" s="14" t="inlineStr">
        <is>
          <t>prime letture, narrativa</t>
        </is>
      </c>
      <c r="L1081" s="14" t="inlineStr">
        <is>
          <t>https://www.libri.it/tutti-uguali</t>
        </is>
      </c>
      <c r="M1081" s="16" t="n">
        <v>10</v>
      </c>
      <c r="N1081" s="14" t="inlineStr">
        <is>
          <t>Lista titoli Logos Edizioni 2026 (PVP)</t>
        </is>
      </c>
      <c r="O1081" s="16">
        <f>IF(ISNUMBER(M1081),ROUND(M1081*(1-Condizioni!$B$2),2),"")</f>
        <v/>
      </c>
      <c r="P1081" s="17" t="inlineStr">
        <is>
          <t>No</t>
        </is>
      </c>
    </row>
    <row r="1082">
      <c r="A1082" s="14" t="inlineStr">
        <is>
          <t>Logos</t>
        </is>
      </c>
      <c r="B1082" s="14" t="inlineStr">
        <is>
          <t>Un Nuovo Amico</t>
        </is>
      </c>
      <c r="C1082" s="14" t="inlineStr">
        <is>
          <t>Estelle Vonfeldt; ill. Giulia Pintus</t>
        </is>
      </c>
      <c r="D1082" s="14" t="inlineStr">
        <is>
          <t>Biblioteca Ciopi</t>
        </is>
      </c>
      <c r="E1082" s="14" t="inlineStr">
        <is>
          <t>da 6 anni</t>
        </is>
      </c>
      <c r="F1082" s="14" t="inlineStr">
        <is>
          <t>Prime letture (6-8)</t>
        </is>
      </c>
      <c r="G1082" s="14" t="inlineStr">
        <is>
          <t>Narrativa</t>
        </is>
      </c>
      <c r="H1082" s="14" t="inlineStr"/>
      <c r="I1082" s="14" t="inlineStr">
        <is>
          <t>No</t>
        </is>
      </c>
      <c r="J1082" s="14" t="inlineStr">
        <is>
          <t>Catalogo</t>
        </is>
      </c>
      <c r="K1082" s="14" t="inlineStr">
        <is>
          <t>prime letture, narrativa</t>
        </is>
      </c>
      <c r="L1082" s="14" t="inlineStr">
        <is>
          <t>https://www.libri.it/un-nuovo-amico</t>
        </is>
      </c>
      <c r="M1082" s="16" t="n">
        <v>10</v>
      </c>
      <c r="N1082" s="14" t="inlineStr">
        <is>
          <t>Lista titoli Logos Edizioni 2026 (PVP)</t>
        </is>
      </c>
      <c r="O1082" s="16">
        <f>IF(ISNUMBER(M1082),ROUND(M1082*(1-Condizioni!$B$2),2),"")</f>
        <v/>
      </c>
      <c r="P1082" s="17" t="inlineStr">
        <is>
          <t>No</t>
        </is>
      </c>
    </row>
    <row r="1083">
      <c r="A1083" s="14" t="inlineStr">
        <is>
          <t>Logos</t>
        </is>
      </c>
      <c r="B1083" s="14" t="inlineStr">
        <is>
          <t>Vacanze su Venere</t>
        </is>
      </c>
      <c r="C1083" s="14" t="inlineStr">
        <is>
          <t>Germano Zullo; ill. Albertine</t>
        </is>
      </c>
      <c r="D1083" s="14" t="inlineStr">
        <is>
          <t>Fumetto Ciopi</t>
        </is>
      </c>
      <c r="E1083" s="14" t="inlineStr">
        <is>
          <t>da 6 anni</t>
        </is>
      </c>
      <c r="F1083" s="14" t="inlineStr">
        <is>
          <t>Prime letture (6-8)</t>
        </is>
      </c>
      <c r="G1083" s="14" t="inlineStr">
        <is>
          <t>Graphic novel/Fumetto</t>
        </is>
      </c>
      <c r="H1083" s="14" t="inlineStr"/>
      <c r="I1083" s="14" t="inlineStr">
        <is>
          <t>No</t>
        </is>
      </c>
      <c r="J1083" s="14" t="inlineStr">
        <is>
          <t>Catalogo</t>
        </is>
      </c>
      <c r="K1083" s="14" t="inlineStr">
        <is>
          <t>prime letture</t>
        </is>
      </c>
      <c r="L1083" s="14" t="inlineStr">
        <is>
          <t>https://www.libri.it/vacanze-su-venere</t>
        </is>
      </c>
      <c r="M1083" s="16" t="n">
        <v>12</v>
      </c>
      <c r="N1083" s="14" t="inlineStr">
        <is>
          <t>Lista titoli Logos Edizioni 2026 (PVP)</t>
        </is>
      </c>
      <c r="O1083" s="16">
        <f>IF(ISNUMBER(M1083),ROUND(M1083*(1-Condizioni!$B$2),2),"")</f>
        <v/>
      </c>
      <c r="P1083" s="17" t="inlineStr">
        <is>
          <t>No</t>
        </is>
      </c>
    </row>
    <row r="1084">
      <c r="A1084" s="14" t="inlineStr">
        <is>
          <t>Logos</t>
        </is>
      </c>
      <c r="B1084" s="14" t="inlineStr">
        <is>
          <t>Amici per la Pelle</t>
        </is>
      </c>
      <c r="C1084" s="14" t="inlineStr">
        <is>
          <t>Roger Olmos</t>
        </is>
      </c>
      <c r="D1084" s="14" t="inlineStr">
        <is>
          <t>Illustrati</t>
        </is>
      </c>
      <c r="E1084" s="14" t="inlineStr">
        <is>
          <t>da 8 anni</t>
        </is>
      </c>
      <c r="F1084" s="14" t="inlineStr">
        <is>
          <t>8+</t>
        </is>
      </c>
      <c r="G1084" s="14" t="inlineStr">
        <is>
          <t>Albo illustrato</t>
        </is>
      </c>
      <c r="H1084" s="14" t="inlineStr"/>
      <c r="I1084" s="14" t="inlineStr">
        <is>
          <t>No</t>
        </is>
      </c>
      <c r="J1084" s="14" t="inlineStr">
        <is>
          <t>Catalogo</t>
        </is>
      </c>
      <c r="K1084" s="14" t="inlineStr">
        <is>
          <t>8+</t>
        </is>
      </c>
      <c r="L1084" s="14" t="inlineStr">
        <is>
          <t>https://www.libri.it/amici-per-la-pelle</t>
        </is>
      </c>
      <c r="M1084" s="16" t="n">
        <v>19</v>
      </c>
      <c r="N1084" s="14" t="inlineStr">
        <is>
          <t>Lista titoli Logos Edizioni 2026 (PVP)</t>
        </is>
      </c>
      <c r="O1084" s="16">
        <f>IF(ISNUMBER(M1084),ROUND(M1084*(1-Condizioni!$B$2),2),"")</f>
        <v/>
      </c>
      <c r="P1084" s="17" t="inlineStr">
        <is>
          <t>No</t>
        </is>
      </c>
    </row>
    <row r="1085">
      <c r="A1085" s="14" t="inlineStr">
        <is>
          <t>Logos</t>
        </is>
      </c>
      <c r="B1085" s="14" t="inlineStr">
        <is>
          <t>Amigos</t>
        </is>
      </c>
      <c r="C1085" s="14" t="inlineStr">
        <is>
          <t>Roger Olmos</t>
        </is>
      </c>
      <c r="D1085" s="14" t="inlineStr">
        <is>
          <t>Illustrati</t>
        </is>
      </c>
      <c r="E1085" s="14" t="inlineStr">
        <is>
          <t>da 8 anni</t>
        </is>
      </c>
      <c r="F1085" s="14" t="inlineStr">
        <is>
          <t>8+</t>
        </is>
      </c>
      <c r="G1085" s="14" t="inlineStr">
        <is>
          <t>Albo illustrato</t>
        </is>
      </c>
      <c r="H1085" s="14" t="inlineStr"/>
      <c r="I1085" s="14" t="inlineStr">
        <is>
          <t>No</t>
        </is>
      </c>
      <c r="J1085" s="14" t="inlineStr">
        <is>
          <t>Catalogo</t>
        </is>
      </c>
      <c r="K1085" s="14" t="inlineStr">
        <is>
          <t>8+</t>
        </is>
      </c>
      <c r="L1085" s="14" t="inlineStr">
        <is>
          <t>https://www.libri.it/amigos</t>
        </is>
      </c>
      <c r="M1085" s="16" t="n">
        <v>17</v>
      </c>
      <c r="N1085" s="14" t="inlineStr">
        <is>
          <t>Lista titoli Logos Edizioni 2026 (PVP)</t>
        </is>
      </c>
      <c r="O1085" s="16">
        <f>IF(ISNUMBER(M1085),ROUND(M1085*(1-Condizioni!$B$2),2),"")</f>
        <v/>
      </c>
      <c r="P1085" s="17" t="inlineStr">
        <is>
          <t>No</t>
        </is>
      </c>
    </row>
    <row r="1086">
      <c r="A1086" s="14" t="inlineStr">
        <is>
          <t>Logos</t>
        </is>
      </c>
      <c r="B1086" s="14" t="inlineStr">
        <is>
          <t>Anna dei Miracoli</t>
        </is>
      </c>
      <c r="C1086" s="14" t="inlineStr">
        <is>
          <t>Ana Juan</t>
        </is>
      </c>
      <c r="D1086" s="14" t="inlineStr">
        <is>
          <t>Illustrati</t>
        </is>
      </c>
      <c r="E1086" s="14" t="inlineStr">
        <is>
          <t>da 8 anni</t>
        </is>
      </c>
      <c r="F1086" s="14" t="inlineStr">
        <is>
          <t>8+</t>
        </is>
      </c>
      <c r="G1086" s="14" t="inlineStr">
        <is>
          <t>Albo illustrato</t>
        </is>
      </c>
      <c r="H1086" s="14" t="inlineStr"/>
      <c r="I1086" s="14" t="inlineStr">
        <is>
          <t>No</t>
        </is>
      </c>
      <c r="J1086" s="14" t="inlineStr">
        <is>
          <t>Catalogo</t>
        </is>
      </c>
      <c r="K1086" s="14" t="inlineStr">
        <is>
          <t>8+</t>
        </is>
      </c>
      <c r="L1086" s="14" t="inlineStr">
        <is>
          <t>https://www.libri.it/anna-dei-miracoli</t>
        </is>
      </c>
      <c r="M1086" s="16" t="n">
        <v>18</v>
      </c>
      <c r="N1086" s="14" t="inlineStr">
        <is>
          <t>Lista titoli Logos Edizioni 2026 (PVP)</t>
        </is>
      </c>
      <c r="O1086" s="16">
        <f>IF(ISNUMBER(M1086),ROUND(M1086*(1-Condizioni!$B$2),2),"")</f>
        <v/>
      </c>
      <c r="P1086" s="17" t="inlineStr">
        <is>
          <t>No</t>
        </is>
      </c>
    </row>
    <row r="1087">
      <c r="A1087" s="14" t="inlineStr">
        <is>
          <t>Logos</t>
        </is>
      </c>
      <c r="B1087" s="14" t="inlineStr">
        <is>
          <t>Aquarium (sea Shepherd)</t>
        </is>
      </c>
      <c r="C1087" s="14" t="inlineStr">
        <is>
          <t>Geert Vons; ill. Roger Olmos</t>
        </is>
      </c>
      <c r="D1087" s="14" t="inlineStr">
        <is>
          <t>Illustrati</t>
        </is>
      </c>
      <c r="E1087" s="14" t="inlineStr">
        <is>
          <t>da 8 anni</t>
        </is>
      </c>
      <c r="F1087" s="14" t="inlineStr">
        <is>
          <t>8+</t>
        </is>
      </c>
      <c r="G1087" s="14" t="inlineStr">
        <is>
          <t>Albo illustrato</t>
        </is>
      </c>
      <c r="H1087" s="14" t="inlineStr"/>
      <c r="I1087" s="14" t="inlineStr">
        <is>
          <t>No</t>
        </is>
      </c>
      <c r="J1087" s="14" t="inlineStr">
        <is>
          <t>Catalogo</t>
        </is>
      </c>
      <c r="K1087" s="14" t="inlineStr">
        <is>
          <t>8+</t>
        </is>
      </c>
      <c r="L1087" s="14" t="inlineStr">
        <is>
          <t>https://www.libri.it/aquarium</t>
        </is>
      </c>
      <c r="M1087" s="16" t="n">
        <v>10</v>
      </c>
      <c r="N1087" s="14" t="inlineStr">
        <is>
          <t>Lista titoli Logos Edizioni 2026 (PVP)</t>
        </is>
      </c>
      <c r="O1087" s="16">
        <f>IF(ISNUMBER(M1087),ROUND(M1087*(1-Condizioni!$B$2),2),"")</f>
        <v/>
      </c>
      <c r="P1087" s="17" t="inlineStr">
        <is>
          <t>No</t>
        </is>
      </c>
    </row>
    <row r="1088">
      <c r="A1088" s="14" t="inlineStr">
        <is>
          <t>Logos</t>
        </is>
      </c>
      <c r="B1088" s="14" t="inlineStr">
        <is>
          <t>Attilio Nuova Edizione</t>
        </is>
      </c>
      <c r="C1088" s="14" t="inlineStr">
        <is>
          <t>Giulia Pintus</t>
        </is>
      </c>
      <c r="D1088" s="14" t="inlineStr">
        <is>
          <t>Illustrati</t>
        </is>
      </c>
      <c r="E1088" s="14" t="inlineStr">
        <is>
          <t>da 8 anni</t>
        </is>
      </c>
      <c r="F1088" s="14" t="inlineStr">
        <is>
          <t>8+</t>
        </is>
      </c>
      <c r="G1088" s="14" t="inlineStr">
        <is>
          <t>Albo illustrato</t>
        </is>
      </c>
      <c r="H1088" s="14" t="inlineStr"/>
      <c r="I1088" s="14" t="inlineStr">
        <is>
          <t>No</t>
        </is>
      </c>
      <c r="J1088" s="14" t="inlineStr">
        <is>
          <t>Catalogo</t>
        </is>
      </c>
      <c r="K1088" s="14" t="inlineStr">
        <is>
          <t>8+</t>
        </is>
      </c>
      <c r="L1088" s="14" t="inlineStr">
        <is>
          <t>https://www.libri.it/attilio-nuova-edizione</t>
        </is>
      </c>
      <c r="M1088" s="16" t="n">
        <v>17</v>
      </c>
      <c r="N1088" s="14" t="inlineStr">
        <is>
          <t>Lista titoli Logos Edizioni 2026 (PVP)</t>
        </is>
      </c>
      <c r="O1088" s="16">
        <f>IF(ISNUMBER(M1088),ROUND(M1088*(1-Condizioni!$B$2),2),"")</f>
        <v/>
      </c>
      <c r="P1088" s="17" t="inlineStr">
        <is>
          <t>No</t>
        </is>
      </c>
    </row>
    <row r="1089">
      <c r="A1089" s="14" t="inlineStr">
        <is>
          <t>Logos</t>
        </is>
      </c>
      <c r="B1089" s="14" t="inlineStr">
        <is>
          <t>Azzurro (sea Shepherd)</t>
        </is>
      </c>
      <c r="C1089" s="14" t="inlineStr">
        <is>
          <t>Alessandra Manfredi</t>
        </is>
      </c>
      <c r="D1089" s="14" t="inlineStr">
        <is>
          <t>Illustrati</t>
        </is>
      </c>
      <c r="E1089" s="14" t="inlineStr">
        <is>
          <t>da 8 anni</t>
        </is>
      </c>
      <c r="F1089" s="14" t="inlineStr">
        <is>
          <t>8+</t>
        </is>
      </c>
      <c r="G1089" s="14" t="inlineStr">
        <is>
          <t>Albo illustrato</t>
        </is>
      </c>
      <c r="H1089" s="14" t="inlineStr"/>
      <c r="I1089" s="14" t="inlineStr">
        <is>
          <t>No</t>
        </is>
      </c>
      <c r="J1089" s="14" t="inlineStr">
        <is>
          <t>Catalogo</t>
        </is>
      </c>
      <c r="K1089" s="14" t="inlineStr">
        <is>
          <t>8+</t>
        </is>
      </c>
      <c r="L1089" s="14" t="inlineStr">
        <is>
          <t>https://www.libri.it/azzurro</t>
        </is>
      </c>
      <c r="M1089" s="16" t="n">
        <v>10</v>
      </c>
      <c r="N1089" s="14" t="inlineStr">
        <is>
          <t>Lista titoli Logos Edizioni 2026 (PVP)</t>
        </is>
      </c>
      <c r="O1089" s="16">
        <f>IF(ISNUMBER(M1089),ROUND(M1089*(1-Condizioni!$B$2),2),"")</f>
        <v/>
      </c>
      <c r="P1089" s="17" t="inlineStr">
        <is>
          <t>No</t>
        </is>
      </c>
    </row>
    <row r="1090">
      <c r="A1090" s="14" t="inlineStr">
        <is>
          <t>Logos</t>
        </is>
      </c>
      <c r="B1090" s="14" t="inlineStr">
        <is>
          <t>Bella Bambina Dai Capelli Turchini</t>
        </is>
      </c>
      <c r="C1090" s="14" t="inlineStr">
        <is>
          <t>Adolfo Córdova; ill. David Álvarez</t>
        </is>
      </c>
      <c r="D1090" s="14" t="inlineStr">
        <is>
          <t>C'Era Una Volta Ancora</t>
        </is>
      </c>
      <c r="E1090" s="14" t="inlineStr">
        <is>
          <t>da 8 anni</t>
        </is>
      </c>
      <c r="F1090" s="14" t="inlineStr">
        <is>
          <t>8+</t>
        </is>
      </c>
      <c r="G1090" s="14" t="inlineStr">
        <is>
          <t>Albo illustrato</t>
        </is>
      </c>
      <c r="H1090" s="14" t="inlineStr"/>
      <c r="I1090" s="14" t="inlineStr">
        <is>
          <t>No</t>
        </is>
      </c>
      <c r="J1090" s="14" t="inlineStr">
        <is>
          <t>Catalogo</t>
        </is>
      </c>
      <c r="K1090" s="14" t="inlineStr">
        <is>
          <t>8+</t>
        </is>
      </c>
      <c r="L1090" s="14" t="inlineStr">
        <is>
          <t>https://www.libri.it/bambina-capelli-turchini</t>
        </is>
      </c>
      <c r="M1090" s="16" t="n">
        <v>20</v>
      </c>
      <c r="N1090" s="14" t="inlineStr">
        <is>
          <t>Lista titoli Logos Edizioni 2026 (PVP)</t>
        </is>
      </c>
      <c r="O1090" s="16">
        <f>IF(ISNUMBER(M1090),ROUND(M1090*(1-Condizioni!$B$2),2),"")</f>
        <v/>
      </c>
      <c r="P1090" s="17" t="inlineStr">
        <is>
          <t>Sì</t>
        </is>
      </c>
    </row>
    <row r="1091">
      <c r="A1091" s="14" t="inlineStr">
        <is>
          <t>Logos</t>
        </is>
      </c>
      <c r="B1091" s="14" t="inlineStr">
        <is>
          <t>Bestiario</t>
        </is>
      </c>
      <c r="C1091" s="14" t="inlineStr">
        <is>
          <t>Jean Fugère; ill. Stéphane Poulin</t>
        </is>
      </c>
      <c r="D1091" s="14" t="inlineStr">
        <is>
          <t>Illustrati</t>
        </is>
      </c>
      <c r="E1091" s="14" t="inlineStr">
        <is>
          <t>da 8 anni</t>
        </is>
      </c>
      <c r="F1091" s="14" t="inlineStr">
        <is>
          <t>8+</t>
        </is>
      </c>
      <c r="G1091" s="14" t="inlineStr">
        <is>
          <t>Albo illustrato</t>
        </is>
      </c>
      <c r="H1091" s="14" t="inlineStr"/>
      <c r="I1091" s="14" t="inlineStr">
        <is>
          <t>No</t>
        </is>
      </c>
      <c r="J1091" s="14" t="inlineStr">
        <is>
          <t>Catalogo</t>
        </is>
      </c>
      <c r="K1091" s="14" t="inlineStr">
        <is>
          <t>8+</t>
        </is>
      </c>
      <c r="L1091" s="14" t="inlineStr">
        <is>
          <t>https://www.libri.it/bestiario</t>
        </is>
      </c>
      <c r="M1091" s="16" t="n">
        <v>18</v>
      </c>
      <c r="N1091" s="14" t="inlineStr">
        <is>
          <t>Lista titoli Logos Edizioni 2026 (PVP)</t>
        </is>
      </c>
      <c r="O1091" s="16">
        <f>IF(ISNUMBER(M1091),ROUND(M1091*(1-Condizioni!$B$2),2),"")</f>
        <v/>
      </c>
      <c r="P1091" s="17" t="inlineStr">
        <is>
          <t>No</t>
        </is>
      </c>
    </row>
    <row r="1092">
      <c r="A1092" s="14" t="inlineStr">
        <is>
          <t>Logos</t>
        </is>
      </c>
      <c r="B1092" s="14" t="inlineStr">
        <is>
          <t>Bestiario Universale</t>
        </is>
      </c>
      <c r="C1092" s="14" t="inlineStr">
        <is>
          <t>Miguel Murugarren; ill. Javier Sáez Castán</t>
        </is>
      </c>
      <c r="D1092" s="14" t="inlineStr">
        <is>
          <t>Illustrati</t>
        </is>
      </c>
      <c r="E1092" s="14" t="inlineStr">
        <is>
          <t>da 8 anni</t>
        </is>
      </c>
      <c r="F1092" s="14" t="inlineStr">
        <is>
          <t>8+</t>
        </is>
      </c>
      <c r="G1092" s="14" t="inlineStr">
        <is>
          <t>Albo illustrato</t>
        </is>
      </c>
      <c r="H1092" s="14" t="inlineStr"/>
      <c r="I1092" s="14" t="inlineStr">
        <is>
          <t>No</t>
        </is>
      </c>
      <c r="J1092" s="14" t="inlineStr">
        <is>
          <t>Catalogo</t>
        </is>
      </c>
      <c r="K1092" s="14" t="inlineStr">
        <is>
          <t>8+</t>
        </is>
      </c>
      <c r="L1092" s="14" t="inlineStr">
        <is>
          <t>https://www.libri.it/bestiario-universale</t>
        </is>
      </c>
      <c r="M1092" s="16" t="n">
        <v>14</v>
      </c>
      <c r="N1092" s="14" t="inlineStr">
        <is>
          <t>Lista titoli Logos Edizioni 2026 (PVP)</t>
        </is>
      </c>
      <c r="O1092" s="16">
        <f>IF(ISNUMBER(M1092),ROUND(M1092*(1-Condizioni!$B$2),2),"")</f>
        <v/>
      </c>
      <c r="P1092" s="17" t="inlineStr">
        <is>
          <t>No</t>
        </is>
      </c>
    </row>
    <row r="1093">
      <c r="A1093" s="14" t="inlineStr">
        <is>
          <t>Logos</t>
        </is>
      </c>
      <c r="B1093" s="14" t="inlineStr">
        <is>
          <t>Bestiario Verticale</t>
        </is>
      </c>
      <c r="C1093" s="14" t="inlineStr">
        <is>
          <t>Miguel Murugarren; ill. Javier Sáez Castán</t>
        </is>
      </c>
      <c r="D1093" s="14" t="inlineStr">
        <is>
          <t>Illustrati</t>
        </is>
      </c>
      <c r="E1093" s="14" t="inlineStr">
        <is>
          <t>da 8 anni</t>
        </is>
      </c>
      <c r="F1093" s="14" t="inlineStr">
        <is>
          <t>8+</t>
        </is>
      </c>
      <c r="G1093" s="14" t="inlineStr">
        <is>
          <t>Albo illustrato</t>
        </is>
      </c>
      <c r="H1093" s="14" t="inlineStr"/>
      <c r="I1093" s="14" t="inlineStr">
        <is>
          <t>No</t>
        </is>
      </c>
      <c r="J1093" s="14" t="inlineStr">
        <is>
          <t>Catalogo</t>
        </is>
      </c>
      <c r="K1093" s="14" t="inlineStr">
        <is>
          <t>8+</t>
        </is>
      </c>
      <c r="L1093" s="14" t="inlineStr">
        <is>
          <t>https://www.libri.it/bestiario-verticale</t>
        </is>
      </c>
      <c r="M1093" s="16" t="n">
        <v>15</v>
      </c>
      <c r="N1093" s="14" t="inlineStr">
        <is>
          <t>Lista titoli Logos Edizioni 2026 (PVP)</t>
        </is>
      </c>
      <c r="O1093" s="16">
        <f>IF(ISNUMBER(M1093),ROUND(M1093*(1-Condizioni!$B$2),2),"")</f>
        <v/>
      </c>
      <c r="P1093" s="17" t="inlineStr">
        <is>
          <t>No</t>
        </is>
      </c>
    </row>
    <row r="1094">
      <c r="A1094" s="14" t="inlineStr">
        <is>
          <t>Logos</t>
        </is>
      </c>
      <c r="B1094" s="14" t="inlineStr">
        <is>
          <t>Bestiario delle Creature Fantastiche Messicane</t>
        </is>
      </c>
      <c r="C1094" s="14" t="inlineStr">
        <is>
          <t>Norma Muñoz Ledo; ill. Israel Barrón</t>
        </is>
      </c>
      <c r="D1094" s="14" t="inlineStr">
        <is>
          <t>Illustrati</t>
        </is>
      </c>
      <c r="E1094" s="14" t="inlineStr">
        <is>
          <t>da 8 anni</t>
        </is>
      </c>
      <c r="F1094" s="14" t="inlineStr">
        <is>
          <t>8+</t>
        </is>
      </c>
      <c r="G1094" s="14" t="inlineStr">
        <is>
          <t>Albo illustrato</t>
        </is>
      </c>
      <c r="H1094" s="14" t="inlineStr"/>
      <c r="I1094" s="14" t="inlineStr">
        <is>
          <t>No</t>
        </is>
      </c>
      <c r="J1094" s="14" t="inlineStr">
        <is>
          <t>Catalogo</t>
        </is>
      </c>
      <c r="K1094" s="14" t="inlineStr">
        <is>
          <t>8+</t>
        </is>
      </c>
      <c r="L1094" s="14" t="inlineStr">
        <is>
          <t>https://www.libri.it/bestiario-delle-creature-fantastiche-messicane</t>
        </is>
      </c>
      <c r="M1094" s="16" t="n">
        <v>16</v>
      </c>
      <c r="N1094" s="14" t="inlineStr">
        <is>
          <t>Lista titoli Logos Edizioni 2026 (PVP)</t>
        </is>
      </c>
      <c r="O1094" s="16">
        <f>IF(ISNUMBER(M1094),ROUND(M1094*(1-Condizioni!$B$2),2),"")</f>
        <v/>
      </c>
      <c r="P1094" s="17" t="inlineStr">
        <is>
          <t>No</t>
        </is>
      </c>
    </row>
    <row r="1095">
      <c r="A1095" s="14" t="inlineStr">
        <is>
          <t>Logos</t>
        </is>
      </c>
      <c r="B1095" s="14" t="inlineStr">
        <is>
          <t>Circus</t>
        </is>
      </c>
      <c r="C1095" s="14" t="inlineStr">
        <is>
          <t>Ana Juan</t>
        </is>
      </c>
      <c r="D1095" s="14" t="inlineStr">
        <is>
          <t>Illustrati</t>
        </is>
      </c>
      <c r="E1095" s="14" t="inlineStr">
        <is>
          <t>da 8 anni</t>
        </is>
      </c>
      <c r="F1095" s="14" t="inlineStr">
        <is>
          <t>8+</t>
        </is>
      </c>
      <c r="G1095" s="14" t="inlineStr">
        <is>
          <t>Albo illustrato</t>
        </is>
      </c>
      <c r="H1095" s="14" t="inlineStr"/>
      <c r="I1095" s="14" t="inlineStr">
        <is>
          <t>No</t>
        </is>
      </c>
      <c r="J1095" s="14" t="inlineStr">
        <is>
          <t>Catalogo</t>
        </is>
      </c>
      <c r="K1095" s="14" t="inlineStr">
        <is>
          <t>8+</t>
        </is>
      </c>
      <c r="L1095" s="14" t="inlineStr">
        <is>
          <t>https://www.libri.it/circus</t>
        </is>
      </c>
      <c r="M1095" s="16" t="n">
        <v>17</v>
      </c>
      <c r="N1095" s="14" t="inlineStr">
        <is>
          <t>Lista titoli Logos Edizioni 2026 (PVP)</t>
        </is>
      </c>
      <c r="O1095" s="16">
        <f>IF(ISNUMBER(M1095),ROUND(M1095*(1-Condizioni!$B$2),2),"")</f>
        <v/>
      </c>
      <c r="P1095" s="17" t="inlineStr">
        <is>
          <t>No</t>
        </is>
      </c>
    </row>
    <row r="1096">
      <c r="A1096" s="14" t="inlineStr">
        <is>
          <t>Logos</t>
        </is>
      </c>
      <c r="B1096" s="14" t="inlineStr">
        <is>
          <t>Cosimo</t>
        </is>
      </c>
      <c r="C1096" s="14" t="inlineStr">
        <is>
          <t>Roger Olmos</t>
        </is>
      </c>
      <c r="D1096" s="14" t="inlineStr">
        <is>
          <t>Illustrati</t>
        </is>
      </c>
      <c r="E1096" s="14" t="inlineStr">
        <is>
          <t>da 8 anni</t>
        </is>
      </c>
      <c r="F1096" s="14" t="inlineStr">
        <is>
          <t>8+</t>
        </is>
      </c>
      <c r="G1096" s="14" t="inlineStr">
        <is>
          <t>Albo illustrato</t>
        </is>
      </c>
      <c r="H1096" s="14" t="inlineStr"/>
      <c r="I1096" s="14" t="inlineStr">
        <is>
          <t>No</t>
        </is>
      </c>
      <c r="J1096" s="14" t="inlineStr">
        <is>
          <t>Catalogo</t>
        </is>
      </c>
      <c r="K1096" s="14" t="inlineStr">
        <is>
          <t>8+</t>
        </is>
      </c>
      <c r="L1096" s="14" t="inlineStr">
        <is>
          <t>https://www.libri.it/cosimo</t>
        </is>
      </c>
      <c r="M1096" s="16" t="n">
        <v>20</v>
      </c>
      <c r="N1096" s="14" t="inlineStr">
        <is>
          <t>Lista titoli Logos Edizioni 2026 (PVP)</t>
        </is>
      </c>
      <c r="O1096" s="16">
        <f>IF(ISNUMBER(M1096),ROUND(M1096*(1-Condizioni!$B$2),2),"")</f>
        <v/>
      </c>
      <c r="P1096" s="17" t="inlineStr">
        <is>
          <t>Sì</t>
        </is>
      </c>
    </row>
    <row r="1097">
      <c r="A1097" s="14" t="inlineStr">
        <is>
          <t>Logos</t>
        </is>
      </c>
      <c r="B1097" s="14" t="inlineStr">
        <is>
          <t>El Árbol</t>
        </is>
      </c>
      <c r="C1097" s="14" t="inlineStr">
        <is>
          <t>Nicolás Arispe</t>
        </is>
      </c>
      <c r="D1097" s="14" t="inlineStr">
        <is>
          <t>Illustrati</t>
        </is>
      </c>
      <c r="E1097" s="14" t="inlineStr">
        <is>
          <t>da 8 anni</t>
        </is>
      </c>
      <c r="F1097" s="14" t="inlineStr">
        <is>
          <t>8+</t>
        </is>
      </c>
      <c r="G1097" s="14" t="inlineStr">
        <is>
          <t>Albo illustrato</t>
        </is>
      </c>
      <c r="H1097" s="14" t="inlineStr"/>
      <c r="I1097" s="14" t="inlineStr">
        <is>
          <t>No</t>
        </is>
      </c>
      <c r="J1097" s="14" t="inlineStr">
        <is>
          <t>Catalogo</t>
        </is>
      </c>
      <c r="K1097" s="14" t="inlineStr">
        <is>
          <t>8+</t>
        </is>
      </c>
      <c r="L1097" s="14" t="inlineStr">
        <is>
          <t>https://www.libri.it/el-arbol</t>
        </is>
      </c>
      <c r="M1097" s="16" t="n">
        <v>20</v>
      </c>
      <c r="N1097" s="14" t="inlineStr">
        <is>
          <t>Lista titoli Logos Edizioni 2026 (PVP)</t>
        </is>
      </c>
      <c r="O1097" s="16">
        <f>IF(ISNUMBER(M1097),ROUND(M1097*(1-Condizioni!$B$2),2),"")</f>
        <v/>
      </c>
      <c r="P1097" s="17" t="inlineStr">
        <is>
          <t>No</t>
        </is>
      </c>
    </row>
    <row r="1098">
      <c r="A1098" s="14" t="inlineStr">
        <is>
          <t>Logos</t>
        </is>
      </c>
      <c r="B1098" s="14" t="inlineStr">
        <is>
          <t>Elizabeth &amp; Diego</t>
        </is>
      </c>
      <c r="C1098" s="14" t="inlineStr">
        <is>
          <t>Swan Meralli; ill. Arthur Du Coteau</t>
        </is>
      </c>
      <c r="D1098" s="14" t="inlineStr">
        <is>
          <t>Fumetto Ciopi</t>
        </is>
      </c>
      <c r="E1098" s="14" t="inlineStr">
        <is>
          <t>da 8 anni</t>
        </is>
      </c>
      <c r="F1098" s="14" t="inlineStr">
        <is>
          <t>8+</t>
        </is>
      </c>
      <c r="G1098" s="14" t="inlineStr">
        <is>
          <t>Graphic novel/Fumetto</t>
        </is>
      </c>
      <c r="H1098" s="14" t="inlineStr"/>
      <c r="I1098" s="14" t="inlineStr">
        <is>
          <t>No</t>
        </is>
      </c>
      <c r="J1098" s="14" t="inlineStr">
        <is>
          <t>Catalogo</t>
        </is>
      </c>
      <c r="K1098" s="14" t="inlineStr">
        <is>
          <t>8+</t>
        </is>
      </c>
      <c r="L1098" s="14" t="inlineStr">
        <is>
          <t>https://www.libri.it/elizabeth-diego</t>
        </is>
      </c>
      <c r="M1098" s="16" t="n">
        <v>16</v>
      </c>
      <c r="N1098" s="14" t="inlineStr">
        <is>
          <t>Lista titoli Logos Edizioni 2026 (PVP)</t>
        </is>
      </c>
      <c r="O1098" s="16">
        <f>IF(ISNUMBER(M1098),ROUND(M1098*(1-Condizioni!$B$2),2),"")</f>
        <v/>
      </c>
      <c r="P1098" s="17" t="inlineStr">
        <is>
          <t>No</t>
        </is>
      </c>
    </row>
    <row r="1099">
      <c r="A1099" s="14" t="inlineStr">
        <is>
          <t>Logos</t>
        </is>
      </c>
      <c r="B1099" s="14" t="inlineStr">
        <is>
          <t>Frances Vol.1</t>
        </is>
      </c>
      <c r="C1099" s="14" t="inlineStr">
        <is>
          <t>Joanna Hellgren</t>
        </is>
      </c>
      <c r="D1099" s="14" t="inlineStr">
        <is>
          <t>Fumetto</t>
        </is>
      </c>
      <c r="E1099" s="14" t="inlineStr">
        <is>
          <t>da 8 anni</t>
        </is>
      </c>
      <c r="F1099" s="14" t="inlineStr">
        <is>
          <t>8+</t>
        </is>
      </c>
      <c r="G1099" s="14" t="inlineStr">
        <is>
          <t>Graphic novel/Fumetto</t>
        </is>
      </c>
      <c r="H1099" s="14" t="inlineStr"/>
      <c r="I1099" s="14" t="inlineStr">
        <is>
          <t>No</t>
        </is>
      </c>
      <c r="J1099" s="14" t="inlineStr">
        <is>
          <t>Catalogo</t>
        </is>
      </c>
      <c r="K1099" s="14" t="inlineStr">
        <is>
          <t>8+</t>
        </is>
      </c>
      <c r="L1099" s="14" t="inlineStr">
        <is>
          <t>https://www.libri.it/frances-1</t>
        </is>
      </c>
      <c r="M1099" s="16" t="n">
        <v>17</v>
      </c>
      <c r="N1099" s="14" t="inlineStr">
        <is>
          <t>Lista titoli Logos Edizioni 2026 (PVP)</t>
        </is>
      </c>
      <c r="O1099" s="16">
        <f>IF(ISNUMBER(M1099),ROUND(M1099*(1-Condizioni!$B$2),2),"")</f>
        <v/>
      </c>
      <c r="P1099" s="17" t="inlineStr">
        <is>
          <t>No</t>
        </is>
      </c>
    </row>
    <row r="1100">
      <c r="A1100" s="14" t="inlineStr">
        <is>
          <t>Logos</t>
        </is>
      </c>
      <c r="B1100" s="14" t="inlineStr">
        <is>
          <t>Frances Vol.2</t>
        </is>
      </c>
      <c r="C1100" s="14" t="inlineStr">
        <is>
          <t>Joanna Hellgren</t>
        </is>
      </c>
      <c r="D1100" s="14" t="inlineStr">
        <is>
          <t>Fumetto</t>
        </is>
      </c>
      <c r="E1100" s="14" t="inlineStr">
        <is>
          <t>da 8 anni</t>
        </is>
      </c>
      <c r="F1100" s="14" t="inlineStr">
        <is>
          <t>8+</t>
        </is>
      </c>
      <c r="G1100" s="14" t="inlineStr">
        <is>
          <t>Graphic novel/Fumetto</t>
        </is>
      </c>
      <c r="H1100" s="14" t="inlineStr"/>
      <c r="I1100" s="14" t="inlineStr">
        <is>
          <t>No</t>
        </is>
      </c>
      <c r="J1100" s="14" t="inlineStr">
        <is>
          <t>Catalogo</t>
        </is>
      </c>
      <c r="K1100" s="14" t="inlineStr">
        <is>
          <t>8+</t>
        </is>
      </c>
      <c r="L1100" s="14" t="inlineStr">
        <is>
          <t>https://www.libri.it/frances-2</t>
        </is>
      </c>
      <c r="M1100" s="16" t="n">
        <v>19</v>
      </c>
      <c r="N1100" s="14" t="inlineStr">
        <is>
          <t>Lista titoli Logos Edizioni 2026 (PVP)</t>
        </is>
      </c>
      <c r="O1100" s="16">
        <f>IF(ISNUMBER(M1100),ROUND(M1100*(1-Condizioni!$B$2),2),"")</f>
        <v/>
      </c>
      <c r="P1100" s="17" t="inlineStr">
        <is>
          <t>No</t>
        </is>
      </c>
    </row>
    <row r="1101">
      <c r="A1101" s="14" t="inlineStr">
        <is>
          <t>Logos</t>
        </is>
      </c>
      <c r="B1101" s="14" t="inlineStr">
        <is>
          <t>Frances Vol.3</t>
        </is>
      </c>
      <c r="C1101" s="14" t="inlineStr">
        <is>
          <t>Joanna Hellgren</t>
        </is>
      </c>
      <c r="D1101" s="14" t="inlineStr">
        <is>
          <t>Fumetto</t>
        </is>
      </c>
      <c r="E1101" s="14" t="inlineStr">
        <is>
          <t>da 8 anni</t>
        </is>
      </c>
      <c r="F1101" s="14" t="inlineStr">
        <is>
          <t>8+</t>
        </is>
      </c>
      <c r="G1101" s="14" t="inlineStr">
        <is>
          <t>Graphic novel/Fumetto</t>
        </is>
      </c>
      <c r="H1101" s="14" t="inlineStr"/>
      <c r="I1101" s="14" t="inlineStr">
        <is>
          <t>No</t>
        </is>
      </c>
      <c r="J1101" s="14" t="inlineStr">
        <is>
          <t>Catalogo</t>
        </is>
      </c>
      <c r="K1101" s="14" t="inlineStr">
        <is>
          <t>8+</t>
        </is>
      </c>
      <c r="L1101" s="14" t="inlineStr">
        <is>
          <t>https://www.libri.it/frances-3</t>
        </is>
      </c>
      <c r="M1101" s="16" t="n">
        <v>21</v>
      </c>
      <c r="N1101" s="14" t="inlineStr">
        <is>
          <t>Lista titoli Logos Edizioni 2026 (PVP)</t>
        </is>
      </c>
      <c r="O1101" s="16">
        <f>IF(ISNUMBER(M1101),ROUND(M1101*(1-Condizioni!$B$2),2),"")</f>
        <v/>
      </c>
      <c r="P1101" s="17" t="inlineStr">
        <is>
          <t>No</t>
        </is>
      </c>
    </row>
    <row r="1102">
      <c r="A1102" s="14" t="inlineStr">
        <is>
          <t>Logos</t>
        </is>
      </c>
      <c r="B1102" s="14" t="inlineStr">
        <is>
          <t>Glimt</t>
        </is>
      </c>
      <c r="C1102" s="14" t="inlineStr">
        <is>
          <t>Rikke Bakman</t>
        </is>
      </c>
      <c r="D1102" s="14" t="inlineStr">
        <is>
          <t>Fumetto</t>
        </is>
      </c>
      <c r="E1102" s="14" t="inlineStr">
        <is>
          <t>da 8 anni</t>
        </is>
      </c>
      <c r="F1102" s="14" t="inlineStr">
        <is>
          <t>8+</t>
        </is>
      </c>
      <c r="G1102" s="14" t="inlineStr">
        <is>
          <t>Graphic novel/Fumetto</t>
        </is>
      </c>
      <c r="H1102" s="14" t="inlineStr"/>
      <c r="I1102" s="14" t="inlineStr">
        <is>
          <t>No</t>
        </is>
      </c>
      <c r="J1102" s="14" t="inlineStr">
        <is>
          <t>Catalogo</t>
        </is>
      </c>
      <c r="K1102" s="14" t="inlineStr">
        <is>
          <t>8+</t>
        </is>
      </c>
      <c r="L1102" s="14" t="inlineStr">
        <is>
          <t>https://www.libri.it/glimt</t>
        </is>
      </c>
      <c r="M1102" s="16" t="n">
        <v>20</v>
      </c>
      <c r="N1102" s="14" t="inlineStr">
        <is>
          <t>Lista titoli Logos Edizioni 2026 (PVP)</t>
        </is>
      </c>
      <c r="O1102" s="16">
        <f>IF(ISNUMBER(M1102),ROUND(M1102*(1-Condizioni!$B$2),2),"")</f>
        <v/>
      </c>
      <c r="P1102" s="17" t="inlineStr">
        <is>
          <t>No</t>
        </is>
      </c>
    </row>
    <row r="1103">
      <c r="A1103" s="14" t="inlineStr">
        <is>
          <t>Logos</t>
        </is>
      </c>
      <c r="B1103" s="14" t="inlineStr">
        <is>
          <t>Grindadráp (sea Shepherd)</t>
        </is>
      </c>
      <c r="C1103" s="14" t="inlineStr">
        <is>
          <t>Geert Vons; ill. Roger Olmos</t>
        </is>
      </c>
      <c r="D1103" s="14" t="inlineStr">
        <is>
          <t>Illustrati</t>
        </is>
      </c>
      <c r="E1103" s="14" t="inlineStr">
        <is>
          <t>da 8 anni</t>
        </is>
      </c>
      <c r="F1103" s="14" t="inlineStr">
        <is>
          <t>8+</t>
        </is>
      </c>
      <c r="G1103" s="14" t="inlineStr">
        <is>
          <t>Albo illustrato</t>
        </is>
      </c>
      <c r="H1103" s="14" t="inlineStr"/>
      <c r="I1103" s="14" t="inlineStr">
        <is>
          <t>No</t>
        </is>
      </c>
      <c r="J1103" s="14" t="inlineStr">
        <is>
          <t>Catalogo</t>
        </is>
      </c>
      <c r="K1103" s="14" t="inlineStr">
        <is>
          <t>8+</t>
        </is>
      </c>
      <c r="L1103" s="14" t="inlineStr">
        <is>
          <t>https://www.libri.it/grindadrap</t>
        </is>
      </c>
      <c r="M1103" s="16" t="n">
        <v>10</v>
      </c>
      <c r="N1103" s="14" t="inlineStr">
        <is>
          <t>Lista titoli Logos Edizioni 2026 (PVP)</t>
        </is>
      </c>
      <c r="O1103" s="16">
        <f>IF(ISNUMBER(M1103),ROUND(M1103*(1-Condizioni!$B$2),2),"")</f>
        <v/>
      </c>
      <c r="P1103" s="17" t="inlineStr">
        <is>
          <t>No</t>
        </is>
      </c>
    </row>
    <row r="1104">
      <c r="A1104" s="14" t="inlineStr">
        <is>
          <t>Logos</t>
        </is>
      </c>
      <c r="B1104" s="14" t="inlineStr">
        <is>
          <t>Happy Meat</t>
        </is>
      </c>
      <c r="C1104" s="14" t="inlineStr">
        <is>
          <t>Roger Olmos</t>
        </is>
      </c>
      <c r="D1104" s="14" t="inlineStr">
        <is>
          <t>Illustrati</t>
        </is>
      </c>
      <c r="E1104" s="14" t="inlineStr">
        <is>
          <t>da 8 anni</t>
        </is>
      </c>
      <c r="F1104" s="14" t="inlineStr">
        <is>
          <t>8+</t>
        </is>
      </c>
      <c r="G1104" s="14" t="inlineStr">
        <is>
          <t>Albo illustrato</t>
        </is>
      </c>
      <c r="H1104" s="14" t="inlineStr"/>
      <c r="I1104" s="14" t="inlineStr">
        <is>
          <t>No</t>
        </is>
      </c>
      <c r="J1104" s="14" t="inlineStr">
        <is>
          <t>Catalogo</t>
        </is>
      </c>
      <c r="K1104" s="14" t="inlineStr">
        <is>
          <t>8+</t>
        </is>
      </c>
      <c r="L1104" s="14" t="inlineStr">
        <is>
          <t>https://www.libri.it/happy-meat</t>
        </is>
      </c>
      <c r="M1104" s="16" t="n">
        <v>20</v>
      </c>
      <c r="N1104" s="14" t="inlineStr">
        <is>
          <t>Lista titoli Logos Edizioni 2026 (PVP)</t>
        </is>
      </c>
      <c r="O1104" s="16">
        <f>IF(ISNUMBER(M1104),ROUND(M1104*(1-Condizioni!$B$2),2),"")</f>
        <v/>
      </c>
      <c r="P1104" s="17" t="inlineStr">
        <is>
          <t>No</t>
        </is>
      </c>
    </row>
    <row r="1105">
      <c r="A1105" s="14" t="inlineStr">
        <is>
          <t>Logos</t>
        </is>
      </c>
      <c r="B1105" s="14" t="inlineStr">
        <is>
          <t>Henrietta e le Stelle</t>
        </is>
      </c>
      <c r="C1105" s="14" t="inlineStr">
        <is>
          <t>Anna Paolini</t>
        </is>
      </c>
      <c r="D1105" s="14" t="inlineStr">
        <is>
          <t>Illustrati</t>
        </is>
      </c>
      <c r="E1105" s="14" t="inlineStr">
        <is>
          <t>da 8 anni</t>
        </is>
      </c>
      <c r="F1105" s="14" t="inlineStr">
        <is>
          <t>8+</t>
        </is>
      </c>
      <c r="G1105" s="14" t="inlineStr">
        <is>
          <t>Albo illustrato</t>
        </is>
      </c>
      <c r="H1105" s="14" t="inlineStr"/>
      <c r="I1105" s="14" t="inlineStr">
        <is>
          <t>No</t>
        </is>
      </c>
      <c r="J1105" s="14" t="inlineStr">
        <is>
          <t>Catalogo</t>
        </is>
      </c>
      <c r="K1105" s="14" t="inlineStr">
        <is>
          <t>8+</t>
        </is>
      </c>
      <c r="L1105" s="14" t="inlineStr">
        <is>
          <t>https://www.libri.it/henrietta-e-le-stelle</t>
        </is>
      </c>
      <c r="M1105" s="16" t="n">
        <v>18</v>
      </c>
      <c r="N1105" s="14" t="inlineStr">
        <is>
          <t>Lista titoli Logos Edizioni 2026 (PVP)</t>
        </is>
      </c>
      <c r="O1105" s="16">
        <f>IF(ISNUMBER(M1105),ROUND(M1105*(1-Condizioni!$B$2),2),"")</f>
        <v/>
      </c>
      <c r="P1105" s="17" t="inlineStr">
        <is>
          <t>No</t>
        </is>
      </c>
    </row>
    <row r="1106">
      <c r="A1106" s="14" t="inlineStr">
        <is>
          <t>Logos</t>
        </is>
      </c>
      <c r="B1106" s="14" t="inlineStr">
        <is>
          <t>Il Cimitero delle Parole Dolci</t>
        </is>
      </c>
      <c r="C1106" s="14" t="inlineStr">
        <is>
          <t>Agnès Ledig; ill. Frédéric Pillot</t>
        </is>
      </c>
      <c r="D1106" s="14" t="inlineStr">
        <is>
          <t>Albo Ciopi</t>
        </is>
      </c>
      <c r="E1106" s="14" t="inlineStr">
        <is>
          <t>da 8 anni</t>
        </is>
      </c>
      <c r="F1106" s="14" t="inlineStr">
        <is>
          <t>8+</t>
        </is>
      </c>
      <c r="G1106" s="14" t="inlineStr">
        <is>
          <t>Albo illustrato</t>
        </is>
      </c>
      <c r="H1106" s="14" t="inlineStr"/>
      <c r="I1106" s="14" t="inlineStr">
        <is>
          <t>No</t>
        </is>
      </c>
      <c r="J1106" s="14" t="inlineStr">
        <is>
          <t>Catalogo</t>
        </is>
      </c>
      <c r="K1106" s="14" t="inlineStr">
        <is>
          <t>8+</t>
        </is>
      </c>
      <c r="L1106" s="14" t="inlineStr">
        <is>
          <t>https://www.libri.it/cimitero-parole-dolci</t>
        </is>
      </c>
      <c r="M1106" s="16" t="n">
        <v>18</v>
      </c>
      <c r="N1106" s="14" t="inlineStr">
        <is>
          <t>Lista titoli Logos Edizioni 2026 (PVP)</t>
        </is>
      </c>
      <c r="O1106" s="16">
        <f>IF(ISNUMBER(M1106),ROUND(M1106*(1-Condizioni!$B$2),2),"")</f>
        <v/>
      </c>
      <c r="P1106" s="17" t="inlineStr">
        <is>
          <t>No</t>
        </is>
      </c>
    </row>
    <row r="1107">
      <c r="A1107" s="14" t="inlineStr">
        <is>
          <t>Logos</t>
        </is>
      </c>
      <c r="B1107" s="14" t="inlineStr">
        <is>
          <t>Il Fantasma del Circo d’Inverno</t>
        </is>
      </c>
      <c r="C1107" s="14" t="inlineStr">
        <is>
          <t>Fred Bernard; ill. François Roca</t>
        </is>
      </c>
      <c r="D1107" s="14" t="inlineStr">
        <is>
          <t>Albo Ciopi</t>
        </is>
      </c>
      <c r="E1107" s="14" t="inlineStr">
        <is>
          <t>da 8 anni</t>
        </is>
      </c>
      <c r="F1107" s="14" t="inlineStr">
        <is>
          <t>8+</t>
        </is>
      </c>
      <c r="G1107" s="14" t="inlineStr">
        <is>
          <t>Albo illustrato</t>
        </is>
      </c>
      <c r="H1107" s="14" t="inlineStr"/>
      <c r="I1107" s="14" t="inlineStr">
        <is>
          <t>No</t>
        </is>
      </c>
      <c r="J1107" s="14" t="inlineStr">
        <is>
          <t>Catalogo</t>
        </is>
      </c>
      <c r="K1107" s="14" t="inlineStr">
        <is>
          <t>8+</t>
        </is>
      </c>
      <c r="L1107" s="14" t="inlineStr">
        <is>
          <t>https://www.libri.it/fantasma-del-circo-d-inverno</t>
        </is>
      </c>
      <c r="M1107" s="16" t="n">
        <v>18</v>
      </c>
      <c r="N1107" s="14" t="inlineStr">
        <is>
          <t>Lista titoli Logos Edizioni 2026 (PVP)</t>
        </is>
      </c>
      <c r="O1107" s="16">
        <f>IF(ISNUMBER(M1107),ROUND(M1107*(1-Condizioni!$B$2),2),"")</f>
        <v/>
      </c>
      <c r="P1107" s="17" t="inlineStr">
        <is>
          <t>No</t>
        </is>
      </c>
    </row>
    <row r="1108">
      <c r="A1108" s="14" t="inlineStr">
        <is>
          <t>Logos</t>
        </is>
      </c>
      <c r="B1108" s="14" t="inlineStr">
        <is>
          <t>Il Giardino Segreto Vol. 1</t>
        </is>
      </c>
      <c r="C1108" s="14" t="inlineStr">
        <is>
          <t>Maud Begon</t>
        </is>
      </c>
      <c r="D1108" s="14" t="inlineStr">
        <is>
          <t>Fumetto Ciopi</t>
        </is>
      </c>
      <c r="E1108" s="14" t="inlineStr">
        <is>
          <t>da 8 anni</t>
        </is>
      </c>
      <c r="F1108" s="14" t="inlineStr">
        <is>
          <t>8+</t>
        </is>
      </c>
      <c r="G1108" s="14" t="inlineStr">
        <is>
          <t>Graphic novel/Fumetto</t>
        </is>
      </c>
      <c r="H1108" s="14" t="inlineStr"/>
      <c r="I1108" s="14" t="inlineStr">
        <is>
          <t>No</t>
        </is>
      </c>
      <c r="J1108" s="14" t="inlineStr">
        <is>
          <t>Catalogo</t>
        </is>
      </c>
      <c r="K1108" s="14" t="inlineStr">
        <is>
          <t>8+</t>
        </is>
      </c>
      <c r="L1108" s="14" t="inlineStr">
        <is>
          <t>https://www.libri.it/il-giardino-segreto-1</t>
        </is>
      </c>
      <c r="M1108" s="16" t="n">
        <v>20</v>
      </c>
      <c r="N1108" s="14" t="inlineStr">
        <is>
          <t>Lista titoli Logos Edizioni 2026 (PVP)</t>
        </is>
      </c>
      <c r="O1108" s="16">
        <f>IF(ISNUMBER(M1108),ROUND(M1108*(1-Condizioni!$B$2),2),"")</f>
        <v/>
      </c>
      <c r="P1108" s="17" t="inlineStr">
        <is>
          <t>No</t>
        </is>
      </c>
    </row>
    <row r="1109">
      <c r="A1109" s="14" t="inlineStr">
        <is>
          <t>Logos</t>
        </is>
      </c>
      <c r="B1109" s="14" t="inlineStr">
        <is>
          <t>Il Giardino Segreto Vol. 2</t>
        </is>
      </c>
      <c r="C1109" s="14" t="inlineStr">
        <is>
          <t>Maud Begon</t>
        </is>
      </c>
      <c r="D1109" s="14" t="inlineStr">
        <is>
          <t>Fumetto Ciopi</t>
        </is>
      </c>
      <c r="E1109" s="14" t="inlineStr">
        <is>
          <t>da 8 anni</t>
        </is>
      </c>
      <c r="F1109" s="14" t="inlineStr">
        <is>
          <t>8+</t>
        </is>
      </c>
      <c r="G1109" s="14" t="inlineStr">
        <is>
          <t>Graphic novel/Fumetto</t>
        </is>
      </c>
      <c r="H1109" s="14" t="inlineStr"/>
      <c r="I1109" s="14" t="inlineStr">
        <is>
          <t>No</t>
        </is>
      </c>
      <c r="J1109" s="14" t="inlineStr">
        <is>
          <t>Catalogo</t>
        </is>
      </c>
      <c r="K1109" s="14" t="inlineStr">
        <is>
          <t>8+</t>
        </is>
      </c>
      <c r="L1109" s="14" t="inlineStr">
        <is>
          <t>https://www.libri.it/il-giardino-segreto-2</t>
        </is>
      </c>
      <c r="M1109" s="16" t="n">
        <v>20</v>
      </c>
      <c r="N1109" s="14" t="inlineStr">
        <is>
          <t>Lista titoli Logos Edizioni 2026 (PVP)</t>
        </is>
      </c>
      <c r="O1109" s="16">
        <f>IF(ISNUMBER(M1109),ROUND(M1109*(1-Condizioni!$B$2),2),"")</f>
        <v/>
      </c>
      <c r="P1109" s="17" t="inlineStr">
        <is>
          <t>No</t>
        </is>
      </c>
    </row>
    <row r="1110">
      <c r="A1110" s="14" t="inlineStr">
        <is>
          <t>Logos</t>
        </is>
      </c>
      <c r="B1110" s="14" t="inlineStr">
        <is>
          <t>Il Libro Sacro</t>
        </is>
      </c>
      <c r="C1110" s="14" t="inlineStr">
        <is>
          <t>Nicolás Arispe</t>
        </is>
      </c>
      <c r="D1110" s="14" t="inlineStr">
        <is>
          <t>Illustrati</t>
        </is>
      </c>
      <c r="E1110" s="14" t="inlineStr">
        <is>
          <t>da 8 anni</t>
        </is>
      </c>
      <c r="F1110" s="14" t="inlineStr">
        <is>
          <t>8+</t>
        </is>
      </c>
      <c r="G1110" s="14" t="inlineStr">
        <is>
          <t>Albo illustrato</t>
        </is>
      </c>
      <c r="H1110" s="14" t="inlineStr"/>
      <c r="I1110" s="14" t="inlineStr">
        <is>
          <t>No</t>
        </is>
      </c>
      <c r="J1110" s="14" t="inlineStr">
        <is>
          <t>Catalogo</t>
        </is>
      </c>
      <c r="K1110" s="14" t="inlineStr">
        <is>
          <t>8+</t>
        </is>
      </c>
      <c r="L1110" s="14" t="inlineStr">
        <is>
          <t>https://www.libri.it/il-libro-sacro</t>
        </is>
      </c>
      <c r="M1110" s="16" t="n">
        <v>15</v>
      </c>
      <c r="N1110" s="14" t="inlineStr">
        <is>
          <t>Lista titoli Logos Edizioni 2026 (PVP)</t>
        </is>
      </c>
      <c r="O1110" s="16">
        <f>IF(ISNUMBER(M1110),ROUND(M1110*(1-Condizioni!$B$2),2),"")</f>
        <v/>
      </c>
      <c r="P1110" s="17" t="inlineStr">
        <is>
          <t>No</t>
        </is>
      </c>
    </row>
    <row r="1111">
      <c r="A1111" s="14" t="inlineStr">
        <is>
          <t>Logos</t>
        </is>
      </c>
      <c r="B1111" s="14" t="inlineStr">
        <is>
          <t>Il Libro della Flora Imprudente</t>
        </is>
      </c>
      <c r="C1111" s="14" t="inlineStr">
        <is>
          <t>Claudio Romo</t>
        </is>
      </c>
      <c r="D1111" s="14" t="inlineStr">
        <is>
          <t>Illustrati</t>
        </is>
      </c>
      <c r="E1111" s="14" t="inlineStr">
        <is>
          <t>da 8 anni</t>
        </is>
      </c>
      <c r="F1111" s="14" t="inlineStr">
        <is>
          <t>8+</t>
        </is>
      </c>
      <c r="G1111" s="14" t="inlineStr">
        <is>
          <t>Albo illustrato</t>
        </is>
      </c>
      <c r="H1111" s="14" t="inlineStr"/>
      <c r="I1111" s="14" t="inlineStr">
        <is>
          <t>No</t>
        </is>
      </c>
      <c r="J1111" s="14" t="inlineStr">
        <is>
          <t>Catalogo</t>
        </is>
      </c>
      <c r="K1111" s="14" t="inlineStr">
        <is>
          <t>8+</t>
        </is>
      </c>
      <c r="L1111" s="14" t="inlineStr">
        <is>
          <t>https://www.libri.it/flora-imprudente</t>
        </is>
      </c>
      <c r="M1111" s="16" t="n">
        <v>18</v>
      </c>
      <c r="N1111" s="14" t="inlineStr">
        <is>
          <t>Lista titoli Logos Edizioni 2026 (PVP)</t>
        </is>
      </c>
      <c r="O1111" s="16">
        <f>IF(ISNUMBER(M1111),ROUND(M1111*(1-Condizioni!$B$2),2),"")</f>
        <v/>
      </c>
      <c r="P1111" s="17" t="inlineStr">
        <is>
          <t>No</t>
        </is>
      </c>
    </row>
    <row r="1112">
      <c r="A1112" s="14" t="inlineStr">
        <is>
          <t>Logos</t>
        </is>
      </c>
      <c r="B1112" s="14" t="inlineStr">
        <is>
          <t>Il Pompiere di Lilliputia</t>
        </is>
      </c>
      <c r="C1112" s="14" t="inlineStr">
        <is>
          <t>Fred Bernard; ill. François Roca</t>
        </is>
      </c>
      <c r="D1112" s="14" t="inlineStr">
        <is>
          <t>Albo Ciopi</t>
        </is>
      </c>
      <c r="E1112" s="14" t="inlineStr">
        <is>
          <t>da 8 anni</t>
        </is>
      </c>
      <c r="F1112" s="14" t="inlineStr">
        <is>
          <t>8+</t>
        </is>
      </c>
      <c r="G1112" s="14" t="inlineStr">
        <is>
          <t>Albo illustrato</t>
        </is>
      </c>
      <c r="H1112" s="14" t="inlineStr"/>
      <c r="I1112" s="14" t="inlineStr">
        <is>
          <t>No</t>
        </is>
      </c>
      <c r="J1112" s="14" t="inlineStr">
        <is>
          <t>Catalogo</t>
        </is>
      </c>
      <c r="K1112" s="14" t="inlineStr">
        <is>
          <t>8+</t>
        </is>
      </c>
      <c r="L1112" s="14" t="inlineStr">
        <is>
          <t>https://www.libri.it/il-pompiere-di-lilliputia</t>
        </is>
      </c>
      <c r="M1112" s="16" t="n">
        <v>18</v>
      </c>
      <c r="N1112" s="14" t="inlineStr">
        <is>
          <t>Lista titoli Logos Edizioni 2026 (PVP)</t>
        </is>
      </c>
      <c r="O1112" s="16">
        <f>IF(ISNUMBER(M1112),ROUND(M1112*(1-Condizioni!$B$2),2),"")</f>
        <v/>
      </c>
      <c r="P1112" s="17" t="inlineStr">
        <is>
          <t>No</t>
        </is>
      </c>
    </row>
    <row r="1113">
      <c r="A1113" s="14" t="inlineStr">
        <is>
          <t>Logos</t>
        </is>
      </c>
      <c r="B1113" s="14" t="inlineStr">
        <is>
          <t>Il Pozzo dei Topi</t>
        </is>
      </c>
      <c r="C1113" s="14" t="inlineStr">
        <is>
          <t>Pascuala Corona; ill. David Daniel Álvarez</t>
        </is>
      </c>
      <c r="D1113" s="14" t="inlineStr">
        <is>
          <t>Albo Ciopi</t>
        </is>
      </c>
      <c r="E1113" s="14" t="inlineStr">
        <is>
          <t>da 8 anni</t>
        </is>
      </c>
      <c r="F1113" s="14" t="inlineStr">
        <is>
          <t>8+</t>
        </is>
      </c>
      <c r="G1113" s="14" t="inlineStr">
        <is>
          <t>Albo illustrato</t>
        </is>
      </c>
      <c r="H1113" s="14" t="inlineStr"/>
      <c r="I1113" s="14" t="inlineStr">
        <is>
          <t>No</t>
        </is>
      </c>
      <c r="J1113" s="14" t="inlineStr">
        <is>
          <t>Catalogo</t>
        </is>
      </c>
      <c r="K1113" s="14" t="inlineStr">
        <is>
          <t>8+</t>
        </is>
      </c>
      <c r="L1113" s="14" t="inlineStr">
        <is>
          <t>https://www.libri.it/il-pozzo-dei-topi</t>
        </is>
      </c>
      <c r="M1113" s="16" t="n">
        <v>15</v>
      </c>
      <c r="N1113" s="14" t="inlineStr">
        <is>
          <t>Lista titoli Logos Edizioni 2026 (PVP)</t>
        </is>
      </c>
      <c r="O1113" s="16">
        <f>IF(ISNUMBER(M1113),ROUND(M1113*(1-Condizioni!$B$2),2),"")</f>
        <v/>
      </c>
      <c r="P1113" s="17" t="inlineStr">
        <is>
          <t>No</t>
        </is>
      </c>
    </row>
    <row r="1114">
      <c r="A1114" s="14" t="inlineStr">
        <is>
          <t>Logos</t>
        </is>
      </c>
      <c r="B1114" s="14" t="inlineStr">
        <is>
          <t>Il Quaderno degli Incubi</t>
        </is>
      </c>
      <c r="C1114" s="14" t="inlineStr">
        <is>
          <t>Ricardo Chávez Castañeda; ill. Israel Barrón</t>
        </is>
      </c>
      <c r="D1114" s="14" t="inlineStr">
        <is>
          <t>Albo Ciopi</t>
        </is>
      </c>
      <c r="E1114" s="14" t="inlineStr">
        <is>
          <t>da 8 anni</t>
        </is>
      </c>
      <c r="F1114" s="14" t="inlineStr">
        <is>
          <t>8+</t>
        </is>
      </c>
      <c r="G1114" s="14" t="inlineStr">
        <is>
          <t>Albo illustrato</t>
        </is>
      </c>
      <c r="H1114" s="14" t="inlineStr"/>
      <c r="I1114" s="14" t="inlineStr">
        <is>
          <t>No</t>
        </is>
      </c>
      <c r="J1114" s="14" t="inlineStr">
        <is>
          <t>Catalogo</t>
        </is>
      </c>
      <c r="K1114" s="14" t="inlineStr">
        <is>
          <t>8+</t>
        </is>
      </c>
      <c r="L1114" s="14" t="inlineStr">
        <is>
          <t>https://www.libri.it/il-quaderno-degli-incubi</t>
        </is>
      </c>
      <c r="M1114" s="16" t="n">
        <v>15</v>
      </c>
      <c r="N1114" s="14" t="inlineStr">
        <is>
          <t>Lista titoli Logos Edizioni 2026 (PVP)</t>
        </is>
      </c>
      <c r="O1114" s="16">
        <f>IF(ISNUMBER(M1114),ROUND(M1114*(1-Condizioni!$B$2),2),"")</f>
        <v/>
      </c>
      <c r="P1114" s="17" t="inlineStr">
        <is>
          <t>No</t>
        </is>
      </c>
    </row>
    <row r="1115">
      <c r="A1115" s="14" t="inlineStr">
        <is>
          <t>Logos</t>
        </is>
      </c>
      <c r="B1115" s="14" t="inlineStr">
        <is>
          <t>Il Richiamo della Foresta</t>
        </is>
      </c>
      <c r="C1115" s="14" t="inlineStr">
        <is>
          <t>Roger Olmos</t>
        </is>
      </c>
      <c r="D1115" s="14" t="inlineStr">
        <is>
          <t>Classici Della Ciopi</t>
        </is>
      </c>
      <c r="E1115" s="14" t="inlineStr">
        <is>
          <t>da 8 anni</t>
        </is>
      </c>
      <c r="F1115" s="14" t="inlineStr">
        <is>
          <t>8+</t>
        </is>
      </c>
      <c r="G1115" s="14" t="inlineStr">
        <is>
          <t>Albo illustrato</t>
        </is>
      </c>
      <c r="H1115" s="14" t="inlineStr"/>
      <c r="I1115" s="14" t="inlineStr">
        <is>
          <t>No</t>
        </is>
      </c>
      <c r="J1115" s="14" t="inlineStr">
        <is>
          <t>Catalogo</t>
        </is>
      </c>
      <c r="K1115" s="14" t="inlineStr">
        <is>
          <t>8+</t>
        </is>
      </c>
      <c r="L1115" s="14" t="inlineStr">
        <is>
          <t>https://www.libri.it/il-richiamo-della-foresta-roger-olmos</t>
        </is>
      </c>
      <c r="M1115" s="16" t="n">
        <v>14</v>
      </c>
      <c r="N1115" s="14" t="inlineStr">
        <is>
          <t>Lista titoli Logos Edizioni 2026 (PVP)</t>
        </is>
      </c>
      <c r="O1115" s="16">
        <f>IF(ISNUMBER(M1115),ROUND(M1115*(1-Condizioni!$B$2),2),"")</f>
        <v/>
      </c>
      <c r="P1115" s="17" t="inlineStr">
        <is>
          <t>No</t>
        </is>
      </c>
    </row>
    <row r="1116">
      <c r="A1116" s="14" t="inlineStr">
        <is>
          <t>Logos</t>
        </is>
      </c>
      <c r="B1116" s="14" t="inlineStr">
        <is>
          <t>Il Signor Coccodrillo Ha Molta Fame</t>
        </is>
      </c>
      <c r="C1116" s="14" t="inlineStr">
        <is>
          <t>Joann Sfar</t>
        </is>
      </c>
      <c r="D1116" s="14" t="inlineStr">
        <is>
          <t>Fumetto Ciopi</t>
        </is>
      </c>
      <c r="E1116" s="14" t="inlineStr">
        <is>
          <t>da 8 anni</t>
        </is>
      </c>
      <c r="F1116" s="14" t="inlineStr">
        <is>
          <t>8+</t>
        </is>
      </c>
      <c r="G1116" s="14" t="inlineStr">
        <is>
          <t>Graphic novel/Fumetto</t>
        </is>
      </c>
      <c r="H1116" s="14" t="inlineStr"/>
      <c r="I1116" s="14" t="inlineStr">
        <is>
          <t>No</t>
        </is>
      </c>
      <c r="J1116" s="14" t="inlineStr">
        <is>
          <t>Catalogo</t>
        </is>
      </c>
      <c r="K1116" s="14" t="inlineStr">
        <is>
          <t>8+</t>
        </is>
      </c>
      <c r="L1116" s="14" t="inlineStr">
        <is>
          <t>https://www.libri.it/il-signor-coccodrillo-ha-molta-fame</t>
        </is>
      </c>
      <c r="M1116" s="16" t="n">
        <v>13</v>
      </c>
      <c r="N1116" s="14" t="inlineStr">
        <is>
          <t>Lista titoli Logos Edizioni 2026 (PVP)</t>
        </is>
      </c>
      <c r="O1116" s="16">
        <f>IF(ISNUMBER(M1116),ROUND(M1116*(1-Condizioni!$B$2),2),"")</f>
        <v/>
      </c>
      <c r="P1116" s="17" t="inlineStr">
        <is>
          <t>No</t>
        </is>
      </c>
    </row>
    <row r="1117">
      <c r="A1117" s="14" t="inlineStr">
        <is>
          <t>Logos</t>
        </is>
      </c>
      <c r="B1117" s="14" t="inlineStr">
        <is>
          <t>Immagina di Essere Qui Anche Tu</t>
        </is>
      </c>
      <c r="C1117" s="14" t="inlineStr">
        <is>
          <t>Sara d'Angelo; ill. Alessandra Manfredi</t>
        </is>
      </c>
      <c r="D1117" s="14" t="inlineStr">
        <is>
          <t>Illustrati</t>
        </is>
      </c>
      <c r="E1117" s="14" t="inlineStr">
        <is>
          <t>da 8 anni</t>
        </is>
      </c>
      <c r="F1117" s="14" t="inlineStr">
        <is>
          <t>8+</t>
        </is>
      </c>
      <c r="G1117" s="14" t="inlineStr">
        <is>
          <t>Albo illustrato</t>
        </is>
      </c>
      <c r="H1117" s="14" t="inlineStr"/>
      <c r="I1117" s="14" t="inlineStr">
        <is>
          <t>No</t>
        </is>
      </c>
      <c r="J1117" s="14" t="inlineStr">
        <is>
          <t>Catalogo</t>
        </is>
      </c>
      <c r="K1117" s="14" t="inlineStr">
        <is>
          <t>8+</t>
        </is>
      </c>
      <c r="L1117" s="14" t="inlineStr">
        <is>
          <t>https://www.libri.it/immagina-di-essere-qui-anche-tu</t>
        </is>
      </c>
      <c r="M1117" s="16" t="n">
        <v>18</v>
      </c>
      <c r="N1117" s="14" t="inlineStr">
        <is>
          <t>Lista titoli Logos Edizioni 2026 (PVP)</t>
        </is>
      </c>
      <c r="O1117" s="16">
        <f>IF(ISNUMBER(M1117),ROUND(M1117*(1-Condizioni!$B$2),2),"")</f>
        <v/>
      </c>
      <c r="P1117" s="17" t="inlineStr">
        <is>
          <t>No</t>
        </is>
      </c>
    </row>
    <row r="1118">
      <c r="A1118" s="14" t="inlineStr">
        <is>
          <t>Logos</t>
        </is>
      </c>
      <c r="B1118" s="14" t="inlineStr">
        <is>
          <t>Jack London</t>
        </is>
      </c>
      <c r="C1118" s="14" t="inlineStr">
        <is>
          <t>Nicolás Arispe</t>
        </is>
      </c>
      <c r="D1118" s="14" t="inlineStr">
        <is>
          <t>Illustrati</t>
        </is>
      </c>
      <c r="E1118" s="14" t="inlineStr">
        <is>
          <t>da 8 anni</t>
        </is>
      </c>
      <c r="F1118" s="14" t="inlineStr">
        <is>
          <t>8+</t>
        </is>
      </c>
      <c r="G1118" s="14" t="inlineStr">
        <is>
          <t>Albo illustrato</t>
        </is>
      </c>
      <c r="H1118" s="14" t="inlineStr"/>
      <c r="I1118" s="14" t="inlineStr">
        <is>
          <t>No</t>
        </is>
      </c>
      <c r="J1118" s="14" t="inlineStr">
        <is>
          <t>Catalogo</t>
        </is>
      </c>
      <c r="K1118" s="14" t="inlineStr">
        <is>
          <t>8+</t>
        </is>
      </c>
      <c r="L1118" s="14" t="inlineStr">
        <is>
          <t>https://www.libri.it/jack-london</t>
        </is>
      </c>
      <c r="M1118" s="16" t="n">
        <v>19</v>
      </c>
      <c r="N1118" s="14" t="inlineStr">
        <is>
          <t>Lista titoli Logos Edizioni 2026 (PVP)</t>
        </is>
      </c>
      <c r="O1118" s="16">
        <f>IF(ISNUMBER(M1118),ROUND(M1118*(1-Condizioni!$B$2),2),"")</f>
        <v/>
      </c>
      <c r="P1118" s="17" t="inlineStr">
        <is>
          <t>No</t>
        </is>
      </c>
    </row>
    <row r="1119">
      <c r="A1119" s="14" t="inlineStr">
        <is>
          <t>Logos</t>
        </is>
      </c>
      <c r="B1119" s="14" t="inlineStr">
        <is>
          <t>Jumanji</t>
        </is>
      </c>
      <c r="C1119" s="14" t="inlineStr">
        <is>
          <t>Chris Van Allsburg</t>
        </is>
      </c>
      <c r="D1119" s="14" t="inlineStr">
        <is>
          <t>Albo Ciopi</t>
        </is>
      </c>
      <c r="E1119" s="14" t="inlineStr">
        <is>
          <t>da 8 anni</t>
        </is>
      </c>
      <c r="F1119" s="14" t="inlineStr">
        <is>
          <t>8+</t>
        </is>
      </c>
      <c r="G1119" s="14" t="inlineStr">
        <is>
          <t>Albo illustrato</t>
        </is>
      </c>
      <c r="H1119" s="14" t="inlineStr"/>
      <c r="I1119" s="14" t="inlineStr">
        <is>
          <t>No</t>
        </is>
      </c>
      <c r="J1119" s="14" t="inlineStr">
        <is>
          <t>Catalogo</t>
        </is>
      </c>
      <c r="K1119" s="14" t="inlineStr">
        <is>
          <t>8+</t>
        </is>
      </c>
      <c r="L1119" s="14" t="inlineStr">
        <is>
          <t>https://www.libri.it/jumanji</t>
        </is>
      </c>
      <c r="M1119" s="16" t="n">
        <v>16</v>
      </c>
      <c r="N1119" s="14" t="inlineStr">
        <is>
          <t>Lista titoli Logos Edizioni 2026 (PVP)</t>
        </is>
      </c>
      <c r="O1119" s="16">
        <f>IF(ISNUMBER(M1119),ROUND(M1119*(1-Condizioni!$B$2),2),"")</f>
        <v/>
      </c>
      <c r="P1119" s="17" t="inlineStr">
        <is>
          <t>No</t>
        </is>
      </c>
    </row>
    <row r="1120">
      <c r="A1120" s="14" t="inlineStr">
        <is>
          <t>Logos</t>
        </is>
      </c>
      <c r="B1120" s="14" t="inlineStr">
        <is>
          <t>King Kong</t>
        </is>
      </c>
      <c r="C1120" s="14" t="inlineStr">
        <is>
          <t>Fred Bernard; ill. François Roca</t>
        </is>
      </c>
      <c r="D1120" s="14" t="inlineStr">
        <is>
          <t>Albo Ciopi</t>
        </is>
      </c>
      <c r="E1120" s="14" t="inlineStr">
        <is>
          <t>da 8 anni</t>
        </is>
      </c>
      <c r="F1120" s="14" t="inlineStr">
        <is>
          <t>8+</t>
        </is>
      </c>
      <c r="G1120" s="14" t="inlineStr">
        <is>
          <t>Albo illustrato</t>
        </is>
      </c>
      <c r="H1120" s="14" t="inlineStr"/>
      <c r="I1120" s="14" t="inlineStr">
        <is>
          <t>No</t>
        </is>
      </c>
      <c r="J1120" s="14" t="inlineStr">
        <is>
          <t>Catalogo</t>
        </is>
      </c>
      <c r="K1120" s="14" t="inlineStr">
        <is>
          <t>8+</t>
        </is>
      </c>
      <c r="L1120" s="14" t="inlineStr">
        <is>
          <t>https://www.libri.it/king-kong</t>
        </is>
      </c>
      <c r="M1120" s="16" t="n">
        <v>19.5</v>
      </c>
      <c r="N1120" s="14" t="inlineStr">
        <is>
          <t>Lista titoli Logos Edizioni 2026 (PVP)</t>
        </is>
      </c>
      <c r="O1120" s="16">
        <f>IF(ISNUMBER(M1120),ROUND(M1120*(1-Condizioni!$B$2),2),"")</f>
        <v/>
      </c>
      <c r="P1120" s="17" t="inlineStr">
        <is>
          <t>No</t>
        </is>
      </c>
    </row>
    <row r="1121">
      <c r="A1121" s="14" t="inlineStr">
        <is>
          <t>Logos</t>
        </is>
      </c>
      <c r="B1121" s="14" t="inlineStr">
        <is>
          <t>La Bianchina</t>
        </is>
      </c>
      <c r="C1121" s="14" t="inlineStr">
        <is>
          <t>Nicolás Arispe</t>
        </is>
      </c>
      <c r="D1121" s="14" t="inlineStr">
        <is>
          <t>Illustrati</t>
        </is>
      </c>
      <c r="E1121" s="14" t="inlineStr">
        <is>
          <t>da 8 anni</t>
        </is>
      </c>
      <c r="F1121" s="14" t="inlineStr">
        <is>
          <t>8+</t>
        </is>
      </c>
      <c r="G1121" s="14" t="inlineStr">
        <is>
          <t>Albo illustrato</t>
        </is>
      </c>
      <c r="H1121" s="14" t="inlineStr"/>
      <c r="I1121" s="14" t="inlineStr">
        <is>
          <t>No</t>
        </is>
      </c>
      <c r="J1121" s="14" t="inlineStr">
        <is>
          <t>Catalogo</t>
        </is>
      </c>
      <c r="K1121" s="14" t="inlineStr">
        <is>
          <t>8+</t>
        </is>
      </c>
      <c r="L1121" s="14" t="inlineStr">
        <is>
          <t>https://www.libri.it/la-bianchina</t>
        </is>
      </c>
      <c r="M1121" s="16" t="n">
        <v>18</v>
      </c>
      <c r="N1121" s="14" t="inlineStr">
        <is>
          <t>Lista titoli Logos Edizioni 2026 (PVP)</t>
        </is>
      </c>
      <c r="O1121" s="16">
        <f>IF(ISNUMBER(M1121),ROUND(M1121*(1-Condizioni!$B$2),2),"")</f>
        <v/>
      </c>
      <c r="P1121" s="17" t="inlineStr">
        <is>
          <t>No</t>
        </is>
      </c>
    </row>
    <row r="1122">
      <c r="A1122" s="14" t="inlineStr">
        <is>
          <t>Logos</t>
        </is>
      </c>
      <c r="B1122" s="14" t="inlineStr">
        <is>
          <t>La Figlia del Samurai</t>
        </is>
      </c>
      <c r="C1122" s="14" t="inlineStr">
        <is>
          <t>Fred Bernard; ill. François Roca</t>
        </is>
      </c>
      <c r="D1122" s="14" t="inlineStr">
        <is>
          <t>Albo Ciopi</t>
        </is>
      </c>
      <c r="E1122" s="14" t="inlineStr">
        <is>
          <t>da 8 anni</t>
        </is>
      </c>
      <c r="F1122" s="14" t="inlineStr">
        <is>
          <t>8+</t>
        </is>
      </c>
      <c r="G1122" s="14" t="inlineStr">
        <is>
          <t>Albo illustrato</t>
        </is>
      </c>
      <c r="H1122" s="14" t="inlineStr"/>
      <c r="I1122" s="14" t="inlineStr">
        <is>
          <t>No</t>
        </is>
      </c>
      <c r="J1122" s="14" t="inlineStr">
        <is>
          <t>Catalogo</t>
        </is>
      </c>
      <c r="K1122" s="14" t="inlineStr">
        <is>
          <t>8+</t>
        </is>
      </c>
      <c r="L1122" s="14" t="inlineStr">
        <is>
          <t>https://www.libri.it/figlia-del-samurai</t>
        </is>
      </c>
      <c r="M1122" s="16" t="n">
        <v>18</v>
      </c>
      <c r="N1122" s="14" t="inlineStr">
        <is>
          <t>Lista titoli Logos Edizioni 2026 (PVP)</t>
        </is>
      </c>
      <c r="O1122" s="16">
        <f>IF(ISNUMBER(M1122),ROUND(M1122*(1-Condizioni!$B$2),2),"")</f>
        <v/>
      </c>
      <c r="P1122" s="17" t="inlineStr">
        <is>
          <t>No</t>
        </is>
      </c>
    </row>
    <row r="1123">
      <c r="A1123" s="14" t="inlineStr">
        <is>
          <t>Logos</t>
        </is>
      </c>
      <c r="B1123" s="14" t="inlineStr">
        <is>
          <t>La Foca Bianca</t>
        </is>
      </c>
      <c r="C1123" s="14" t="inlineStr">
        <is>
          <t>Rudyard Kipling; ill. Roger Olmos</t>
        </is>
      </c>
      <c r="D1123" s="14" t="inlineStr">
        <is>
          <t>Classici Della Ciopi</t>
        </is>
      </c>
      <c r="E1123" s="14" t="inlineStr">
        <is>
          <t>da 8 anni</t>
        </is>
      </c>
      <c r="F1123" s="14" t="inlineStr">
        <is>
          <t>8+</t>
        </is>
      </c>
      <c r="G1123" s="14" t="inlineStr">
        <is>
          <t>Albo illustrato</t>
        </is>
      </c>
      <c r="H1123" s="14" t="inlineStr"/>
      <c r="I1123" s="14" t="inlineStr">
        <is>
          <t>No</t>
        </is>
      </c>
      <c r="J1123" s="14" t="inlineStr">
        <is>
          <t>Catalogo</t>
        </is>
      </c>
      <c r="K1123" s="14" t="inlineStr">
        <is>
          <t>8+</t>
        </is>
      </c>
      <c r="L1123" s="14" t="inlineStr">
        <is>
          <t>https://www.libri.it/la-foca-bianca</t>
        </is>
      </c>
      <c r="M1123" s="16" t="n">
        <v>10</v>
      </c>
      <c r="N1123" s="14" t="inlineStr">
        <is>
          <t>Lista titoli Logos Edizioni 2026 (PVP)</t>
        </is>
      </c>
      <c r="O1123" s="16">
        <f>IF(ISNUMBER(M1123),ROUND(M1123*(1-Condizioni!$B$2),2),"")</f>
        <v/>
      </c>
      <c r="P1123" s="17" t="inlineStr">
        <is>
          <t>No</t>
        </is>
      </c>
    </row>
    <row r="1124">
      <c r="A1124" s="14" t="inlineStr">
        <is>
          <t>Logos</t>
        </is>
      </c>
      <c r="B1124" s="14" t="inlineStr">
        <is>
          <t>La Foca Bianca - Edizione Speciale</t>
        </is>
      </c>
      <c r="C1124" s="14" t="inlineStr">
        <is>
          <t>Rudyard Kipling; ill. Roger Olmos</t>
        </is>
      </c>
      <c r="D1124" s="14" t="inlineStr">
        <is>
          <t>Illustrati</t>
        </is>
      </c>
      <c r="E1124" s="14" t="inlineStr">
        <is>
          <t>da 8 anni</t>
        </is>
      </c>
      <c r="F1124" s="14" t="inlineStr">
        <is>
          <t>8+</t>
        </is>
      </c>
      <c r="G1124" s="14" t="inlineStr">
        <is>
          <t>Albo illustrato</t>
        </is>
      </c>
      <c r="H1124" s="14" t="inlineStr"/>
      <c r="I1124" s="14" t="inlineStr">
        <is>
          <t>No</t>
        </is>
      </c>
      <c r="J1124" s="14" t="inlineStr">
        <is>
          <t>Catalogo</t>
        </is>
      </c>
      <c r="K1124" s="14" t="inlineStr">
        <is>
          <t>8+</t>
        </is>
      </c>
      <c r="L1124" s="14" t="inlineStr">
        <is>
          <t>https://www.libri.it/la-foca-bianca-deluxe</t>
        </is>
      </c>
      <c r="M1124" s="16" t="n">
        <v>20</v>
      </c>
      <c r="N1124" s="14" t="inlineStr">
        <is>
          <t>Lista titoli Logos Edizioni 2026 (PVP)</t>
        </is>
      </c>
      <c r="O1124" s="16">
        <f>IF(ISNUMBER(M1124),ROUND(M1124*(1-Condizioni!$B$2),2),"")</f>
        <v/>
      </c>
      <c r="P1124" s="17" t="inlineStr">
        <is>
          <t>No</t>
        </is>
      </c>
    </row>
    <row r="1125">
      <c r="A1125" s="14" t="inlineStr">
        <is>
          <t>Logos</t>
        </is>
      </c>
      <c r="B1125" s="14" t="inlineStr">
        <is>
          <t>La Maledizione dell’Anello d’Oro</t>
        </is>
      </c>
      <c r="C1125" s="14" t="inlineStr">
        <is>
          <t>Fred Bernard; ill. François Roca</t>
        </is>
      </c>
      <c r="D1125" s="14" t="inlineStr">
        <is>
          <t>Albo Ciopi</t>
        </is>
      </c>
      <c r="E1125" s="14" t="inlineStr">
        <is>
          <t>da 8 anni</t>
        </is>
      </c>
      <c r="F1125" s="14" t="inlineStr">
        <is>
          <t>8+</t>
        </is>
      </c>
      <c r="G1125" s="14" t="inlineStr">
        <is>
          <t>Albo illustrato</t>
        </is>
      </c>
      <c r="H1125" s="14" t="inlineStr"/>
      <c r="I1125" s="14" t="inlineStr">
        <is>
          <t>No</t>
        </is>
      </c>
      <c r="J1125" s="14" t="inlineStr">
        <is>
          <t>Catalogo</t>
        </is>
      </c>
      <c r="K1125" s="14" t="inlineStr">
        <is>
          <t>8+</t>
        </is>
      </c>
      <c r="L1125" s="14" t="inlineStr">
        <is>
          <t>https://www.libri.it/maledizione-anello-d-oro</t>
        </is>
      </c>
      <c r="M1125" s="16" t="n">
        <v>18.5</v>
      </c>
      <c r="N1125" s="14" t="inlineStr">
        <is>
          <t>Lista titoli Logos Edizioni 2026 (PVP)</t>
        </is>
      </c>
      <c r="O1125" s="16">
        <f>IF(ISNUMBER(M1125),ROUND(M1125*(1-Condizioni!$B$2),2),"")</f>
        <v/>
      </c>
      <c r="P1125" s="17" t="inlineStr">
        <is>
          <t>No</t>
        </is>
      </c>
    </row>
    <row r="1126">
      <c r="A1126" s="14" t="inlineStr">
        <is>
          <t>Logos</t>
        </is>
      </c>
      <c r="B1126" s="14" t="inlineStr">
        <is>
          <t>La Signora Stirellina</t>
        </is>
      </c>
      <c r="C1126" s="14" t="inlineStr">
        <is>
          <t>Graciela Beatriz Cabal; ill. Giulia Pintus</t>
        </is>
      </c>
      <c r="D1126" s="14" t="inlineStr">
        <is>
          <t>Biblioteca Ciopi</t>
        </is>
      </c>
      <c r="E1126" s="14" t="inlineStr">
        <is>
          <t>da 8 anni</t>
        </is>
      </c>
      <c r="F1126" s="14" t="inlineStr">
        <is>
          <t>8+</t>
        </is>
      </c>
      <c r="G1126" s="14" t="inlineStr">
        <is>
          <t>Narrativa</t>
        </is>
      </c>
      <c r="H1126" s="14" t="inlineStr"/>
      <c r="I1126" s="14" t="inlineStr">
        <is>
          <t>No</t>
        </is>
      </c>
      <c r="J1126" s="14" t="inlineStr">
        <is>
          <t>Catalogo</t>
        </is>
      </c>
      <c r="K1126" s="14" t="inlineStr">
        <is>
          <t>8+, narrativa</t>
        </is>
      </c>
      <c r="L1126" s="14" t="inlineStr">
        <is>
          <t>https://www.libri.it/la-signora-stirellina</t>
        </is>
      </c>
      <c r="M1126" s="16" t="n">
        <v>9</v>
      </c>
      <c r="N1126" s="14" t="inlineStr">
        <is>
          <t>Lista titoli Logos Edizioni 2026 (PVP)</t>
        </is>
      </c>
      <c r="O1126" s="16">
        <f>IF(ISNUMBER(M1126),ROUND(M1126*(1-Condizioni!$B$2),2),"")</f>
        <v/>
      </c>
      <c r="P1126" s="17" t="inlineStr">
        <is>
          <t>No</t>
        </is>
      </c>
    </row>
    <row r="1127">
      <c r="A1127" s="14" t="inlineStr">
        <is>
          <t>Logos</t>
        </is>
      </c>
      <c r="B1127" s="14" t="inlineStr">
        <is>
          <t>La Signorina Peppina</t>
        </is>
      </c>
      <c r="C1127" s="14" t="inlineStr">
        <is>
          <t>Paloma Bordons; ill. Giulia Pintus</t>
        </is>
      </c>
      <c r="D1127" s="14" t="inlineStr">
        <is>
          <t>Biblioteca Ciopi</t>
        </is>
      </c>
      <c r="E1127" s="14" t="inlineStr">
        <is>
          <t>da 8 anni</t>
        </is>
      </c>
      <c r="F1127" s="14" t="inlineStr">
        <is>
          <t>8+</t>
        </is>
      </c>
      <c r="G1127" s="14" t="inlineStr">
        <is>
          <t>Narrativa</t>
        </is>
      </c>
      <c r="H1127" s="14" t="inlineStr"/>
      <c r="I1127" s="14" t="inlineStr">
        <is>
          <t>No</t>
        </is>
      </c>
      <c r="J1127" s="14" t="inlineStr">
        <is>
          <t>Catalogo</t>
        </is>
      </c>
      <c r="K1127" s="14" t="inlineStr">
        <is>
          <t>8+, narrativa</t>
        </is>
      </c>
      <c r="L1127" s="14" t="inlineStr">
        <is>
          <t>https://www.libri.it/la-signorina-peppina</t>
        </is>
      </c>
      <c r="M1127" s="16" t="n">
        <v>8</v>
      </c>
      <c r="N1127" s="14" t="inlineStr">
        <is>
          <t>Lista titoli Logos Edizioni 2026 (PVP)</t>
        </is>
      </c>
      <c r="O1127" s="16">
        <f>IF(ISNUMBER(M1127),ROUND(M1127*(1-Condizioni!$B$2),2),"")</f>
        <v/>
      </c>
      <c r="P1127" s="17" t="inlineStr">
        <is>
          <t>No</t>
        </is>
      </c>
    </row>
    <row r="1128">
      <c r="A1128" s="14" t="inlineStr">
        <is>
          <t>Logos</t>
        </is>
      </c>
      <c r="B1128" s="14" t="inlineStr">
        <is>
          <t>La Zanzara</t>
        </is>
      </c>
      <c r="C1128" s="14" t="inlineStr">
        <is>
          <t>Margarita del Mazo; ill. Roger Olmos</t>
        </is>
      </c>
      <c r="D1128" s="14" t="inlineStr">
        <is>
          <t>Albo Ciopi</t>
        </is>
      </c>
      <c r="E1128" s="14" t="inlineStr">
        <is>
          <t>da 8 anni</t>
        </is>
      </c>
      <c r="F1128" s="14" t="inlineStr">
        <is>
          <t>8+</t>
        </is>
      </c>
      <c r="G1128" s="14" t="inlineStr">
        <is>
          <t>Albo illustrato</t>
        </is>
      </c>
      <c r="H1128" s="14" t="inlineStr"/>
      <c r="I1128" s="14" t="inlineStr">
        <is>
          <t>No</t>
        </is>
      </c>
      <c r="J1128" s="14" t="inlineStr">
        <is>
          <t>Catalogo</t>
        </is>
      </c>
      <c r="K1128" s="14" t="inlineStr">
        <is>
          <t>8+</t>
        </is>
      </c>
      <c r="L1128" s="14" t="inlineStr">
        <is>
          <t>https://www.libri.it/zanzara</t>
        </is>
      </c>
      <c r="M1128" s="16" t="n">
        <v>14.5</v>
      </c>
      <c r="N1128" s="14" t="inlineStr">
        <is>
          <t>Lista titoli Logos Edizioni 2026 (PVP)</t>
        </is>
      </c>
      <c r="O1128" s="16">
        <f>IF(ISNUMBER(M1128),ROUND(M1128*(1-Condizioni!$B$2),2),"")</f>
        <v/>
      </c>
      <c r="P1128" s="17" t="inlineStr">
        <is>
          <t>No</t>
        </is>
      </c>
    </row>
    <row r="1129">
      <c r="A1129" s="14" t="inlineStr">
        <is>
          <t>Logos</t>
        </is>
      </c>
      <c r="B1129" s="14" t="inlineStr">
        <is>
          <t>Lala</t>
        </is>
      </c>
      <c r="C1129" s="14" t="inlineStr">
        <is>
          <t>Malika Fouchier</t>
        </is>
      </c>
      <c r="D1129" s="14" t="inlineStr">
        <is>
          <t>Fumetto Ciopi</t>
        </is>
      </c>
      <c r="E1129" s="14" t="inlineStr">
        <is>
          <t>da 8 anni</t>
        </is>
      </c>
      <c r="F1129" s="14" t="inlineStr">
        <is>
          <t>8+</t>
        </is>
      </c>
      <c r="G1129" s="14" t="inlineStr">
        <is>
          <t>Graphic novel/Fumetto</t>
        </is>
      </c>
      <c r="H1129" s="14" t="inlineStr"/>
      <c r="I1129" s="14" t="inlineStr">
        <is>
          <t>No</t>
        </is>
      </c>
      <c r="J1129" s="14" t="inlineStr">
        <is>
          <t>Catalogo</t>
        </is>
      </c>
      <c r="K1129" s="14" t="inlineStr">
        <is>
          <t>8+</t>
        </is>
      </c>
      <c r="L1129" s="14" t="inlineStr">
        <is>
          <t>https://www.libri.it/lala</t>
        </is>
      </c>
      <c r="M1129" s="16" t="n">
        <v>13</v>
      </c>
      <c r="N1129" s="14" t="inlineStr">
        <is>
          <t>Lista titoli Logos Edizioni 2026 (PVP)</t>
        </is>
      </c>
      <c r="O1129" s="16">
        <f>IF(ISNUMBER(M1129),ROUND(M1129*(1-Condizioni!$B$2),2),"")</f>
        <v/>
      </c>
      <c r="P1129" s="17" t="inlineStr">
        <is>
          <t>No</t>
        </is>
      </c>
    </row>
    <row r="1130">
      <c r="A1130" s="14" t="inlineStr">
        <is>
          <t>Logos</t>
        </is>
      </c>
      <c r="B1130" s="14" t="inlineStr">
        <is>
          <t>Le Fate Brillano al Buio</t>
        </is>
      </c>
      <c r="C1130" s="14" t="inlineStr">
        <is>
          <t>Graciela Beatriz Cabal; ill. Giulia Pintus</t>
        </is>
      </c>
      <c r="D1130" s="14" t="inlineStr">
        <is>
          <t>Biblioteca Ciopi</t>
        </is>
      </c>
      <c r="E1130" s="14" t="inlineStr">
        <is>
          <t>da 8 anni</t>
        </is>
      </c>
      <c r="F1130" s="14" t="inlineStr">
        <is>
          <t>8+</t>
        </is>
      </c>
      <c r="G1130" s="14" t="inlineStr">
        <is>
          <t>Narrativa</t>
        </is>
      </c>
      <c r="H1130" s="14" t="inlineStr"/>
      <c r="I1130" s="14" t="inlineStr">
        <is>
          <t>No</t>
        </is>
      </c>
      <c r="J1130" s="14" t="inlineStr">
        <is>
          <t>Catalogo</t>
        </is>
      </c>
      <c r="K1130" s="14" t="inlineStr">
        <is>
          <t>8+, narrativa</t>
        </is>
      </c>
      <c r="L1130" s="14" t="inlineStr">
        <is>
          <t>https://www.libri.it/le-fate-brillano-al-buio</t>
        </is>
      </c>
      <c r="M1130" s="16" t="n">
        <v>10</v>
      </c>
      <c r="N1130" s="14" t="inlineStr">
        <is>
          <t>Lista titoli Logos Edizioni 2026 (PVP)</t>
        </is>
      </c>
      <c r="O1130" s="16">
        <f>IF(ISNUMBER(M1130),ROUND(M1130*(1-Condizioni!$B$2),2),"")</f>
        <v/>
      </c>
      <c r="P1130" s="17" t="inlineStr">
        <is>
          <t>No</t>
        </is>
      </c>
    </row>
    <row r="1131">
      <c r="A1131" s="14" t="inlineStr">
        <is>
          <t>Logos</t>
        </is>
      </c>
      <c r="B1131" s="14" t="inlineStr">
        <is>
          <t>Le Ricette di Nonna Irma</t>
        </is>
      </c>
      <c r="C1131" s="14" t="inlineStr">
        <is>
          <t>Laura Bertelli; ill. Giulia Pintus</t>
        </is>
      </c>
      <c r="D1131" s="14" t="inlineStr">
        <is>
          <t>Ciopilopini</t>
        </is>
      </c>
      <c r="E1131" s="14" t="inlineStr">
        <is>
          <t>da 8 anni</t>
        </is>
      </c>
      <c r="F1131" s="14" t="inlineStr">
        <is>
          <t>8+</t>
        </is>
      </c>
      <c r="G1131" s="14" t="inlineStr">
        <is>
          <t>Albo illustrato</t>
        </is>
      </c>
      <c r="H1131" s="14" t="inlineStr"/>
      <c r="I1131" s="14" t="inlineStr">
        <is>
          <t>No</t>
        </is>
      </c>
      <c r="J1131" s="14" t="inlineStr">
        <is>
          <t>Catalogo</t>
        </is>
      </c>
      <c r="K1131" s="14" t="inlineStr">
        <is>
          <t>8+</t>
        </is>
      </c>
      <c r="L1131" s="14" t="inlineStr">
        <is>
          <t>https://www.libri.it/le-ricette-di-nonna-irma</t>
        </is>
      </c>
      <c r="M1131" s="16" t="n">
        <v>14</v>
      </c>
      <c r="N1131" s="14" t="inlineStr">
        <is>
          <t>Lista titoli Logos Edizioni 2026 (PVP)</t>
        </is>
      </c>
      <c r="O1131" s="16">
        <f>IF(ISNUMBER(M1131),ROUND(M1131*(1-Condizioni!$B$2),2),"")</f>
        <v/>
      </c>
      <c r="P1131" s="17" t="inlineStr">
        <is>
          <t>No</t>
        </is>
      </c>
    </row>
    <row r="1132">
      <c r="A1132" s="14" t="inlineStr">
        <is>
          <t>Logos</t>
        </is>
      </c>
      <c r="B1132" s="14" t="inlineStr">
        <is>
          <t>Le Streghe di Via delle Tempeste</t>
        </is>
      </c>
      <c r="C1132" s="14" t="inlineStr">
        <is>
          <t>Marlène Jobert; ill. Frédéric Pillot</t>
        </is>
      </c>
      <c r="D1132" s="14" t="inlineStr">
        <is>
          <t>Albo Ciopi</t>
        </is>
      </c>
      <c r="E1132" s="14" t="inlineStr">
        <is>
          <t>da 8 anni</t>
        </is>
      </c>
      <c r="F1132" s="14" t="inlineStr">
        <is>
          <t>8+</t>
        </is>
      </c>
      <c r="G1132" s="14" t="inlineStr">
        <is>
          <t>Albo illustrato</t>
        </is>
      </c>
      <c r="H1132" s="14" t="inlineStr"/>
      <c r="I1132" s="14" t="inlineStr">
        <is>
          <t>No</t>
        </is>
      </c>
      <c r="J1132" s="14" t="inlineStr">
        <is>
          <t>Catalogo</t>
        </is>
      </c>
      <c r="K1132" s="14" t="inlineStr">
        <is>
          <t>8+</t>
        </is>
      </c>
      <c r="L1132" s="14" t="inlineStr">
        <is>
          <t>https://www.libri.it/le-streghe-tempeste</t>
        </is>
      </c>
      <c r="M1132" s="16" t="n">
        <v>20</v>
      </c>
      <c r="N1132" s="14" t="inlineStr">
        <is>
          <t>Lista titoli Logos Edizioni 2026 (PVP)</t>
        </is>
      </c>
      <c r="O1132" s="16">
        <f>IF(ISNUMBER(M1132),ROUND(M1132*(1-Condizioni!$B$2),2),"")</f>
        <v/>
      </c>
      <c r="P1132" s="17" t="inlineStr">
        <is>
          <t>No</t>
        </is>
      </c>
    </row>
    <row r="1133">
      <c r="A1133" s="14" t="inlineStr">
        <is>
          <t>Logos</t>
        </is>
      </c>
      <c r="B1133" s="14" t="inlineStr">
        <is>
          <t>L’Aggiustacuori</t>
        </is>
      </c>
      <c r="C1133" s="14" t="inlineStr">
        <is>
          <t>Arturo Abad; ill. Gabriel Pacheco</t>
        </is>
      </c>
      <c r="D1133" s="14" t="inlineStr">
        <is>
          <t>Illustrati</t>
        </is>
      </c>
      <c r="E1133" s="14" t="inlineStr">
        <is>
          <t>da 8 anni</t>
        </is>
      </c>
      <c r="F1133" s="14" t="inlineStr">
        <is>
          <t>8+</t>
        </is>
      </c>
      <c r="G1133" s="14" t="inlineStr">
        <is>
          <t>Albo illustrato</t>
        </is>
      </c>
      <c r="H1133" s="14" t="inlineStr"/>
      <c r="I1133" s="14" t="inlineStr">
        <is>
          <t>No</t>
        </is>
      </c>
      <c r="J1133" s="14" t="inlineStr">
        <is>
          <t>Catalogo</t>
        </is>
      </c>
      <c r="K1133" s="14" t="inlineStr">
        <is>
          <t>8+</t>
        </is>
      </c>
      <c r="L1133" s="14" t="inlineStr">
        <is>
          <t>https://www.libri.it/laggiustacuori</t>
        </is>
      </c>
      <c r="M1133" s="16" t="n">
        <v>17</v>
      </c>
      <c r="N1133" s="14" t="inlineStr">
        <is>
          <t>Lista titoli Logos Edizioni 2026 (PVP)</t>
        </is>
      </c>
      <c r="O1133" s="16">
        <f>IF(ISNUMBER(M1133),ROUND(M1133*(1-Condizioni!$B$2),2),"")</f>
        <v/>
      </c>
      <c r="P1133" s="17" t="inlineStr">
        <is>
          <t>No</t>
        </is>
      </c>
    </row>
    <row r="1134">
      <c r="A1134" s="14" t="inlineStr">
        <is>
          <t>Logos</t>
        </is>
      </c>
      <c r="B1134" s="14" t="inlineStr">
        <is>
          <t>L’Anello Incantato</t>
        </is>
      </c>
      <c r="C1134" s="14" t="inlineStr">
        <is>
          <t>María Teresa Andruetto; ill. Anna Forlati</t>
        </is>
      </c>
      <c r="D1134" s="14" t="inlineStr">
        <is>
          <t>Biblioteca Ciopi</t>
        </is>
      </c>
      <c r="E1134" s="14" t="inlineStr">
        <is>
          <t>da 8 anni</t>
        </is>
      </c>
      <c r="F1134" s="14" t="inlineStr">
        <is>
          <t>8+</t>
        </is>
      </c>
      <c r="G1134" s="14" t="inlineStr">
        <is>
          <t>Narrativa</t>
        </is>
      </c>
      <c r="H1134" s="14" t="inlineStr"/>
      <c r="I1134" s="14" t="inlineStr">
        <is>
          <t>No</t>
        </is>
      </c>
      <c r="J1134" s="14" t="inlineStr">
        <is>
          <t>Catalogo</t>
        </is>
      </c>
      <c r="K1134" s="14" t="inlineStr">
        <is>
          <t>8+, narrativa</t>
        </is>
      </c>
      <c r="L1134" s="14" t="inlineStr">
        <is>
          <t>https://www.libri.it/anello-incantato</t>
        </is>
      </c>
      <c r="M1134" s="16" t="n">
        <v>12</v>
      </c>
      <c r="N1134" s="14" t="inlineStr">
        <is>
          <t>Lista titoli Logos Edizioni 2026 (PVP)</t>
        </is>
      </c>
      <c r="O1134" s="16">
        <f>IF(ISNUMBER(M1134),ROUND(M1134*(1-Condizioni!$B$2),2),"")</f>
        <v/>
      </c>
      <c r="P1134" s="17" t="inlineStr">
        <is>
          <t>No</t>
        </is>
      </c>
    </row>
    <row r="1135">
      <c r="A1135" s="14" t="inlineStr">
        <is>
          <t>Logos</t>
        </is>
      </c>
      <c r="B1135" s="14" t="inlineStr">
        <is>
          <t>L’Anima di Tian</t>
        </is>
      </c>
      <c r="C1135" s="14" t="inlineStr">
        <is>
          <t>Elena Bellei; ill. Anna Paolini</t>
        </is>
      </c>
      <c r="D1135" s="14" t="inlineStr">
        <is>
          <t>Illustrati</t>
        </is>
      </c>
      <c r="E1135" s="14" t="inlineStr">
        <is>
          <t>da 8 anni</t>
        </is>
      </c>
      <c r="F1135" s="14" t="inlineStr">
        <is>
          <t>8+</t>
        </is>
      </c>
      <c r="G1135" s="14" t="inlineStr">
        <is>
          <t>Albo illustrato</t>
        </is>
      </c>
      <c r="H1135" s="14" t="inlineStr"/>
      <c r="I1135" s="14" t="inlineStr">
        <is>
          <t>No</t>
        </is>
      </c>
      <c r="J1135" s="14" t="inlineStr">
        <is>
          <t>Catalogo</t>
        </is>
      </c>
      <c r="K1135" s="14" t="inlineStr">
        <is>
          <t>8+</t>
        </is>
      </c>
      <c r="L1135" s="14" t="inlineStr">
        <is>
          <t>https://www.libri.it/l-anima-di-tian</t>
        </is>
      </c>
      <c r="M1135" s="16" t="n">
        <v>19</v>
      </c>
      <c r="N1135" s="14" t="inlineStr">
        <is>
          <t>Lista titoli Logos Edizioni 2026 (PVP)</t>
        </is>
      </c>
      <c r="O1135" s="16">
        <f>IF(ISNUMBER(M1135),ROUND(M1135*(1-Condizioni!$B$2),2),"")</f>
        <v/>
      </c>
      <c r="P1135" s="17" t="inlineStr">
        <is>
          <t>No</t>
        </is>
      </c>
    </row>
    <row r="1136">
      <c r="A1136" s="14" t="inlineStr">
        <is>
          <t>Logos</t>
        </is>
      </c>
      <c r="B1136" s="14" t="inlineStr">
        <is>
          <t>L’Indiano della Torre Eiffel</t>
        </is>
      </c>
      <c r="C1136" s="14" t="inlineStr">
        <is>
          <t>Fred Bernard; ill. François Roca</t>
        </is>
      </c>
      <c r="D1136" s="14" t="inlineStr">
        <is>
          <t>Albo Ciopi</t>
        </is>
      </c>
      <c r="E1136" s="14" t="inlineStr">
        <is>
          <t>da 8 anni</t>
        </is>
      </c>
      <c r="F1136" s="14" t="inlineStr">
        <is>
          <t>8+</t>
        </is>
      </c>
      <c r="G1136" s="14" t="inlineStr">
        <is>
          <t>Albo illustrato</t>
        </is>
      </c>
      <c r="H1136" s="14" t="inlineStr"/>
      <c r="I1136" s="14" t="inlineStr">
        <is>
          <t>No</t>
        </is>
      </c>
      <c r="J1136" s="14" t="inlineStr">
        <is>
          <t>Catalogo</t>
        </is>
      </c>
      <c r="K1136" s="14" t="inlineStr">
        <is>
          <t>8+</t>
        </is>
      </c>
      <c r="L1136" s="14" t="inlineStr">
        <is>
          <t>https://www.libri.it/lindiano-della-torre-eiffel</t>
        </is>
      </c>
      <c r="M1136" s="16" t="n">
        <v>17</v>
      </c>
      <c r="N1136" s="14" t="inlineStr">
        <is>
          <t>Lista titoli Logos Edizioni 2026 (PVP)</t>
        </is>
      </c>
      <c r="O1136" s="16">
        <f>IF(ISNUMBER(M1136),ROUND(M1136*(1-Condizioni!$B$2),2),"")</f>
        <v/>
      </c>
      <c r="P1136" s="17" t="inlineStr">
        <is>
          <t>No</t>
        </is>
      </c>
    </row>
    <row r="1137">
      <c r="A1137" s="14" t="inlineStr">
        <is>
          <t>Logos</t>
        </is>
      </c>
      <c r="B1137" s="14" t="inlineStr">
        <is>
          <t>L’Infernale Ottovolante</t>
        </is>
      </c>
      <c r="C1137" s="14" t="inlineStr">
        <is>
          <t>Guillaume Long</t>
        </is>
      </c>
      <c r="D1137" s="14" t="inlineStr">
        <is>
          <t>Fumetto Ciopi</t>
        </is>
      </c>
      <c r="E1137" s="14" t="inlineStr">
        <is>
          <t>da 8 anni</t>
        </is>
      </c>
      <c r="F1137" s="14" t="inlineStr">
        <is>
          <t>8+</t>
        </is>
      </c>
      <c r="G1137" s="14" t="inlineStr">
        <is>
          <t>Graphic novel/Fumetto</t>
        </is>
      </c>
      <c r="H1137" s="14" t="inlineStr"/>
      <c r="I1137" s="14" t="inlineStr">
        <is>
          <t>No</t>
        </is>
      </c>
      <c r="J1137" s="14" t="inlineStr">
        <is>
          <t>Catalogo</t>
        </is>
      </c>
      <c r="K1137" s="14" t="inlineStr">
        <is>
          <t>8+</t>
        </is>
      </c>
      <c r="L1137" s="14" t="inlineStr">
        <is>
          <t>https://www.libri.it/infernale-ottovolante</t>
        </is>
      </c>
      <c r="M1137" s="16" t="n">
        <v>13</v>
      </c>
      <c r="N1137" s="14" t="inlineStr">
        <is>
          <t>Lista titoli Logos Edizioni 2026 (PVP)</t>
        </is>
      </c>
      <c r="O1137" s="16">
        <f>IF(ISNUMBER(M1137),ROUND(M1137*(1-Condizioni!$B$2),2),"")</f>
        <v/>
      </c>
      <c r="P1137" s="17" t="inlineStr">
        <is>
          <t>No</t>
        </is>
      </c>
    </row>
    <row r="1138">
      <c r="A1138" s="14" t="inlineStr">
        <is>
          <t>Logos</t>
        </is>
      </c>
      <c r="B1138" s="14" t="inlineStr">
        <is>
          <t>L’Isola del Tesoro</t>
        </is>
      </c>
      <c r="C1138" s="14" t="inlineStr">
        <is>
          <t>R.L. Stevenson; ill. Roger Olmos</t>
        </is>
      </c>
      <c r="D1138" s="14" t="inlineStr">
        <is>
          <t>Classici Della Ciopi</t>
        </is>
      </c>
      <c r="E1138" s="14" t="inlineStr">
        <is>
          <t>da 8 anni</t>
        </is>
      </c>
      <c r="F1138" s="14" t="inlineStr">
        <is>
          <t>8+</t>
        </is>
      </c>
      <c r="G1138" s="14" t="inlineStr">
        <is>
          <t>Albo illustrato</t>
        </is>
      </c>
      <c r="H1138" s="14" t="inlineStr"/>
      <c r="I1138" s="14" t="inlineStr">
        <is>
          <t>No</t>
        </is>
      </c>
      <c r="J1138" s="14" t="inlineStr">
        <is>
          <t>Catalogo</t>
        </is>
      </c>
      <c r="K1138" s="14" t="inlineStr">
        <is>
          <t>8+</t>
        </is>
      </c>
      <c r="L1138" s="14" t="inlineStr">
        <is>
          <t>https://www.libri.it/l-isola-del-tesoro</t>
        </is>
      </c>
      <c r="M1138" s="16" t="n">
        <v>15</v>
      </c>
      <c r="N1138" s="14" t="inlineStr">
        <is>
          <t>Lista titoli Logos Edizioni 2026 (PVP)</t>
        </is>
      </c>
      <c r="O1138" s="16">
        <f>IF(ISNUMBER(M1138),ROUND(M1138*(1-Condizioni!$B$2),2),"")</f>
        <v/>
      </c>
      <c r="P1138" s="17" t="inlineStr">
        <is>
          <t>No</t>
        </is>
      </c>
    </row>
    <row r="1139">
      <c r="A1139" s="14" t="inlineStr">
        <is>
          <t>Logos</t>
        </is>
      </c>
      <c r="B1139" s="14" t="inlineStr">
        <is>
          <t>L’Isola del Tesoro Edizione Speciale</t>
        </is>
      </c>
      <c r="C1139" s="14" t="inlineStr">
        <is>
          <t>R.L. Stevenson; ill. Roger Olmos</t>
        </is>
      </c>
      <c r="D1139" s="14" t="inlineStr">
        <is>
          <t>Illustrati</t>
        </is>
      </c>
      <c r="E1139" s="14" t="inlineStr">
        <is>
          <t>da 8 anni</t>
        </is>
      </c>
      <c r="F1139" s="14" t="inlineStr">
        <is>
          <t>8+</t>
        </is>
      </c>
      <c r="G1139" s="14" t="inlineStr">
        <is>
          <t>Albo illustrato</t>
        </is>
      </c>
      <c r="H1139" s="14" t="inlineStr"/>
      <c r="I1139" s="14" t="inlineStr">
        <is>
          <t>No</t>
        </is>
      </c>
      <c r="J1139" s="14" t="inlineStr">
        <is>
          <t>Catalogo</t>
        </is>
      </c>
      <c r="K1139" s="14" t="inlineStr">
        <is>
          <t>8+</t>
        </is>
      </c>
      <c r="L1139" s="14" t="inlineStr">
        <is>
          <t>https://www.libri.it/l-isola-del-tesoro-edizione-speciale</t>
        </is>
      </c>
      <c r="M1139" s="16" t="n">
        <v>30</v>
      </c>
      <c r="N1139" s="14" t="inlineStr">
        <is>
          <t>Lista titoli Logos Edizioni 2026 (PVP)</t>
        </is>
      </c>
      <c r="O1139" s="16">
        <f>IF(ISNUMBER(M1139),ROUND(M1139*(1-Condizioni!$B$2),2),"")</f>
        <v/>
      </c>
      <c r="P1139" s="17" t="inlineStr">
        <is>
          <t>No</t>
        </is>
      </c>
    </row>
    <row r="1140">
      <c r="A1140" s="14" t="inlineStr">
        <is>
          <t>Logos</t>
        </is>
      </c>
      <c r="B1140" s="14" t="inlineStr">
        <is>
          <t>L’Uomo Bonsai</t>
        </is>
      </c>
      <c r="C1140" s="14" t="inlineStr">
        <is>
          <t>Fred Bernard; ill. François Roca</t>
        </is>
      </c>
      <c r="D1140" s="14" t="inlineStr">
        <is>
          <t>Albo Ciopi</t>
        </is>
      </c>
      <c r="E1140" s="14" t="inlineStr">
        <is>
          <t>da 8 anni</t>
        </is>
      </c>
      <c r="F1140" s="14" t="inlineStr">
        <is>
          <t>8+</t>
        </is>
      </c>
      <c r="G1140" s="14" t="inlineStr">
        <is>
          <t>Albo illustrato</t>
        </is>
      </c>
      <c r="H1140" s="14" t="inlineStr"/>
      <c r="I1140" s="14" t="inlineStr">
        <is>
          <t>No</t>
        </is>
      </c>
      <c r="J1140" s="14" t="inlineStr">
        <is>
          <t>Catalogo</t>
        </is>
      </c>
      <c r="K1140" s="14" t="inlineStr">
        <is>
          <t>8+</t>
        </is>
      </c>
      <c r="L1140" s="14" t="inlineStr">
        <is>
          <t>https://www.libri.it/uomo-bonsai</t>
        </is>
      </c>
      <c r="M1140" s="16" t="n">
        <v>18</v>
      </c>
      <c r="N1140" s="14" t="inlineStr">
        <is>
          <t>Lista titoli Logos Edizioni 2026 (PVP)</t>
        </is>
      </c>
      <c r="O1140" s="16">
        <f>IF(ISNUMBER(M1140),ROUND(M1140*(1-Condizioni!$B$2),2),"")</f>
        <v/>
      </c>
      <c r="P1140" s="17" t="inlineStr">
        <is>
          <t>No</t>
        </is>
      </c>
    </row>
    <row r="1141">
      <c r="A1141" s="14" t="inlineStr">
        <is>
          <t>Logos</t>
        </is>
      </c>
      <c r="B1141" s="14" t="inlineStr">
        <is>
          <t>Maria Sibylla Merian. la Magia della Crisalide</t>
        </is>
      </c>
      <c r="C1141" s="14" t="inlineStr">
        <is>
          <t>Anna Paolini</t>
        </is>
      </c>
      <c r="D1141" s="14" t="inlineStr">
        <is>
          <t>Illustrati</t>
        </is>
      </c>
      <c r="E1141" s="14" t="inlineStr">
        <is>
          <t>da 8 anni</t>
        </is>
      </c>
      <c r="F1141" s="14" t="inlineStr">
        <is>
          <t>8+</t>
        </is>
      </c>
      <c r="G1141" s="14" t="inlineStr">
        <is>
          <t>Albo illustrato</t>
        </is>
      </c>
      <c r="H1141" s="14" t="inlineStr"/>
      <c r="I1141" s="14" t="inlineStr">
        <is>
          <t>No</t>
        </is>
      </c>
      <c r="J1141" s="14" t="inlineStr">
        <is>
          <t>Catalogo</t>
        </is>
      </c>
      <c r="K1141" s="14" t="inlineStr">
        <is>
          <t>8+</t>
        </is>
      </c>
      <c r="L1141" s="14" t="inlineStr">
        <is>
          <t>https://www.libri.it/maria-sibylla-merian</t>
        </is>
      </c>
      <c r="M1141" s="16" t="n">
        <v>18</v>
      </c>
      <c r="N1141" s="14" t="inlineStr">
        <is>
          <t>Lista titoli Logos Edizioni 2026 (PVP)</t>
        </is>
      </c>
      <c r="O1141" s="16">
        <f>IF(ISNUMBER(M1141),ROUND(M1141*(1-Condizioni!$B$2),2),"")</f>
        <v/>
      </c>
      <c r="P1141" s="17" t="inlineStr">
        <is>
          <t>No</t>
        </is>
      </c>
    </row>
    <row r="1142">
      <c r="A1142" s="14" t="inlineStr">
        <is>
          <t>Logos</t>
        </is>
      </c>
      <c r="B1142" s="14" t="inlineStr">
        <is>
          <t>Medardo</t>
        </is>
      </c>
      <c r="C1142" s="14" t="inlineStr">
        <is>
          <t>Roger Olmos</t>
        </is>
      </c>
      <c r="D1142" s="14" t="inlineStr">
        <is>
          <t>Illustrati</t>
        </is>
      </c>
      <c r="E1142" s="14" t="inlineStr">
        <is>
          <t>da 8 anni</t>
        </is>
      </c>
      <c r="F1142" s="14" t="inlineStr">
        <is>
          <t>8+</t>
        </is>
      </c>
      <c r="G1142" s="14" t="inlineStr">
        <is>
          <t>Albo illustrato</t>
        </is>
      </c>
      <c r="H1142" s="14" t="inlineStr"/>
      <c r="I1142" s="14" t="inlineStr">
        <is>
          <t>No</t>
        </is>
      </c>
      <c r="J1142" s="14" t="inlineStr">
        <is>
          <t>Catalogo</t>
        </is>
      </c>
      <c r="K1142" s="14" t="inlineStr">
        <is>
          <t>8+</t>
        </is>
      </c>
      <c r="L1142" s="14" t="inlineStr">
        <is>
          <t>https://www.libri.it/medardo</t>
        </is>
      </c>
      <c r="M1142" s="16" t="n">
        <v>20</v>
      </c>
      <c r="N1142" s="14" t="inlineStr">
        <is>
          <t>Lista titoli Logos Edizioni 2026 (PVP)</t>
        </is>
      </c>
      <c r="O1142" s="16">
        <f>IF(ISNUMBER(M1142),ROUND(M1142*(1-Condizioni!$B$2),2),"")</f>
        <v/>
      </c>
      <c r="P1142" s="17" t="inlineStr">
        <is>
          <t>No</t>
        </is>
      </c>
    </row>
    <row r="1143">
      <c r="A1143" s="14" t="inlineStr">
        <is>
          <t>Logos</t>
        </is>
      </c>
      <c r="B1143" s="14" t="inlineStr">
        <is>
          <t>Merlino Contro Babbo Natale</t>
        </is>
      </c>
      <c r="C1143" s="14" t="inlineStr">
        <is>
          <t>Joann Sfar; ill. José Luis Munuera</t>
        </is>
      </c>
      <c r="D1143" s="14" t="inlineStr">
        <is>
          <t>Fumetto Ciopi</t>
        </is>
      </c>
      <c r="E1143" s="14" t="inlineStr">
        <is>
          <t>da 8 anni</t>
        </is>
      </c>
      <c r="F1143" s="14" t="inlineStr">
        <is>
          <t>8+</t>
        </is>
      </c>
      <c r="G1143" s="14" t="inlineStr">
        <is>
          <t>Graphic novel/Fumetto</t>
        </is>
      </c>
      <c r="H1143" s="14" t="inlineStr"/>
      <c r="I1143" s="14" t="inlineStr">
        <is>
          <t>No</t>
        </is>
      </c>
      <c r="J1143" s="14" t="inlineStr">
        <is>
          <t>Catalogo</t>
        </is>
      </c>
      <c r="K1143" s="14" t="inlineStr">
        <is>
          <t>8+</t>
        </is>
      </c>
      <c r="L1143" s="14" t="inlineStr">
        <is>
          <t>https://www.libri.it/merlino-contro-babbo-natale</t>
        </is>
      </c>
      <c r="M1143" s="16" t="n">
        <v>11</v>
      </c>
      <c r="N1143" s="14" t="inlineStr">
        <is>
          <t>Lista titoli Logos Edizioni 2026 (PVP)</t>
        </is>
      </c>
      <c r="O1143" s="16">
        <f>IF(ISNUMBER(M1143),ROUND(M1143*(1-Condizioni!$B$2),2),"")</f>
        <v/>
      </c>
      <c r="P1143" s="17" t="inlineStr">
        <is>
          <t>No</t>
        </is>
      </c>
    </row>
    <row r="1144">
      <c r="A1144" s="14" t="inlineStr">
        <is>
          <t>Logos</t>
        </is>
      </c>
      <c r="B1144" s="14" t="inlineStr">
        <is>
          <t>Merlino Va al Mare</t>
        </is>
      </c>
      <c r="C1144" s="14" t="inlineStr">
        <is>
          <t>Joann Sfar; ill. José Luis Munuera</t>
        </is>
      </c>
      <c r="D1144" s="14" t="inlineStr">
        <is>
          <t>Fumetto Ciopi</t>
        </is>
      </c>
      <c r="E1144" s="14" t="inlineStr">
        <is>
          <t>da 8 anni</t>
        </is>
      </c>
      <c r="F1144" s="14" t="inlineStr">
        <is>
          <t>8+</t>
        </is>
      </c>
      <c r="G1144" s="14" t="inlineStr">
        <is>
          <t>Graphic novel/Fumetto</t>
        </is>
      </c>
      <c r="H1144" s="14" t="inlineStr"/>
      <c r="I1144" s="14" t="inlineStr">
        <is>
          <t>No</t>
        </is>
      </c>
      <c r="J1144" s="14" t="inlineStr">
        <is>
          <t>Catalogo</t>
        </is>
      </c>
      <c r="K1144" s="14" t="inlineStr">
        <is>
          <t>8+</t>
        </is>
      </c>
      <c r="L1144" s="14" t="inlineStr">
        <is>
          <t>https://www.libri.it/merlino-va-al-mare</t>
        </is>
      </c>
      <c r="M1144" s="16" t="n">
        <v>11</v>
      </c>
      <c r="N1144" s="14" t="inlineStr">
        <is>
          <t>Lista titoli Logos Edizioni 2026 (PVP)</t>
        </is>
      </c>
      <c r="O1144" s="16">
        <f>IF(ISNUMBER(M1144),ROUND(M1144*(1-Condizioni!$B$2),2),"")</f>
        <v/>
      </c>
      <c r="P1144" s="17" t="inlineStr">
        <is>
          <t>No</t>
        </is>
      </c>
    </row>
    <row r="1145">
      <c r="A1145" s="14" t="inlineStr">
        <is>
          <t>Logos</t>
        </is>
      </c>
      <c r="B1145" s="14" t="inlineStr">
        <is>
          <t>Merlino e la Mamma di Renardo</t>
        </is>
      </c>
      <c r="C1145" s="14" t="inlineStr">
        <is>
          <t>Joann Sfar; ill. José Luis Munuera</t>
        </is>
      </c>
      <c r="D1145" s="14" t="inlineStr">
        <is>
          <t>Fumetto Ciopi</t>
        </is>
      </c>
      <c r="E1145" s="14" t="inlineStr">
        <is>
          <t>da 8 anni</t>
        </is>
      </c>
      <c r="F1145" s="14" t="inlineStr">
        <is>
          <t>8+</t>
        </is>
      </c>
      <c r="G1145" s="14" t="inlineStr">
        <is>
          <t>Graphic novel/Fumetto</t>
        </is>
      </c>
      <c r="H1145" s="14" t="inlineStr"/>
      <c r="I1145" s="14" t="inlineStr">
        <is>
          <t>No</t>
        </is>
      </c>
      <c r="J1145" s="14" t="inlineStr">
        <is>
          <t>Catalogo</t>
        </is>
      </c>
      <c r="K1145" s="14" t="inlineStr">
        <is>
          <t>8+</t>
        </is>
      </c>
      <c r="L1145" s="14" t="inlineStr">
        <is>
          <t>https://www.libri.it/merlino-e-la-mamma-di-renardo</t>
        </is>
      </c>
      <c r="M1145" s="16" t="n">
        <v>12</v>
      </c>
      <c r="N1145" s="14" t="inlineStr">
        <is>
          <t>Lista titoli Logos Edizioni 2026 (PVP)</t>
        </is>
      </c>
      <c r="O1145" s="16">
        <f>IF(ISNUMBER(M1145),ROUND(M1145*(1-Condizioni!$B$2),2),"")</f>
        <v/>
      </c>
      <c r="P1145" s="17" t="inlineStr">
        <is>
          <t>No</t>
        </is>
      </c>
    </row>
    <row r="1146">
      <c r="A1146" s="14" t="inlineStr">
        <is>
          <t>Logos</t>
        </is>
      </c>
      <c r="B1146" s="14" t="inlineStr">
        <is>
          <t>Merlino, Salciccia e Tartina</t>
        </is>
      </c>
      <c r="C1146" s="14" t="inlineStr">
        <is>
          <t>Joann Sfar; ill. José Luis Munuera</t>
        </is>
      </c>
      <c r="D1146" s="14" t="inlineStr">
        <is>
          <t>Fumetto Ciopi</t>
        </is>
      </c>
      <c r="E1146" s="14" t="inlineStr">
        <is>
          <t>da 8 anni</t>
        </is>
      </c>
      <c r="F1146" s="14" t="inlineStr">
        <is>
          <t>8+</t>
        </is>
      </c>
      <c r="G1146" s="14" t="inlineStr">
        <is>
          <t>Graphic novel/Fumetto</t>
        </is>
      </c>
      <c r="H1146" s="14" t="inlineStr"/>
      <c r="I1146" s="14" t="inlineStr">
        <is>
          <t>No</t>
        </is>
      </c>
      <c r="J1146" s="14" t="inlineStr">
        <is>
          <t>Catalogo</t>
        </is>
      </c>
      <c r="K1146" s="14" t="inlineStr">
        <is>
          <t>8+</t>
        </is>
      </c>
      <c r="L1146" s="14" t="inlineStr">
        <is>
          <t>https://www.libri.it/merlino-salciccia-tartina</t>
        </is>
      </c>
      <c r="M1146" s="16" t="n">
        <v>11</v>
      </c>
      <c r="N1146" s="14" t="inlineStr">
        <is>
          <t>Lista titoli Logos Edizioni 2026 (PVP)</t>
        </is>
      </c>
      <c r="O1146" s="16">
        <f>IF(ISNUMBER(M1146),ROUND(M1146*(1-Condizioni!$B$2),2),"")</f>
        <v/>
      </c>
      <c r="P1146" s="17" t="inlineStr">
        <is>
          <t>No</t>
        </is>
      </c>
    </row>
    <row r="1147">
      <c r="A1147" s="14" t="inlineStr">
        <is>
          <t>Logos</t>
        </is>
      </c>
      <c r="B1147" s="14" t="inlineStr">
        <is>
          <t>Mia Madre</t>
        </is>
      </c>
      <c r="C1147" s="14" t="inlineStr">
        <is>
          <t>Stéphane Servant; ill. Emmanuelle Houdart</t>
        </is>
      </c>
      <c r="D1147" s="14" t="inlineStr">
        <is>
          <t>Illustrati</t>
        </is>
      </c>
      <c r="E1147" s="14" t="inlineStr">
        <is>
          <t>da 8 anni</t>
        </is>
      </c>
      <c r="F1147" s="14" t="inlineStr">
        <is>
          <t>8+</t>
        </is>
      </c>
      <c r="G1147" s="14" t="inlineStr">
        <is>
          <t>Albo illustrato</t>
        </is>
      </c>
      <c r="H1147" s="14" t="inlineStr"/>
      <c r="I1147" s="14" t="inlineStr">
        <is>
          <t>No</t>
        </is>
      </c>
      <c r="J1147" s="14" t="inlineStr">
        <is>
          <t>Catalogo</t>
        </is>
      </c>
      <c r="K1147" s="14" t="inlineStr">
        <is>
          <t>8+</t>
        </is>
      </c>
      <c r="L1147" s="14" t="inlineStr">
        <is>
          <t>https://www.libri.it/mia-madre</t>
        </is>
      </c>
      <c r="M1147" s="16" t="n">
        <v>15</v>
      </c>
      <c r="N1147" s="14" t="inlineStr">
        <is>
          <t>Lista titoli Logos Edizioni 2026 (PVP)</t>
        </is>
      </c>
      <c r="O1147" s="16">
        <f>IF(ISNUMBER(M1147),ROUND(M1147*(1-Condizioni!$B$2),2),"")</f>
        <v/>
      </c>
      <c r="P1147" s="17" t="inlineStr">
        <is>
          <t>No</t>
        </is>
      </c>
    </row>
    <row r="1148">
      <c r="A1148" s="14" t="inlineStr">
        <is>
          <t>Logos</t>
        </is>
      </c>
      <c r="B1148" s="14" t="inlineStr">
        <is>
          <t>Mio Fratello Notturno</t>
        </is>
      </c>
      <c r="C1148" s="14" t="inlineStr">
        <is>
          <t>Joanna Hellgren</t>
        </is>
      </c>
      <c r="D1148" s="14" t="inlineStr">
        <is>
          <t>Illustrati</t>
        </is>
      </c>
      <c r="E1148" s="14" t="inlineStr">
        <is>
          <t>da 8 anni</t>
        </is>
      </c>
      <c r="F1148" s="14" t="inlineStr">
        <is>
          <t>8+</t>
        </is>
      </c>
      <c r="G1148" s="14" t="inlineStr">
        <is>
          <t>Albo illustrato</t>
        </is>
      </c>
      <c r="H1148" s="14" t="inlineStr"/>
      <c r="I1148" s="14" t="inlineStr">
        <is>
          <t>No</t>
        </is>
      </c>
      <c r="J1148" s="14" t="inlineStr">
        <is>
          <t>Catalogo</t>
        </is>
      </c>
      <c r="K1148" s="14" t="inlineStr">
        <is>
          <t>8+</t>
        </is>
      </c>
      <c r="L1148" s="14" t="inlineStr">
        <is>
          <t>https://www.libri.it/mio-fratello-notturno</t>
        </is>
      </c>
      <c r="M1148" s="16" t="n">
        <v>14</v>
      </c>
      <c r="N1148" s="14" t="inlineStr">
        <is>
          <t>Lista titoli Logos Edizioni 2026 (PVP)</t>
        </is>
      </c>
      <c r="O1148" s="16">
        <f>IF(ISNUMBER(M1148),ROUND(M1148*(1-Condizioni!$B$2),2),"")</f>
        <v/>
      </c>
      <c r="P1148" s="17" t="inlineStr">
        <is>
          <t>No</t>
        </is>
      </c>
    </row>
    <row r="1149">
      <c r="A1149" s="14" t="inlineStr">
        <is>
          <t>Logos</t>
        </is>
      </c>
      <c r="B1149" s="14" t="inlineStr">
        <is>
          <t>Mira</t>
        </is>
      </c>
      <c r="C1149" s="14" t="inlineStr">
        <is>
          <t>Rocco Lombardi</t>
        </is>
      </c>
      <c r="D1149" s="14" t="inlineStr">
        <is>
          <t>Illustrati</t>
        </is>
      </c>
      <c r="E1149" s="14" t="inlineStr">
        <is>
          <t>da 8 anni</t>
        </is>
      </c>
      <c r="F1149" s="14" t="inlineStr">
        <is>
          <t>8+</t>
        </is>
      </c>
      <c r="G1149" s="14" t="inlineStr">
        <is>
          <t>Albo illustrato</t>
        </is>
      </c>
      <c r="H1149" s="14" t="inlineStr"/>
      <c r="I1149" s="14" t="inlineStr">
        <is>
          <t>No</t>
        </is>
      </c>
      <c r="J1149" s="14" t="inlineStr">
        <is>
          <t>Catalogo</t>
        </is>
      </c>
      <c r="K1149" s="14" t="inlineStr">
        <is>
          <t>8+</t>
        </is>
      </c>
      <c r="L1149" s="14" t="inlineStr">
        <is>
          <t>https://www.libri.it/mira</t>
        </is>
      </c>
      <c r="M1149" s="16" t="n">
        <v>20</v>
      </c>
      <c r="N1149" s="14" t="inlineStr">
        <is>
          <t>Lista titoli Logos Edizioni 2026 (PVP)</t>
        </is>
      </c>
      <c r="O1149" s="16">
        <f>IF(ISNUMBER(M1149),ROUND(M1149*(1-Condizioni!$B$2),2),"")</f>
        <v/>
      </c>
      <c r="P1149" s="17" t="inlineStr">
        <is>
          <t>Sì</t>
        </is>
      </c>
    </row>
    <row r="1150">
      <c r="A1150" s="14" t="inlineStr">
        <is>
          <t>Logos</t>
        </is>
      </c>
      <c r="B1150" s="14" t="inlineStr">
        <is>
          <t>Mortale</t>
        </is>
      </c>
      <c r="C1150" s="14" t="inlineStr">
        <is>
          <t>Emmanuelle Houdart</t>
        </is>
      </c>
      <c r="D1150" s="14" t="inlineStr">
        <is>
          <t>Illustrati</t>
        </is>
      </c>
      <c r="E1150" s="14" t="inlineStr">
        <is>
          <t>da 8 anni</t>
        </is>
      </c>
      <c r="F1150" s="14" t="inlineStr">
        <is>
          <t>8+</t>
        </is>
      </c>
      <c r="G1150" s="14" t="inlineStr">
        <is>
          <t>Albo illustrato</t>
        </is>
      </c>
      <c r="H1150" s="14" t="inlineStr"/>
      <c r="I1150" s="14" t="inlineStr">
        <is>
          <t>No</t>
        </is>
      </c>
      <c r="J1150" s="14" t="inlineStr">
        <is>
          <t>Catalogo</t>
        </is>
      </c>
      <c r="K1150" s="14" t="inlineStr">
        <is>
          <t>8+</t>
        </is>
      </c>
      <c r="L1150" s="14" t="inlineStr">
        <is>
          <t>https://www.libri.it/mortale</t>
        </is>
      </c>
      <c r="M1150" s="16" t="n">
        <v>20</v>
      </c>
      <c r="N1150" s="14" t="inlineStr">
        <is>
          <t>Lista titoli Logos Edizioni 2026 (PVP)</t>
        </is>
      </c>
      <c r="O1150" s="16">
        <f>IF(ISNUMBER(M1150),ROUND(M1150*(1-Condizioni!$B$2),2),"")</f>
        <v/>
      </c>
      <c r="P1150" s="17" t="inlineStr">
        <is>
          <t>No</t>
        </is>
      </c>
    </row>
    <row r="1151">
      <c r="A1151" s="14" t="inlineStr">
        <is>
          <t>Logos</t>
        </is>
      </c>
      <c r="B1151" s="14" t="inlineStr">
        <is>
          <t>Piccolo Vampiro 2</t>
        </is>
      </c>
      <c r="C1151" s="14" t="inlineStr">
        <is>
          <t>Joann Sfar; ill. Joann Sfar</t>
        </is>
      </c>
      <c r="D1151" s="14" t="inlineStr">
        <is>
          <t>Fumetto Ciopi</t>
        </is>
      </c>
      <c r="E1151" s="14" t="inlineStr">
        <is>
          <t>da 8 anni</t>
        </is>
      </c>
      <c r="F1151" s="14" t="inlineStr">
        <is>
          <t>8+</t>
        </is>
      </c>
      <c r="G1151" s="14" t="inlineStr">
        <is>
          <t>Graphic novel/Fumetto</t>
        </is>
      </c>
      <c r="H1151" s="14" t="inlineStr"/>
      <c r="I1151" s="14" t="inlineStr">
        <is>
          <t>No</t>
        </is>
      </c>
      <c r="J1151" s="14" t="inlineStr">
        <is>
          <t>Catalogo</t>
        </is>
      </c>
      <c r="K1151" s="14" t="inlineStr">
        <is>
          <t>8+</t>
        </is>
      </c>
      <c r="L1151" s="14" t="inlineStr">
        <is>
          <t>https://www.libri.it/piccolo-vampiro-2</t>
        </is>
      </c>
      <c r="M1151" s="16" t="n">
        <v>19</v>
      </c>
      <c r="N1151" s="14" t="inlineStr">
        <is>
          <t>Lista titoli Logos Edizioni 2026 (PVP)</t>
        </is>
      </c>
      <c r="O1151" s="16">
        <f>IF(ISNUMBER(M1151),ROUND(M1151*(1-Condizioni!$B$2),2),"")</f>
        <v/>
      </c>
      <c r="P1151" s="17" t="inlineStr">
        <is>
          <t>No</t>
        </is>
      </c>
    </row>
    <row r="1152">
      <c r="A1152" s="14" t="inlineStr">
        <is>
          <t>Logos</t>
        </is>
      </c>
      <c r="B1152" s="14" t="inlineStr">
        <is>
          <t>Piccolo Vampiro 3</t>
        </is>
      </c>
      <c r="C1152" s="14" t="inlineStr">
        <is>
          <t>Joann Sfar; ill. Joann Sfar</t>
        </is>
      </c>
      <c r="D1152" s="14" t="inlineStr">
        <is>
          <t>Fumetto Ciopi</t>
        </is>
      </c>
      <c r="E1152" s="14" t="inlineStr">
        <is>
          <t>da 8 anni</t>
        </is>
      </c>
      <c r="F1152" s="14" t="inlineStr">
        <is>
          <t>8+</t>
        </is>
      </c>
      <c r="G1152" s="14" t="inlineStr">
        <is>
          <t>Graphic novel/Fumetto</t>
        </is>
      </c>
      <c r="H1152" s="14" t="inlineStr"/>
      <c r="I1152" s="14" t="inlineStr">
        <is>
          <t>No</t>
        </is>
      </c>
      <c r="J1152" s="14" t="inlineStr">
        <is>
          <t>Catalogo</t>
        </is>
      </c>
      <c r="K1152" s="14" t="inlineStr">
        <is>
          <t>8+</t>
        </is>
      </c>
      <c r="L1152" s="14" t="inlineStr">
        <is>
          <t>https://www.libri.it/piccolo-vampiro-3</t>
        </is>
      </c>
      <c r="M1152" s="16" t="n">
        <v>21</v>
      </c>
      <c r="N1152" s="14" t="inlineStr">
        <is>
          <t>Lista titoli Logos Edizioni 2026 (PVP)</t>
        </is>
      </c>
      <c r="O1152" s="16">
        <f>IF(ISNUMBER(M1152),ROUND(M1152*(1-Condizioni!$B$2),2),"")</f>
        <v/>
      </c>
      <c r="P1152" s="17" t="inlineStr">
        <is>
          <t>No</t>
        </is>
      </c>
    </row>
    <row r="1153">
      <c r="A1153" s="14" t="inlineStr">
        <is>
          <t>Logos</t>
        </is>
      </c>
      <c r="B1153" s="14" t="inlineStr">
        <is>
          <t>Probuditi!</t>
        </is>
      </c>
      <c r="C1153" s="14" t="inlineStr">
        <is>
          <t>Chris Van Allsburg</t>
        </is>
      </c>
      <c r="D1153" s="14" t="inlineStr">
        <is>
          <t>Albo Ciopi</t>
        </is>
      </c>
      <c r="E1153" s="14" t="inlineStr">
        <is>
          <t>da 8 anni</t>
        </is>
      </c>
      <c r="F1153" s="14" t="inlineStr">
        <is>
          <t>8+</t>
        </is>
      </c>
      <c r="G1153" s="14" t="inlineStr">
        <is>
          <t>Albo illustrato</t>
        </is>
      </c>
      <c r="H1153" s="14" t="inlineStr"/>
      <c r="I1153" s="14" t="inlineStr">
        <is>
          <t>No</t>
        </is>
      </c>
      <c r="J1153" s="14" t="inlineStr">
        <is>
          <t>Catalogo</t>
        </is>
      </c>
      <c r="K1153" s="14" t="inlineStr">
        <is>
          <t>8+</t>
        </is>
      </c>
      <c r="L1153" s="14" t="inlineStr">
        <is>
          <t>https://www.libri.it/probuditi</t>
        </is>
      </c>
      <c r="M1153" s="16" t="n">
        <v>18.5</v>
      </c>
      <c r="N1153" s="14" t="inlineStr">
        <is>
          <t>Lista titoli Logos Edizioni 2026 (PVP)</t>
        </is>
      </c>
      <c r="O1153" s="16">
        <f>IF(ISNUMBER(M1153),ROUND(M1153*(1-Condizioni!$B$2),2),"")</f>
        <v/>
      </c>
      <c r="P1153" s="17" t="inlineStr">
        <is>
          <t>No</t>
        </is>
      </c>
    </row>
    <row r="1154">
      <c r="A1154" s="14" t="inlineStr">
        <is>
          <t>Logos</t>
        </is>
      </c>
      <c r="B1154" s="14" t="inlineStr">
        <is>
          <t>Raowl 2 Pelle d’Asino la Principessa Puzzolente</t>
        </is>
      </c>
      <c r="C1154" s="14" t="inlineStr">
        <is>
          <t>Tebo</t>
        </is>
      </c>
      <c r="D1154" s="14" t="inlineStr">
        <is>
          <t>Fumetto Ciopi</t>
        </is>
      </c>
      <c r="E1154" s="14" t="inlineStr">
        <is>
          <t>da 8 anni</t>
        </is>
      </c>
      <c r="F1154" s="14" t="inlineStr">
        <is>
          <t>8+</t>
        </is>
      </c>
      <c r="G1154" s="14" t="inlineStr">
        <is>
          <t>Graphic novel/Fumetto</t>
        </is>
      </c>
      <c r="H1154" s="14" t="inlineStr"/>
      <c r="I1154" s="14" t="inlineStr">
        <is>
          <t>No</t>
        </is>
      </c>
      <c r="J1154" s="14" t="inlineStr">
        <is>
          <t>Catalogo</t>
        </is>
      </c>
      <c r="K1154" s="14" t="inlineStr">
        <is>
          <t>8+</t>
        </is>
      </c>
      <c r="L1154" s="14" t="inlineStr">
        <is>
          <t>https://www.libri.it/raowl-2</t>
        </is>
      </c>
      <c r="M1154" s="16" t="n">
        <v>16</v>
      </c>
      <c r="N1154" s="14" t="inlineStr">
        <is>
          <t>Lista titoli Logos Edizioni 2026 (PVP)</t>
        </is>
      </c>
      <c r="O1154" s="16">
        <f>IF(ISNUMBER(M1154),ROUND(M1154*(1-Condizioni!$B$2),2),"")</f>
        <v/>
      </c>
      <c r="P1154" s="17" t="inlineStr">
        <is>
          <t>No</t>
        </is>
      </c>
    </row>
    <row r="1155">
      <c r="A1155" s="14" t="inlineStr">
        <is>
          <t>Logos</t>
        </is>
      </c>
      <c r="B1155" s="14" t="inlineStr">
        <is>
          <t>Raowl. la Bella e il Bruto</t>
        </is>
      </c>
      <c r="C1155" s="14" t="inlineStr">
        <is>
          <t>Tebo</t>
        </is>
      </c>
      <c r="D1155" s="14" t="inlineStr">
        <is>
          <t>Fumetto Ciopi</t>
        </is>
      </c>
      <c r="E1155" s="14" t="inlineStr">
        <is>
          <t>da 8 anni</t>
        </is>
      </c>
      <c r="F1155" s="14" t="inlineStr">
        <is>
          <t>8+</t>
        </is>
      </c>
      <c r="G1155" s="14" t="inlineStr">
        <is>
          <t>Graphic novel/Fumetto</t>
        </is>
      </c>
      <c r="H1155" s="14" t="inlineStr"/>
      <c r="I1155" s="14" t="inlineStr">
        <is>
          <t>No</t>
        </is>
      </c>
      <c r="J1155" s="14" t="inlineStr">
        <is>
          <t>Catalogo</t>
        </is>
      </c>
      <c r="K1155" s="14" t="inlineStr">
        <is>
          <t>8+</t>
        </is>
      </c>
      <c r="L1155" s="14" t="inlineStr">
        <is>
          <t>https://www.libri.it/raowl-la-bella-e-il-bruto</t>
        </is>
      </c>
      <c r="M1155" s="16" t="n">
        <v>16</v>
      </c>
      <c r="N1155" s="14" t="inlineStr">
        <is>
          <t>Lista titoli Logos Edizioni 2026 (PVP)</t>
        </is>
      </c>
      <c r="O1155" s="16">
        <f>IF(ISNUMBER(M1155),ROUND(M1155*(1-Condizioni!$B$2),2),"")</f>
        <v/>
      </c>
      <c r="P1155" s="17" t="inlineStr">
        <is>
          <t>No</t>
        </is>
      </c>
    </row>
    <row r="1156">
      <c r="A1156" s="14" t="inlineStr">
        <is>
          <t>Logos</t>
        </is>
      </c>
      <c r="B1156" s="14" t="inlineStr">
        <is>
          <t>Rompicapo</t>
        </is>
      </c>
      <c r="C1156" s="14" t="inlineStr">
        <is>
          <t>Txabi Arnal, Manu Arnal; ill. Roger Olmos</t>
        </is>
      </c>
      <c r="D1156" s="14" t="inlineStr">
        <is>
          <t>Albo Ciopi</t>
        </is>
      </c>
      <c r="E1156" s="14" t="inlineStr">
        <is>
          <t>da 8 anni</t>
        </is>
      </c>
      <c r="F1156" s="14" t="inlineStr">
        <is>
          <t>8+</t>
        </is>
      </c>
      <c r="G1156" s="14" t="inlineStr">
        <is>
          <t>Albo illustrato</t>
        </is>
      </c>
      <c r="H1156" s="14" t="inlineStr"/>
      <c r="I1156" s="14" t="inlineStr">
        <is>
          <t>No</t>
        </is>
      </c>
      <c r="J1156" s="14" t="inlineStr">
        <is>
          <t>Catalogo</t>
        </is>
      </c>
      <c r="K1156" s="14" t="inlineStr">
        <is>
          <t>8+</t>
        </is>
      </c>
      <c r="L1156" s="14" t="inlineStr">
        <is>
          <t>https://www.libri.it/il-rompicapo</t>
        </is>
      </c>
      <c r="M1156" s="16" t="n">
        <v>17</v>
      </c>
      <c r="N1156" s="14" t="inlineStr">
        <is>
          <t>Lista titoli Logos Edizioni 2026 (PVP)</t>
        </is>
      </c>
      <c r="O1156" s="16">
        <f>IF(ISNUMBER(M1156),ROUND(M1156*(1-Condizioni!$B$2),2),"")</f>
        <v/>
      </c>
      <c r="P1156" s="17" t="inlineStr">
        <is>
          <t>No</t>
        </is>
      </c>
    </row>
    <row r="1157">
      <c r="A1157" s="14" t="inlineStr">
        <is>
          <t>Logos</t>
        </is>
      </c>
      <c r="B1157" s="14" t="inlineStr">
        <is>
          <t>Rose e l’Automa dell’Opera</t>
        </is>
      </c>
      <c r="C1157" s="14" t="inlineStr">
        <is>
          <t>Fred Bernard; ill. François Roca</t>
        </is>
      </c>
      <c r="D1157" s="14" t="inlineStr">
        <is>
          <t>Albo Ciopi</t>
        </is>
      </c>
      <c r="E1157" s="14" t="inlineStr">
        <is>
          <t>da 8 anni</t>
        </is>
      </c>
      <c r="F1157" s="14" t="inlineStr">
        <is>
          <t>8+</t>
        </is>
      </c>
      <c r="G1157" s="14" t="inlineStr">
        <is>
          <t>Albo illustrato</t>
        </is>
      </c>
      <c r="H1157" s="14" t="inlineStr"/>
      <c r="I1157" s="14" t="inlineStr">
        <is>
          <t>No</t>
        </is>
      </c>
      <c r="J1157" s="14" t="inlineStr">
        <is>
          <t>Catalogo</t>
        </is>
      </c>
      <c r="K1157" s="14" t="inlineStr">
        <is>
          <t>8+</t>
        </is>
      </c>
      <c r="L1157" s="14" t="inlineStr">
        <is>
          <t>https://www.libri.it/rose-e-automa-opera</t>
        </is>
      </c>
      <c r="M1157" s="16" t="n">
        <v>18</v>
      </c>
      <c r="N1157" s="14" t="inlineStr">
        <is>
          <t>Lista titoli Logos Edizioni 2026 (PVP)</t>
        </is>
      </c>
      <c r="O1157" s="16">
        <f>IF(ISNUMBER(M1157),ROUND(M1157*(1-Condizioni!$B$2),2),"")</f>
        <v/>
      </c>
      <c r="P1157" s="17" t="inlineStr">
        <is>
          <t>No</t>
        </is>
      </c>
    </row>
    <row r="1158">
      <c r="A1158" s="14" t="inlineStr">
        <is>
          <t>Logos</t>
        </is>
      </c>
      <c r="B1158" s="14" t="inlineStr">
        <is>
          <t>Rosso</t>
        </is>
      </c>
      <c r="C1158" s="14" t="inlineStr">
        <is>
          <t>Elena Bellei; ill. Anna Paolini</t>
        </is>
      </c>
      <c r="D1158" s="14" t="inlineStr">
        <is>
          <t>Biblioteca Ciopi</t>
        </is>
      </c>
      <c r="E1158" s="14" t="inlineStr">
        <is>
          <t>da 8 anni</t>
        </is>
      </c>
      <c r="F1158" s="14" t="inlineStr">
        <is>
          <t>8+</t>
        </is>
      </c>
      <c r="G1158" s="14" t="inlineStr">
        <is>
          <t>Narrativa</t>
        </is>
      </c>
      <c r="H1158" s="14" t="inlineStr"/>
      <c r="I1158" s="14" t="inlineStr">
        <is>
          <t>No</t>
        </is>
      </c>
      <c r="J1158" s="14" t="inlineStr">
        <is>
          <t>Catalogo</t>
        </is>
      </c>
      <c r="K1158" s="14" t="inlineStr">
        <is>
          <t>8+, narrativa</t>
        </is>
      </c>
      <c r="L1158" s="14" t="inlineStr">
        <is>
          <t>https://www.libri.it/rosso-paolini</t>
        </is>
      </c>
      <c r="M1158" s="16" t="n">
        <v>10</v>
      </c>
      <c r="N1158" s="14" t="inlineStr">
        <is>
          <t>Lista titoli Logos Edizioni 2026 (PVP)</t>
        </is>
      </c>
      <c r="O1158" s="16">
        <f>IF(ISNUMBER(M1158),ROUND(M1158*(1-Condizioni!$B$2),2),"")</f>
        <v/>
      </c>
      <c r="P1158" s="17" t="inlineStr">
        <is>
          <t>No</t>
        </is>
      </c>
    </row>
    <row r="1159">
      <c r="A1159" s="14" t="inlineStr">
        <is>
          <t>Logos</t>
        </is>
      </c>
      <c r="B1159" s="14" t="inlineStr">
        <is>
          <t>Saltimbanchi</t>
        </is>
      </c>
      <c r="C1159" s="14" t="inlineStr">
        <is>
          <t>Marie Desplechin; ill. Emmanuelle Houdart</t>
        </is>
      </c>
      <c r="D1159" s="14" t="inlineStr">
        <is>
          <t>Illustrati</t>
        </is>
      </c>
      <c r="E1159" s="14" t="inlineStr">
        <is>
          <t>da 8 anni</t>
        </is>
      </c>
      <c r="F1159" s="14" t="inlineStr">
        <is>
          <t>8+</t>
        </is>
      </c>
      <c r="G1159" s="14" t="inlineStr">
        <is>
          <t>Albo illustrato</t>
        </is>
      </c>
      <c r="H1159" s="14" t="inlineStr"/>
      <c r="I1159" s="14" t="inlineStr">
        <is>
          <t>No</t>
        </is>
      </c>
      <c r="J1159" s="14" t="inlineStr">
        <is>
          <t>Catalogo</t>
        </is>
      </c>
      <c r="K1159" s="14" t="inlineStr">
        <is>
          <t>8+</t>
        </is>
      </c>
      <c r="L1159" s="14" t="inlineStr">
        <is>
          <t>https://www.libri.it/saltimbanchi</t>
        </is>
      </c>
      <c r="M1159" s="16" t="n">
        <v>25</v>
      </c>
      <c r="N1159" s="14" t="inlineStr">
        <is>
          <t>Lista titoli Logos Edizioni 2026 (PVP)</t>
        </is>
      </c>
      <c r="O1159" s="16">
        <f>IF(ISNUMBER(M1159),ROUND(M1159*(1-Condizioni!$B$2),2),"")</f>
        <v/>
      </c>
      <c r="P1159" s="17" t="inlineStr">
        <is>
          <t>No</t>
        </is>
      </c>
    </row>
    <row r="1160">
      <c r="A1160" s="14" t="inlineStr">
        <is>
          <t>Logos</t>
        </is>
      </c>
      <c r="B1160" s="14" t="inlineStr">
        <is>
          <t>Shark! (sea Shepherd)</t>
        </is>
      </c>
      <c r="C1160" s="14" t="inlineStr">
        <is>
          <t>Geert Vons; ill. Roger Olmos</t>
        </is>
      </c>
      <c r="D1160" s="14" t="inlineStr">
        <is>
          <t>Illustrati</t>
        </is>
      </c>
      <c r="E1160" s="14" t="inlineStr">
        <is>
          <t>da 8 anni</t>
        </is>
      </c>
      <c r="F1160" s="14" t="inlineStr">
        <is>
          <t>8+</t>
        </is>
      </c>
      <c r="G1160" s="14" t="inlineStr">
        <is>
          <t>Albo illustrato</t>
        </is>
      </c>
      <c r="H1160" s="14" t="inlineStr"/>
      <c r="I1160" s="14" t="inlineStr">
        <is>
          <t>No</t>
        </is>
      </c>
      <c r="J1160" s="14" t="inlineStr">
        <is>
          <t>Catalogo</t>
        </is>
      </c>
      <c r="K1160" s="14" t="inlineStr">
        <is>
          <t>8+</t>
        </is>
      </c>
      <c r="L1160" s="14" t="inlineStr">
        <is>
          <t>https://www.libri.it/shark</t>
        </is>
      </c>
      <c r="M1160" s="16" t="n">
        <v>12</v>
      </c>
      <c r="N1160" s="14" t="inlineStr">
        <is>
          <t>Lista titoli Logos Edizioni 2026 (PVP)</t>
        </is>
      </c>
      <c r="O1160" s="16">
        <f>IF(ISNUMBER(M1160),ROUND(M1160*(1-Condizioni!$B$2),2),"")</f>
        <v/>
      </c>
      <c r="P1160" s="17" t="inlineStr">
        <is>
          <t>No</t>
        </is>
      </c>
    </row>
    <row r="1161">
      <c r="A1161" s="14" t="inlineStr">
        <is>
          <t>Logos</t>
        </is>
      </c>
      <c r="B1161" s="14" t="inlineStr">
        <is>
          <t>Signor Singhiozzo</t>
        </is>
      </c>
      <c r="C1161" s="14" t="inlineStr">
        <is>
          <t>Graciela Beatriz Cabal; ill. Giulia Pintus</t>
        </is>
      </c>
      <c r="D1161" s="14" t="inlineStr">
        <is>
          <t>Biblioteca Ciopi</t>
        </is>
      </c>
      <c r="E1161" s="14" t="inlineStr">
        <is>
          <t>da 8 anni</t>
        </is>
      </c>
      <c r="F1161" s="14" t="inlineStr">
        <is>
          <t>8+</t>
        </is>
      </c>
      <c r="G1161" s="14" t="inlineStr">
        <is>
          <t>Narrativa</t>
        </is>
      </c>
      <c r="H1161" s="14" t="inlineStr"/>
      <c r="I1161" s="14" t="inlineStr">
        <is>
          <t>No</t>
        </is>
      </c>
      <c r="J1161" s="14" t="inlineStr">
        <is>
          <t>Catalogo</t>
        </is>
      </c>
      <c r="K1161" s="14" t="inlineStr">
        <is>
          <t>8+, narrativa</t>
        </is>
      </c>
      <c r="L1161" s="14" t="inlineStr">
        <is>
          <t>https://www.libri.it/signor-singhiozzo</t>
        </is>
      </c>
      <c r="M1161" s="16" t="n">
        <v>9</v>
      </c>
      <c r="N1161" s="14" t="inlineStr">
        <is>
          <t>Lista titoli Logos Edizioni 2026 (PVP)</t>
        </is>
      </c>
      <c r="O1161" s="16">
        <f>IF(ISNUMBER(M1161),ROUND(M1161*(1-Condizioni!$B$2),2),"")</f>
        <v/>
      </c>
      <c r="P1161" s="17" t="inlineStr">
        <is>
          <t>No</t>
        </is>
      </c>
    </row>
    <row r="1162">
      <c r="A1162" s="14" t="inlineStr">
        <is>
          <t>Logos</t>
        </is>
      </c>
      <c r="B1162" s="14" t="inlineStr">
        <is>
          <t>Solveig. una Vichinga nella Terra degli Irochesi</t>
        </is>
      </c>
      <c r="C1162" s="14" t="inlineStr">
        <is>
          <t>Fred Bernard; ill. François Roca</t>
        </is>
      </c>
      <c r="D1162" s="14" t="inlineStr">
        <is>
          <t>Albo Ciopi</t>
        </is>
      </c>
      <c r="E1162" s="14" t="inlineStr">
        <is>
          <t>da 8 anni</t>
        </is>
      </c>
      <c r="F1162" s="14" t="inlineStr">
        <is>
          <t>8+</t>
        </is>
      </c>
      <c r="G1162" s="14" t="inlineStr">
        <is>
          <t>Albo illustrato</t>
        </is>
      </c>
      <c r="H1162" s="14" t="inlineStr"/>
      <c r="I1162" s="14" t="inlineStr">
        <is>
          <t>No</t>
        </is>
      </c>
      <c r="J1162" s="14" t="inlineStr">
        <is>
          <t>Catalogo</t>
        </is>
      </c>
      <c r="K1162" s="14" t="inlineStr">
        <is>
          <t>8+</t>
        </is>
      </c>
      <c r="L1162" s="14" t="inlineStr">
        <is>
          <t>https://www.libri.it/solveig</t>
        </is>
      </c>
      <c r="M1162" s="16" t="n">
        <v>18</v>
      </c>
      <c r="N1162" s="14" t="inlineStr">
        <is>
          <t>Lista titoli Logos Edizioni 2026 (PVP)</t>
        </is>
      </c>
      <c r="O1162" s="16">
        <f>IF(ISNUMBER(M1162),ROUND(M1162*(1-Condizioni!$B$2),2),"")</f>
        <v/>
      </c>
      <c r="P1162" s="17" t="inlineStr">
        <is>
          <t>No</t>
        </is>
      </c>
    </row>
    <row r="1163">
      <c r="A1163" s="14" t="inlineStr">
        <is>
          <t>Logos</t>
        </is>
      </c>
      <c r="B1163" s="14" t="inlineStr">
        <is>
          <t>Su Anasi. la Donna dell’Acqua</t>
        </is>
      </c>
      <c r="C1163" s="14" t="inlineStr">
        <is>
          <t>Dilka Bear</t>
        </is>
      </c>
      <c r="D1163" s="14" t="inlineStr">
        <is>
          <t>Illustrati</t>
        </is>
      </c>
      <c r="E1163" s="14" t="inlineStr">
        <is>
          <t>da 8 anni</t>
        </is>
      </c>
      <c r="F1163" s="14" t="inlineStr">
        <is>
          <t>8+</t>
        </is>
      </c>
      <c r="G1163" s="14" t="inlineStr">
        <is>
          <t>Albo illustrato</t>
        </is>
      </c>
      <c r="H1163" s="14" t="inlineStr"/>
      <c r="I1163" s="14" t="inlineStr">
        <is>
          <t>No</t>
        </is>
      </c>
      <c r="J1163" s="14" t="inlineStr">
        <is>
          <t>Catalogo</t>
        </is>
      </c>
      <c r="K1163" s="14" t="inlineStr">
        <is>
          <t>8+</t>
        </is>
      </c>
      <c r="L1163" s="14" t="inlineStr">
        <is>
          <t>https://www.libri.it/su-anasi</t>
        </is>
      </c>
      <c r="M1163" s="16" t="n">
        <v>18</v>
      </c>
      <c r="N1163" s="14" t="inlineStr">
        <is>
          <t>Lista titoli Logos Edizioni 2026 (PVP)</t>
        </is>
      </c>
      <c r="O1163" s="16">
        <f>IF(ISNUMBER(M1163),ROUND(M1163*(1-Condizioni!$B$2),2),"")</f>
        <v/>
      </c>
      <c r="P1163" s="17" t="inlineStr">
        <is>
          <t>No</t>
        </is>
      </c>
    </row>
    <row r="1164">
      <c r="A1164" s="14" t="inlineStr">
        <is>
          <t>Logos</t>
        </is>
      </c>
      <c r="B1164" s="14" t="inlineStr">
        <is>
          <t>Taiji (sea Shepherd)</t>
        </is>
      </c>
      <c r="C1164" s="14" t="inlineStr">
        <is>
          <t>Geert Vons; ill. Roger Olmos</t>
        </is>
      </c>
      <c r="D1164" s="14" t="inlineStr">
        <is>
          <t>Illustrati</t>
        </is>
      </c>
      <c r="E1164" s="14" t="inlineStr">
        <is>
          <t>da 8 anni</t>
        </is>
      </c>
      <c r="F1164" s="14" t="inlineStr">
        <is>
          <t>8+</t>
        </is>
      </c>
      <c r="G1164" s="14" t="inlineStr">
        <is>
          <t>Albo illustrato</t>
        </is>
      </c>
      <c r="H1164" s="14" t="inlineStr"/>
      <c r="I1164" s="14" t="inlineStr">
        <is>
          <t>No</t>
        </is>
      </c>
      <c r="J1164" s="14" t="inlineStr">
        <is>
          <t>Catalogo</t>
        </is>
      </c>
      <c r="K1164" s="14" t="inlineStr">
        <is>
          <t>8+</t>
        </is>
      </c>
      <c r="L1164" s="14" t="inlineStr">
        <is>
          <t>https://www.libri.it/taiji</t>
        </is>
      </c>
      <c r="M1164" s="16" t="n">
        <v>10</v>
      </c>
      <c r="N1164" s="14" t="inlineStr">
        <is>
          <t>Lista titoli Logos Edizioni 2026 (PVP)</t>
        </is>
      </c>
      <c r="O1164" s="16">
        <f>IF(ISNUMBER(M1164),ROUND(M1164*(1-Condizioni!$B$2),2),"")</f>
        <v/>
      </c>
      <c r="P1164" s="17" t="inlineStr">
        <is>
          <t>No</t>
        </is>
      </c>
    </row>
    <row r="1165">
      <c r="A1165" s="14" t="inlineStr">
        <is>
          <t>Logos</t>
        </is>
      </c>
      <c r="B1165" s="14" t="inlineStr">
        <is>
          <t>Toby</t>
        </is>
      </c>
      <c r="C1165" s="14" t="inlineStr">
        <is>
          <t>Graciela Beatriz Cabal; ill. Israel Barrón</t>
        </is>
      </c>
      <c r="D1165" s="14" t="inlineStr">
        <is>
          <t>Biblioteca Ciopi</t>
        </is>
      </c>
      <c r="E1165" s="14" t="inlineStr">
        <is>
          <t>da 8 anni</t>
        </is>
      </c>
      <c r="F1165" s="14" t="inlineStr">
        <is>
          <t>8+</t>
        </is>
      </c>
      <c r="G1165" s="14" t="inlineStr">
        <is>
          <t>Narrativa</t>
        </is>
      </c>
      <c r="H1165" s="14" t="inlineStr"/>
      <c r="I1165" s="14" t="inlineStr">
        <is>
          <t>No</t>
        </is>
      </c>
      <c r="J1165" s="14" t="inlineStr">
        <is>
          <t>Catalogo</t>
        </is>
      </c>
      <c r="K1165" s="14" t="inlineStr">
        <is>
          <t>8+, narrativa</t>
        </is>
      </c>
      <c r="L1165" s="14" t="inlineStr">
        <is>
          <t>https://www.libri.it/toby</t>
        </is>
      </c>
      <c r="M1165" s="16" t="n">
        <v>9</v>
      </c>
      <c r="N1165" s="14" t="inlineStr">
        <is>
          <t>Lista titoli Logos Edizioni 2026 (PVP)</t>
        </is>
      </c>
      <c r="O1165" s="16">
        <f>IF(ISNUMBER(M1165),ROUND(M1165*(1-Condizioni!$B$2),2),"")</f>
        <v/>
      </c>
      <c r="P1165" s="17" t="inlineStr">
        <is>
          <t>No</t>
        </is>
      </c>
    </row>
    <row r="1166">
      <c r="A1166" s="14" t="inlineStr">
        <is>
          <t>Logos</t>
        </is>
      </c>
      <c r="B1166" s="14" t="inlineStr">
        <is>
          <t>Tutti Contenti</t>
        </is>
      </c>
      <c r="C1166" s="14" t="inlineStr">
        <is>
          <t>Nicolás Arispe</t>
        </is>
      </c>
      <c r="D1166" s="14" t="inlineStr">
        <is>
          <t>Illustrati</t>
        </is>
      </c>
      <c r="E1166" s="14" t="inlineStr">
        <is>
          <t>da 8 anni</t>
        </is>
      </c>
      <c r="F1166" s="14" t="inlineStr">
        <is>
          <t>8+</t>
        </is>
      </c>
      <c r="G1166" s="14" t="inlineStr">
        <is>
          <t>Albo illustrato</t>
        </is>
      </c>
      <c r="H1166" s="14" t="inlineStr"/>
      <c r="I1166" s="14" t="inlineStr">
        <is>
          <t>No</t>
        </is>
      </c>
      <c r="J1166" s="14" t="inlineStr">
        <is>
          <t>Catalogo</t>
        </is>
      </c>
      <c r="K1166" s="14" t="inlineStr">
        <is>
          <t>8+</t>
        </is>
      </c>
      <c r="L1166" s="14" t="inlineStr">
        <is>
          <t>https://www.libri.it/tutti-contenti</t>
        </is>
      </c>
      <c r="M1166" s="16" t="n">
        <v>12</v>
      </c>
      <c r="N1166" s="14" t="inlineStr">
        <is>
          <t>Lista titoli Logos Edizioni 2026 (PVP)</t>
        </is>
      </c>
      <c r="O1166" s="16">
        <f>IF(ISNUMBER(M1166),ROUND(M1166*(1-Condizioni!$B$2),2),"")</f>
        <v/>
      </c>
      <c r="P1166" s="17" t="inlineStr">
        <is>
          <t>No</t>
        </is>
      </c>
    </row>
    <row r="1167">
      <c r="A1167" s="14" t="inlineStr">
        <is>
          <t>Logos</t>
        </is>
      </c>
      <c r="B1167" s="14" t="inlineStr">
        <is>
          <t>Un Cane</t>
        </is>
      </c>
      <c r="C1167" s="14" t="inlineStr">
        <is>
          <t>Daniel Nesquens; ill. Alberto Gamón</t>
        </is>
      </c>
      <c r="D1167" s="14" t="inlineStr">
        <is>
          <t>Illustrati</t>
        </is>
      </c>
      <c r="E1167" s="14" t="inlineStr">
        <is>
          <t>da 8 anni</t>
        </is>
      </c>
      <c r="F1167" s="14" t="inlineStr">
        <is>
          <t>8+</t>
        </is>
      </c>
      <c r="G1167" s="14" t="inlineStr">
        <is>
          <t>Albo illustrato</t>
        </is>
      </c>
      <c r="H1167" s="14" t="inlineStr"/>
      <c r="I1167" s="14" t="inlineStr">
        <is>
          <t>No</t>
        </is>
      </c>
      <c r="J1167" s="14" t="inlineStr">
        <is>
          <t>Catalogo</t>
        </is>
      </c>
      <c r="K1167" s="14" t="inlineStr">
        <is>
          <t>8+</t>
        </is>
      </c>
      <c r="L1167" s="14" t="inlineStr">
        <is>
          <t>https://www.libri.it/un-cane</t>
        </is>
      </c>
      <c r="M1167" s="16" t="n">
        <v>13</v>
      </c>
      <c r="N1167" s="14" t="inlineStr">
        <is>
          <t>Lista titoli Logos Edizioni 2026 (PVP)</t>
        </is>
      </c>
      <c r="O1167" s="16">
        <f>IF(ISNUMBER(M1167),ROUND(M1167*(1-Condizioni!$B$2),2),"")</f>
        <v/>
      </c>
      <c r="P1167" s="17" t="inlineStr">
        <is>
          <t>No</t>
        </is>
      </c>
    </row>
    <row r="1168">
      <c r="A1168" s="14" t="inlineStr">
        <is>
          <t>Logos</t>
        </is>
      </c>
      <c r="B1168" s="14" t="inlineStr">
        <is>
          <t>Amore e Psiche</t>
        </is>
      </c>
      <c r="C1168" s="14" t="inlineStr">
        <is>
          <t>Gabriel Pacheco</t>
        </is>
      </c>
      <c r="D1168" s="14" t="inlineStr">
        <is>
          <t>Illustrati</t>
        </is>
      </c>
      <c r="E1168" s="14" t="inlineStr">
        <is>
          <t>da 12 anni</t>
        </is>
      </c>
      <c r="F1168" s="14" t="inlineStr">
        <is>
          <t>Scuola media (11-13)</t>
        </is>
      </c>
      <c r="G1168" s="14" t="inlineStr">
        <is>
          <t>Albo illustrato</t>
        </is>
      </c>
      <c r="H1168" s="14" t="inlineStr"/>
      <c r="I1168" s="14" t="inlineStr">
        <is>
          <t>No</t>
        </is>
      </c>
      <c r="J1168" s="14" t="inlineStr">
        <is>
          <t>Catalogo</t>
        </is>
      </c>
      <c r="K1168" s="14" t="inlineStr">
        <is>
          <t>prima/seconda/terza media</t>
        </is>
      </c>
      <c r="L1168" s="14" t="inlineStr">
        <is>
          <t>https://www.libri.it/amore_psiche</t>
        </is>
      </c>
      <c r="M1168" s="16" t="n">
        <v>20</v>
      </c>
      <c r="N1168" s="14" t="inlineStr">
        <is>
          <t>Lista titoli Logos Edizioni 2026 (PVP)</t>
        </is>
      </c>
      <c r="O1168" s="16">
        <f>IF(ISNUMBER(M1168),ROUND(M1168*(1-Condizioni!$B$2),2),"")</f>
        <v/>
      </c>
      <c r="P1168" s="17" t="inlineStr">
        <is>
          <t>No</t>
        </is>
      </c>
    </row>
    <row r="1169">
      <c r="A1169" s="14" t="inlineStr">
        <is>
          <t>Logos</t>
        </is>
      </c>
      <c r="B1169" s="14" t="inlineStr">
        <is>
          <t>Barbablù</t>
        </is>
      </c>
      <c r="C1169" s="14" t="inlineStr">
        <is>
          <t>Chiara Lossani; ill. Gabriel Pacheco</t>
        </is>
      </c>
      <c r="D1169" s="14" t="inlineStr">
        <is>
          <t>Illustrati</t>
        </is>
      </c>
      <c r="E1169" s="14" t="inlineStr">
        <is>
          <t>da 12 anni</t>
        </is>
      </c>
      <c r="F1169" s="14" t="inlineStr">
        <is>
          <t>Scuola media (11-13)</t>
        </is>
      </c>
      <c r="G1169" s="14" t="inlineStr">
        <is>
          <t>Albo illustrato</t>
        </is>
      </c>
      <c r="H1169" s="14" t="inlineStr"/>
      <c r="I1169" s="14" t="inlineStr">
        <is>
          <t>No</t>
        </is>
      </c>
      <c r="J1169" s="14" t="inlineStr">
        <is>
          <t>Catalogo</t>
        </is>
      </c>
      <c r="K1169" s="14" t="inlineStr">
        <is>
          <t>prima/seconda/terza media</t>
        </is>
      </c>
      <c r="L1169" s="14" t="inlineStr">
        <is>
          <t>https://www.libri.it/barbablu</t>
        </is>
      </c>
      <c r="M1169" s="16" t="n">
        <v>17</v>
      </c>
      <c r="N1169" s="14" t="inlineStr">
        <is>
          <t>Lista titoli Logos Edizioni 2026 (PVP)</t>
        </is>
      </c>
      <c r="O1169" s="16">
        <f>IF(ISNUMBER(M1169),ROUND(M1169*(1-Condizioni!$B$2),2),"")</f>
        <v/>
      </c>
      <c r="P1169" s="17" t="inlineStr">
        <is>
          <t>Sì</t>
        </is>
      </c>
    </row>
    <row r="1170">
      <c r="A1170" s="14" t="inlineStr">
        <is>
          <t>Logos</t>
        </is>
      </c>
      <c r="B1170" s="14" t="inlineStr">
        <is>
          <t>Cappuccettorosso</t>
        </is>
      </c>
      <c r="C1170" s="14" t="inlineStr">
        <is>
          <t>Gabriel Pacheco</t>
        </is>
      </c>
      <c r="D1170" s="14" t="inlineStr">
        <is>
          <t>Illustrati</t>
        </is>
      </c>
      <c r="E1170" s="14" t="inlineStr">
        <is>
          <t>da 12 anni</t>
        </is>
      </c>
      <c r="F1170" s="14" t="inlineStr">
        <is>
          <t>Scuola media (11-13)</t>
        </is>
      </c>
      <c r="G1170" s="14" t="inlineStr">
        <is>
          <t>Albo illustrato</t>
        </is>
      </c>
      <c r="H1170" s="14" t="inlineStr"/>
      <c r="I1170" s="14" t="inlineStr">
        <is>
          <t>No</t>
        </is>
      </c>
      <c r="J1170" s="14" t="inlineStr">
        <is>
          <t>Catalogo</t>
        </is>
      </c>
      <c r="K1170" s="14" t="inlineStr">
        <is>
          <t>prima/seconda/terza media</t>
        </is>
      </c>
      <c r="L1170" s="14" t="inlineStr">
        <is>
          <t>https://www.libri.it/cappuccetto-rosso-pacheco</t>
        </is>
      </c>
      <c r="M1170" s="16" t="n">
        <v>18</v>
      </c>
      <c r="N1170" s="14" t="inlineStr">
        <is>
          <t>Lista titoli Logos Edizioni 2026 (PVP)</t>
        </is>
      </c>
      <c r="O1170" s="16">
        <f>IF(ISNUMBER(M1170),ROUND(M1170*(1-Condizioni!$B$2),2),"")</f>
        <v/>
      </c>
      <c r="P1170" s="17" t="inlineStr">
        <is>
          <t>No</t>
        </is>
      </c>
    </row>
    <row r="1171">
      <c r="A1171" s="14" t="inlineStr">
        <is>
          <t>Logos</t>
        </is>
      </c>
      <c r="B1171" s="14" t="inlineStr">
        <is>
          <t>Carmilla</t>
        </is>
      </c>
      <c r="C1171" s="14" t="inlineStr">
        <is>
          <t>Joseph Thomas Sheridan Le Fanu; ill. Ana Juan</t>
        </is>
      </c>
      <c r="D1171" s="14" t="inlineStr">
        <is>
          <t>Illustrati</t>
        </is>
      </c>
      <c r="E1171" s="14" t="inlineStr">
        <is>
          <t>da 12 anni</t>
        </is>
      </c>
      <c r="F1171" s="14" t="inlineStr">
        <is>
          <t>Scuola media (11-13)</t>
        </is>
      </c>
      <c r="G1171" s="14" t="inlineStr">
        <is>
          <t>Albo illustrato</t>
        </is>
      </c>
      <c r="H1171" s="14" t="inlineStr"/>
      <c r="I1171" s="14" t="inlineStr">
        <is>
          <t>No</t>
        </is>
      </c>
      <c r="J1171" s="14" t="inlineStr">
        <is>
          <t>Catalogo</t>
        </is>
      </c>
      <c r="K1171" s="14" t="inlineStr">
        <is>
          <t>prima/seconda/terza media</t>
        </is>
      </c>
      <c r="L1171" s="14" t="inlineStr">
        <is>
          <t>https://www.libri.it/carmilla</t>
        </is>
      </c>
      <c r="M1171" s="16" t="n">
        <v>20</v>
      </c>
      <c r="N1171" s="14" t="inlineStr">
        <is>
          <t>Lista titoli Logos Edizioni 2026 (PVP)</t>
        </is>
      </c>
      <c r="O1171" s="16">
        <f>IF(ISNUMBER(M1171),ROUND(M1171*(1-Condizioni!$B$2),2),"")</f>
        <v/>
      </c>
      <c r="P1171" s="17" t="inlineStr">
        <is>
          <t>No</t>
        </is>
      </c>
    </row>
    <row r="1172">
      <c r="A1172" s="14" t="inlineStr">
        <is>
          <t>Logos</t>
        </is>
      </c>
      <c r="B1172" s="14" t="inlineStr">
        <is>
          <t>Cinema Panopticum</t>
        </is>
      </c>
      <c r="C1172" s="14" t="inlineStr">
        <is>
          <t>Thomas Ott</t>
        </is>
      </c>
      <c r="D1172" s="14" t="inlineStr">
        <is>
          <t>Illustrati</t>
        </is>
      </c>
      <c r="E1172" s="14" t="inlineStr">
        <is>
          <t>da 12 anni</t>
        </is>
      </c>
      <c r="F1172" s="14" t="inlineStr">
        <is>
          <t>Scuola media (11-13)</t>
        </is>
      </c>
      <c r="G1172" s="14" t="inlineStr">
        <is>
          <t>Albo illustrato</t>
        </is>
      </c>
      <c r="H1172" s="14" t="inlineStr"/>
      <c r="I1172" s="14" t="inlineStr">
        <is>
          <t>No</t>
        </is>
      </c>
      <c r="J1172" s="14" t="inlineStr">
        <is>
          <t>Catalogo</t>
        </is>
      </c>
      <c r="K1172" s="14" t="inlineStr">
        <is>
          <t>prima/seconda/terza media</t>
        </is>
      </c>
      <c r="L1172" s="14" t="inlineStr">
        <is>
          <t>https://www.libri.it/cinema-panopticum</t>
        </is>
      </c>
      <c r="M1172" s="16" t="n">
        <v>17</v>
      </c>
      <c r="N1172" s="14" t="inlineStr">
        <is>
          <t>Lista titoli Logos Edizioni 2026 (PVP)</t>
        </is>
      </c>
      <c r="O1172" s="16">
        <f>IF(ISNUMBER(M1172),ROUND(M1172*(1-Condizioni!$B$2),2),"")</f>
        <v/>
      </c>
      <c r="P1172" s="17" t="inlineStr">
        <is>
          <t>No</t>
        </is>
      </c>
    </row>
    <row r="1173">
      <c r="A1173" s="14" t="inlineStr">
        <is>
          <t>Logos</t>
        </is>
      </c>
      <c r="B1173" s="14" t="inlineStr">
        <is>
          <t>C’Era la Taiga, c’Era un Incendio</t>
        </is>
      </c>
      <c r="C1173" s="14" t="inlineStr">
        <is>
          <t>Matteo Meschiari; ill. Rocco Lombardi</t>
        </is>
      </c>
      <c r="D1173" s="14" t="inlineStr">
        <is>
          <t>Capsula Del Tempo</t>
        </is>
      </c>
      <c r="E1173" s="14" t="inlineStr">
        <is>
          <t>da 12 anni</t>
        </is>
      </c>
      <c r="F1173" s="14" t="inlineStr">
        <is>
          <t>Scuola media (11-13)</t>
        </is>
      </c>
      <c r="G1173" s="14" t="inlineStr">
        <is>
          <t>Albo illustrato</t>
        </is>
      </c>
      <c r="H1173" s="14" t="inlineStr"/>
      <c r="I1173" s="14" t="inlineStr">
        <is>
          <t>No</t>
        </is>
      </c>
      <c r="J1173" s="14" t="inlineStr">
        <is>
          <t>Catalogo</t>
        </is>
      </c>
      <c r="K1173" s="14" t="inlineStr">
        <is>
          <t>prima/seconda/terza media</t>
        </is>
      </c>
      <c r="L1173" s="14" t="inlineStr">
        <is>
          <t>https://www.libri.it/c-era-la-taiga-c-era-un-incendio</t>
        </is>
      </c>
      <c r="M1173" s="16" t="n">
        <v>19</v>
      </c>
      <c r="N1173" s="14" t="inlineStr">
        <is>
          <t>Lista titoli Logos Edizioni 2026 (PVP)</t>
        </is>
      </c>
      <c r="O1173" s="16">
        <f>IF(ISNUMBER(M1173),ROUND(M1173*(1-Condizioni!$B$2),2),"")</f>
        <v/>
      </c>
      <c r="P1173" s="17" t="inlineStr">
        <is>
          <t>No</t>
        </is>
      </c>
    </row>
    <row r="1174">
      <c r="A1174" s="14" t="inlineStr">
        <is>
          <t>Logos</t>
        </is>
      </c>
      <c r="B1174" s="14" t="inlineStr">
        <is>
          <t>C’È Qualcuno Laggiù</t>
        </is>
      </c>
      <c r="C1174" s="14" t="inlineStr">
        <is>
          <t>Ellen Duthie; ill. Studio Patten</t>
        </is>
      </c>
      <c r="D1174" s="14" t="inlineStr">
        <is>
          <t>Wonder Ponder</t>
        </is>
      </c>
      <c r="E1174" s="14" t="inlineStr">
        <is>
          <t>da 12 anni</t>
        </is>
      </c>
      <c r="F1174" s="14" t="inlineStr">
        <is>
          <t>Scuola media (11-13)</t>
        </is>
      </c>
      <c r="G1174" s="14" t="inlineStr">
        <is>
          <t>Albo illustrato</t>
        </is>
      </c>
      <c r="H1174" s="14" t="inlineStr"/>
      <c r="I1174" s="14" t="inlineStr">
        <is>
          <t>No</t>
        </is>
      </c>
      <c r="J1174" s="14" t="inlineStr">
        <is>
          <t>Catalogo</t>
        </is>
      </c>
      <c r="K1174" s="14" t="inlineStr">
        <is>
          <t>prima/seconda/terza media</t>
        </is>
      </c>
      <c r="L1174" s="14" t="inlineStr">
        <is>
          <t>https://www.libri.it/c-e-qualcuno-laggiu</t>
        </is>
      </c>
      <c r="M1174" s="16" t="n">
        <v>16</v>
      </c>
      <c r="N1174" s="14" t="inlineStr">
        <is>
          <t>Lista titoli Logos Edizioni 2026 (PVP)</t>
        </is>
      </c>
      <c r="O1174" s="16">
        <f>IF(ISNUMBER(M1174),ROUND(M1174*(1-Condizioni!$B$2),2),"")</f>
        <v/>
      </c>
      <c r="P1174" s="17" t="inlineStr">
        <is>
          <t>No</t>
        </is>
      </c>
    </row>
    <row r="1175">
      <c r="A1175" s="14" t="inlineStr">
        <is>
          <t>Logos</t>
        </is>
      </c>
      <c r="B1175" s="14" t="inlineStr">
        <is>
          <t>Demeter. Diario di Bordo</t>
        </is>
      </c>
      <c r="C1175" s="14" t="inlineStr">
        <is>
          <t>Ana Juan</t>
        </is>
      </c>
      <c r="D1175" s="14" t="inlineStr">
        <is>
          <t>Illustrati</t>
        </is>
      </c>
      <c r="E1175" s="14" t="inlineStr">
        <is>
          <t>da 12 anni</t>
        </is>
      </c>
      <c r="F1175" s="14" t="inlineStr">
        <is>
          <t>Scuola media (11-13)</t>
        </is>
      </c>
      <c r="G1175" s="14" t="inlineStr">
        <is>
          <t>Albo illustrato</t>
        </is>
      </c>
      <c r="H1175" s="14" t="inlineStr"/>
      <c r="I1175" s="14" t="inlineStr">
        <is>
          <t>No</t>
        </is>
      </c>
      <c r="J1175" s="14" t="inlineStr">
        <is>
          <t>Catalogo</t>
        </is>
      </c>
      <c r="K1175" s="14" t="inlineStr">
        <is>
          <t>prima/seconda/terza media</t>
        </is>
      </c>
      <c r="L1175" s="14" t="inlineStr">
        <is>
          <t>https://www.libri.it/demeter</t>
        </is>
      </c>
      <c r="M1175" s="16" t="n">
        <v>27</v>
      </c>
      <c r="N1175" s="14" t="inlineStr">
        <is>
          <t>Lista titoli Logos Edizioni 2026 (PVP)</t>
        </is>
      </c>
      <c r="O1175" s="16">
        <f>IF(ISNUMBER(M1175),ROUND(M1175*(1-Condizioni!$B$2),2),"")</f>
        <v/>
      </c>
      <c r="P1175" s="17" t="inlineStr">
        <is>
          <t>No</t>
        </is>
      </c>
    </row>
    <row r="1176">
      <c r="A1176" s="14" t="inlineStr">
        <is>
          <t>Logos</t>
        </is>
      </c>
      <c r="B1176" s="14" t="inlineStr">
        <is>
          <t>Diventare Grande</t>
        </is>
      </c>
      <c r="C1176" s="14" t="inlineStr">
        <is>
          <t>Laetitia Bourget; ill. Emmanuelle Houdart</t>
        </is>
      </c>
      <c r="D1176" s="14" t="inlineStr">
        <is>
          <t>Illustrati</t>
        </is>
      </c>
      <c r="E1176" s="14" t="inlineStr">
        <is>
          <t>da 12 anni</t>
        </is>
      </c>
      <c r="F1176" s="14" t="inlineStr">
        <is>
          <t>Scuola media (11-13)</t>
        </is>
      </c>
      <c r="G1176" s="14" t="inlineStr">
        <is>
          <t>Albo illustrato</t>
        </is>
      </c>
      <c r="H1176" s="14" t="inlineStr"/>
      <c r="I1176" s="14" t="inlineStr">
        <is>
          <t>No</t>
        </is>
      </c>
      <c r="J1176" s="14" t="inlineStr">
        <is>
          <t>Catalogo</t>
        </is>
      </c>
      <c r="K1176" s="14" t="inlineStr">
        <is>
          <t>prima/seconda/terza media</t>
        </is>
      </c>
      <c r="L1176" s="14" t="inlineStr">
        <is>
          <t>https://www.libri.it/diventare-grande</t>
        </is>
      </c>
      <c r="M1176" s="16" t="n">
        <v>18</v>
      </c>
      <c r="N1176" s="14" t="inlineStr">
        <is>
          <t>Lista titoli Logos Edizioni 2026 (PVP)</t>
        </is>
      </c>
      <c r="O1176" s="16">
        <f>IF(ISNUMBER(M1176),ROUND(M1176*(1-Condizioni!$B$2),2),"")</f>
        <v/>
      </c>
      <c r="P1176" s="17" t="inlineStr">
        <is>
          <t>No</t>
        </is>
      </c>
    </row>
    <row r="1177">
      <c r="A1177" s="14" t="inlineStr">
        <is>
          <t>Logos</t>
        </is>
      </c>
      <c r="B1177" s="14" t="inlineStr">
        <is>
          <t>Essere Madre</t>
        </is>
      </c>
      <c r="C1177" s="14" t="inlineStr">
        <is>
          <t>Anna Paolini</t>
        </is>
      </c>
      <c r="D1177" s="14" t="inlineStr">
        <is>
          <t>Illustrati</t>
        </is>
      </c>
      <c r="E1177" s="14" t="inlineStr">
        <is>
          <t>da 12 anni</t>
        </is>
      </c>
      <c r="F1177" s="14" t="inlineStr">
        <is>
          <t>Scuola media (11-13)</t>
        </is>
      </c>
      <c r="G1177" s="14" t="inlineStr">
        <is>
          <t>Albo illustrato</t>
        </is>
      </c>
      <c r="H1177" s="14" t="inlineStr"/>
      <c r="I1177" s="14" t="inlineStr">
        <is>
          <t>No</t>
        </is>
      </c>
      <c r="J1177" s="14" t="inlineStr">
        <is>
          <t>Catalogo</t>
        </is>
      </c>
      <c r="K1177" s="14" t="inlineStr">
        <is>
          <t>prima/seconda/terza media</t>
        </is>
      </c>
      <c r="L1177" s="14" t="inlineStr">
        <is>
          <t>https://www.libri.it/essere-madre</t>
        </is>
      </c>
      <c r="M1177" s="16" t="n">
        <v>20</v>
      </c>
      <c r="N1177" s="14" t="inlineStr">
        <is>
          <t>Lista titoli Logos Edizioni 2026 (PVP)</t>
        </is>
      </c>
      <c r="O1177" s="16">
        <f>IF(ISNUMBER(M1177),ROUND(M1177*(1-Condizioni!$B$2),2),"")</f>
        <v/>
      </c>
      <c r="P1177" s="17" t="inlineStr">
        <is>
          <t>No</t>
        </is>
      </c>
    </row>
    <row r="1178">
      <c r="A1178" s="14" t="inlineStr">
        <is>
          <t>Logos</t>
        </is>
      </c>
      <c r="B1178" s="14" t="inlineStr">
        <is>
          <t>Estinzioni</t>
        </is>
      </c>
      <c r="C1178" s="14" t="inlineStr">
        <is>
          <t>Jean-Baptiste de Panafieu; ill.  Alexandre Franc</t>
        </is>
      </c>
      <c r="D1178" s="14" t="inlineStr">
        <is>
          <t>Fumetto Ciopi</t>
        </is>
      </c>
      <c r="E1178" s="14" t="inlineStr">
        <is>
          <t>da 12 anni</t>
        </is>
      </c>
      <c r="F1178" s="14" t="inlineStr">
        <is>
          <t>Scuola media (11-13)</t>
        </is>
      </c>
      <c r="G1178" s="14" t="inlineStr">
        <is>
          <t>Graphic novel/Fumetto</t>
        </is>
      </c>
      <c r="H1178" s="14" t="inlineStr"/>
      <c r="I1178" s="14" t="inlineStr">
        <is>
          <t>No</t>
        </is>
      </c>
      <c r="J1178" s="14" t="inlineStr">
        <is>
          <t>Catalogo</t>
        </is>
      </c>
      <c r="K1178" s="14" t="inlineStr">
        <is>
          <t>prima/seconda/terza media</t>
        </is>
      </c>
      <c r="L1178" s="14" t="inlineStr">
        <is>
          <t>https://www.libri.it/estinzioni</t>
        </is>
      </c>
      <c r="M1178" s="16" t="n">
        <v>22</v>
      </c>
      <c r="N1178" s="14" t="inlineStr">
        <is>
          <t>Lista titoli Logos Edizioni 2026 (PVP)</t>
        </is>
      </c>
      <c r="O1178" s="16">
        <f>IF(ISNUMBER(M1178),ROUND(M1178*(1-Condizioni!$B$2),2),"")</f>
        <v/>
      </c>
      <c r="P1178" s="17" t="inlineStr">
        <is>
          <t>No</t>
        </is>
      </c>
    </row>
    <row r="1179">
      <c r="A1179" s="14" t="inlineStr">
        <is>
          <t>Logos</t>
        </is>
      </c>
      <c r="B1179" s="14" t="inlineStr">
        <is>
          <t>Ghirlanda</t>
        </is>
      </c>
      <c r="C1179" s="14" t="inlineStr">
        <is>
          <t>Jerry Kramsky; ill. Lorenzo Mattotti</t>
        </is>
      </c>
      <c r="D1179" s="14" t="inlineStr">
        <is>
          <t>Fumetto</t>
        </is>
      </c>
      <c r="E1179" s="14" t="inlineStr">
        <is>
          <t>da 12 anni</t>
        </is>
      </c>
      <c r="F1179" s="14" t="inlineStr">
        <is>
          <t>Scuola media (11-13)</t>
        </is>
      </c>
      <c r="G1179" s="14" t="inlineStr">
        <is>
          <t>Graphic novel/Fumetto</t>
        </is>
      </c>
      <c r="H1179" s="14" t="inlineStr"/>
      <c r="I1179" s="14" t="inlineStr">
        <is>
          <t>No</t>
        </is>
      </c>
      <c r="J1179" s="14" t="inlineStr">
        <is>
          <t>Catalogo</t>
        </is>
      </c>
      <c r="K1179" s="14" t="inlineStr">
        <is>
          <t>prima/seconda/terza media</t>
        </is>
      </c>
      <c r="L1179" s="14" t="inlineStr">
        <is>
          <t>https://www.libri.it/ghirlanda</t>
        </is>
      </c>
      <c r="M1179" s="16" t="n">
        <v>35</v>
      </c>
      <c r="N1179" s="14" t="inlineStr">
        <is>
          <t>Lista titoli Logos Edizioni 2026 (PVP)</t>
        </is>
      </c>
      <c r="O1179" s="16">
        <f>IF(ISNUMBER(M1179),ROUND(M1179*(1-Condizioni!$B$2),2),"")</f>
        <v/>
      </c>
      <c r="P1179" s="17" t="inlineStr">
        <is>
          <t>No</t>
        </is>
      </c>
    </row>
    <row r="1180">
      <c r="A1180" s="14" t="inlineStr">
        <is>
          <t>Logos</t>
        </is>
      </c>
      <c r="B1180" s="14" t="inlineStr">
        <is>
          <t>Giovanni Senza Terra</t>
        </is>
      </c>
      <c r="C1180" s="14" t="inlineStr">
        <is>
          <t>Nicolás Arispe</t>
        </is>
      </c>
      <c r="D1180" s="14" t="inlineStr">
        <is>
          <t>Fumetto</t>
        </is>
      </c>
      <c r="E1180" s="14" t="inlineStr">
        <is>
          <t>da 12 anni</t>
        </is>
      </c>
      <c r="F1180" s="14" t="inlineStr">
        <is>
          <t>Scuola media (11-13)</t>
        </is>
      </c>
      <c r="G1180" s="14" t="inlineStr">
        <is>
          <t>Graphic novel/Fumetto</t>
        </is>
      </c>
      <c r="H1180" s="14" t="inlineStr"/>
      <c r="I1180" s="14" t="inlineStr">
        <is>
          <t>No</t>
        </is>
      </c>
      <c r="J1180" s="14" t="inlineStr">
        <is>
          <t>Catalogo</t>
        </is>
      </c>
      <c r="K1180" s="14" t="inlineStr">
        <is>
          <t>prima/seconda/terza media</t>
        </is>
      </c>
      <c r="L1180" s="14" t="inlineStr">
        <is>
          <t>https://www.libri.it/giovanni-senza-terra</t>
        </is>
      </c>
      <c r="M1180" s="16" t="n">
        <v>17</v>
      </c>
      <c r="N1180" s="14" t="inlineStr">
        <is>
          <t>Lista titoli Logos Edizioni 2026 (PVP)</t>
        </is>
      </c>
      <c r="O1180" s="16">
        <f>IF(ISNUMBER(M1180),ROUND(M1180*(1-Condizioni!$B$2),2),"")</f>
        <v/>
      </c>
      <c r="P1180" s="17" t="inlineStr">
        <is>
          <t>No</t>
        </is>
      </c>
    </row>
    <row r="1181">
      <c r="A1181" s="14" t="inlineStr">
        <is>
          <t>Logos</t>
        </is>
      </c>
      <c r="B1181" s="14" t="inlineStr">
        <is>
          <t>Gran Vampiro Vol.1</t>
        </is>
      </c>
      <c r="C1181" s="14" t="inlineStr">
        <is>
          <t>Joann Sfar</t>
        </is>
      </c>
      <c r="D1181" s="14" t="inlineStr">
        <is>
          <t>Fumetto</t>
        </is>
      </c>
      <c r="E1181" s="14" t="inlineStr">
        <is>
          <t>da 12 anni</t>
        </is>
      </c>
      <c r="F1181" s="14" t="inlineStr">
        <is>
          <t>Scuola media (11-13)</t>
        </is>
      </c>
      <c r="G1181" s="14" t="inlineStr">
        <is>
          <t>Graphic novel/Fumetto</t>
        </is>
      </c>
      <c r="H1181" s="14" t="inlineStr"/>
      <c r="I1181" s="14" t="inlineStr">
        <is>
          <t>No</t>
        </is>
      </c>
      <c r="J1181" s="14" t="inlineStr">
        <is>
          <t>Catalogo</t>
        </is>
      </c>
      <c r="K1181" s="14" t="inlineStr">
        <is>
          <t>prima/seconda/terza media</t>
        </is>
      </c>
      <c r="L1181" s="14" t="inlineStr">
        <is>
          <t>https://www.libri.it/gran-vampiro-uno</t>
        </is>
      </c>
      <c r="M1181" s="16" t="n">
        <v>20</v>
      </c>
      <c r="N1181" s="14" t="inlineStr">
        <is>
          <t>Lista titoli Logos Edizioni 2026 (PVP)</t>
        </is>
      </c>
      <c r="O1181" s="16">
        <f>IF(ISNUMBER(M1181),ROUND(M1181*(1-Condizioni!$B$2),2),"")</f>
        <v/>
      </c>
      <c r="P1181" s="17" t="inlineStr">
        <is>
          <t>No</t>
        </is>
      </c>
    </row>
    <row r="1182">
      <c r="A1182" s="14" t="inlineStr">
        <is>
          <t>Logos</t>
        </is>
      </c>
      <c r="B1182" s="14" t="inlineStr">
        <is>
          <t>Gran Vampiro Vol.2</t>
        </is>
      </c>
      <c r="C1182" s="14" t="inlineStr">
        <is>
          <t>Joann Sfar</t>
        </is>
      </c>
      <c r="D1182" s="14" t="inlineStr">
        <is>
          <t>Fumetto</t>
        </is>
      </c>
      <c r="E1182" s="14" t="inlineStr">
        <is>
          <t>da 12 anni</t>
        </is>
      </c>
      <c r="F1182" s="14" t="inlineStr">
        <is>
          <t>Scuola media (11-13)</t>
        </is>
      </c>
      <c r="G1182" s="14" t="inlineStr">
        <is>
          <t>Graphic novel/Fumetto</t>
        </is>
      </c>
      <c r="H1182" s="14" t="inlineStr"/>
      <c r="I1182" s="14" t="inlineStr">
        <is>
          <t>No</t>
        </is>
      </c>
      <c r="J1182" s="14" t="inlineStr">
        <is>
          <t>Catalogo</t>
        </is>
      </c>
      <c r="K1182" s="14" t="inlineStr">
        <is>
          <t>prima/seconda/terza media</t>
        </is>
      </c>
      <c r="L1182" s="14" t="inlineStr">
        <is>
          <t>https://www.libri.it/gran-vampiro-due</t>
        </is>
      </c>
      <c r="M1182" s="16" t="n">
        <v>21</v>
      </c>
      <c r="N1182" s="14" t="inlineStr">
        <is>
          <t>Lista titoli Logos Edizioni 2026 (PVP)</t>
        </is>
      </c>
      <c r="O1182" s="16">
        <f>IF(ISNUMBER(M1182),ROUND(M1182*(1-Condizioni!$B$2),2),"")</f>
        <v/>
      </c>
      <c r="P1182" s="17" t="inlineStr">
        <is>
          <t>No</t>
        </is>
      </c>
    </row>
    <row r="1183">
      <c r="A1183" s="14" t="inlineStr">
        <is>
          <t>Logos</t>
        </is>
      </c>
      <c r="B1183" s="14" t="inlineStr">
        <is>
          <t>Gran Vampiro Vol.3 l’Eta della Nostra Morte</t>
        </is>
      </c>
      <c r="C1183" s="14" t="inlineStr">
        <is>
          <t>Joann Sfar</t>
        </is>
      </c>
      <c r="D1183" s="14" t="inlineStr">
        <is>
          <t>Fumetto</t>
        </is>
      </c>
      <c r="E1183" s="14" t="inlineStr">
        <is>
          <t>da 12 anni</t>
        </is>
      </c>
      <c r="F1183" s="14" t="inlineStr">
        <is>
          <t>Scuola media (11-13)</t>
        </is>
      </c>
      <c r="G1183" s="14" t="inlineStr">
        <is>
          <t>Graphic novel/Fumetto</t>
        </is>
      </c>
      <c r="H1183" s="14" t="inlineStr"/>
      <c r="I1183" s="14" t="inlineStr">
        <is>
          <t>No</t>
        </is>
      </c>
      <c r="J1183" s="14" t="inlineStr">
        <is>
          <t>Catalogo</t>
        </is>
      </c>
      <c r="K1183" s="14" t="inlineStr">
        <is>
          <t>prima/seconda/terza media</t>
        </is>
      </c>
      <c r="L1183" s="14" t="inlineStr">
        <is>
          <t>https://www.libri.it/gran-vampiro-tre</t>
        </is>
      </c>
      <c r="M1183" s="16" t="n">
        <v>20</v>
      </c>
      <c r="N1183" s="14" t="inlineStr">
        <is>
          <t>Lista titoli Logos Edizioni 2026 (PVP)</t>
        </is>
      </c>
      <c r="O1183" s="16">
        <f>IF(ISNUMBER(M1183),ROUND(M1183*(1-Condizioni!$B$2),2),"")</f>
        <v/>
      </c>
      <c r="P1183" s="17" t="inlineStr">
        <is>
          <t>No</t>
        </is>
      </c>
    </row>
    <row r="1184">
      <c r="A1184" s="14" t="inlineStr">
        <is>
          <t>Logos</t>
        </is>
      </c>
      <c r="B1184" s="14" t="inlineStr">
        <is>
          <t>I Prodigiosi Umanimali del Signor Larsen</t>
        </is>
      </c>
      <c r="C1184" s="14" t="inlineStr">
        <is>
          <t>Daniel Monedero; ill. Aitana Carrasco Inglés</t>
        </is>
      </c>
      <c r="D1184" s="14" t="inlineStr">
        <is>
          <t>Illustrati</t>
        </is>
      </c>
      <c r="E1184" s="14" t="inlineStr">
        <is>
          <t>da 12 anni</t>
        </is>
      </c>
      <c r="F1184" s="14" t="inlineStr">
        <is>
          <t>Scuola media (11-13)</t>
        </is>
      </c>
      <c r="G1184" s="14" t="inlineStr">
        <is>
          <t>Albo illustrato</t>
        </is>
      </c>
      <c r="H1184" s="14" t="inlineStr"/>
      <c r="I1184" s="14" t="inlineStr">
        <is>
          <t>No</t>
        </is>
      </c>
      <c r="J1184" s="14" t="inlineStr">
        <is>
          <t>Catalogo</t>
        </is>
      </c>
      <c r="K1184" s="14" t="inlineStr">
        <is>
          <t>prima/seconda/terza media</t>
        </is>
      </c>
      <c r="L1184" s="14" t="inlineStr">
        <is>
          <t>https://www.libri.it/i-prodigiosi-umanimali-del-signor-larsen</t>
        </is>
      </c>
      <c r="M1184" s="16" t="n">
        <v>15</v>
      </c>
      <c r="N1184" s="14" t="inlineStr">
        <is>
          <t>Lista titoli Logos Edizioni 2026 (PVP)</t>
        </is>
      </c>
      <c r="O1184" s="16">
        <f>IF(ISNUMBER(M1184),ROUND(M1184*(1-Condizioni!$B$2),2),"")</f>
        <v/>
      </c>
      <c r="P1184" s="17" t="inlineStr">
        <is>
          <t>No</t>
        </is>
      </c>
    </row>
    <row r="1185">
      <c r="A1185" s="14" t="inlineStr">
        <is>
          <t>Logos</t>
        </is>
      </c>
      <c r="B1185" s="14" t="inlineStr">
        <is>
          <t>Il Bambino Smarrito</t>
        </is>
      </c>
      <c r="C1185" s="14" t="inlineStr">
        <is>
          <t>Nicolás Arispe</t>
        </is>
      </c>
      <c r="D1185" s="14" t="inlineStr">
        <is>
          <t>Illustrati</t>
        </is>
      </c>
      <c r="E1185" s="14" t="inlineStr">
        <is>
          <t>da 12 anni</t>
        </is>
      </c>
      <c r="F1185" s="14" t="inlineStr">
        <is>
          <t>Scuola media (11-13)</t>
        </is>
      </c>
      <c r="G1185" s="14" t="inlineStr">
        <is>
          <t>Albo illustrato</t>
        </is>
      </c>
      <c r="H1185" s="14" t="inlineStr"/>
      <c r="I1185" s="14" t="inlineStr">
        <is>
          <t>No</t>
        </is>
      </c>
      <c r="J1185" s="14" t="inlineStr">
        <is>
          <t>Catalogo</t>
        </is>
      </c>
      <c r="K1185" s="14" t="inlineStr">
        <is>
          <t>prima/seconda/terza media</t>
        </is>
      </c>
      <c r="L1185" s="14" t="inlineStr">
        <is>
          <t>https://www.libri.it/bambino-smarrito</t>
        </is>
      </c>
      <c r="M1185" s="16" t="n">
        <v>18</v>
      </c>
      <c r="N1185" s="14" t="inlineStr">
        <is>
          <t>Lista titoli Logos Edizioni 2026 (PVP)</t>
        </is>
      </c>
      <c r="O1185" s="16">
        <f>IF(ISNUMBER(M1185),ROUND(M1185*(1-Condizioni!$B$2),2),"")</f>
        <v/>
      </c>
      <c r="P1185" s="17" t="inlineStr">
        <is>
          <t>No</t>
        </is>
      </c>
    </row>
    <row r="1186">
      <c r="A1186" s="14" t="inlineStr">
        <is>
          <t>Logos</t>
        </is>
      </c>
      <c r="B1186" s="14" t="inlineStr">
        <is>
          <t>Il Lago dei Cigni</t>
        </is>
      </c>
      <c r="C1186" s="14" t="inlineStr">
        <is>
          <t>Gabriel Pacheco</t>
        </is>
      </c>
      <c r="D1186" s="14" t="inlineStr">
        <is>
          <t>Illustrati</t>
        </is>
      </c>
      <c r="E1186" s="14" t="inlineStr">
        <is>
          <t>da 12 anni</t>
        </is>
      </c>
      <c r="F1186" s="14" t="inlineStr">
        <is>
          <t>Scuola media (11-13)</t>
        </is>
      </c>
      <c r="G1186" s="14" t="inlineStr">
        <is>
          <t>Albo illustrato</t>
        </is>
      </c>
      <c r="H1186" s="14" t="inlineStr"/>
      <c r="I1186" s="14" t="inlineStr">
        <is>
          <t>No</t>
        </is>
      </c>
      <c r="J1186" s="14" t="inlineStr">
        <is>
          <t>Catalogo</t>
        </is>
      </c>
      <c r="K1186" s="14" t="inlineStr">
        <is>
          <t>prima/seconda/terza media</t>
        </is>
      </c>
      <c r="L1186" s="14" t="inlineStr">
        <is>
          <t>https://www.libri.it/il-lago-dei-cigni</t>
        </is>
      </c>
      <c r="M1186" s="16" t="n">
        <v>17</v>
      </c>
      <c r="N1186" s="14" t="inlineStr">
        <is>
          <t>Lista titoli Logos Edizioni 2026 (PVP)</t>
        </is>
      </c>
      <c r="O1186" s="16">
        <f>IF(ISNUMBER(M1186),ROUND(M1186*(1-Condizioni!$B$2),2),"")</f>
        <v/>
      </c>
      <c r="P1186" s="17" t="inlineStr">
        <is>
          <t>No</t>
        </is>
      </c>
    </row>
    <row r="1187">
      <c r="A1187" s="14" t="inlineStr">
        <is>
          <t>Logos</t>
        </is>
      </c>
      <c r="B1187" s="14" t="inlineStr">
        <is>
          <t>Il Vangelo di Giuda</t>
        </is>
      </c>
      <c r="C1187" s="14" t="inlineStr">
        <is>
          <t>Alberto Vázquez</t>
        </is>
      </c>
      <c r="D1187" s="14" t="inlineStr">
        <is>
          <t>Fumetto</t>
        </is>
      </c>
      <c r="E1187" s="14" t="inlineStr">
        <is>
          <t>da 12 anni</t>
        </is>
      </c>
      <c r="F1187" s="14" t="inlineStr">
        <is>
          <t>Scuola media (11-13)</t>
        </is>
      </c>
      <c r="G1187" s="14" t="inlineStr">
        <is>
          <t>Graphic novel/Fumetto</t>
        </is>
      </c>
      <c r="H1187" s="14" t="inlineStr"/>
      <c r="I1187" s="14" t="inlineStr">
        <is>
          <t>No</t>
        </is>
      </c>
      <c r="J1187" s="14" t="inlineStr">
        <is>
          <t>Catalogo</t>
        </is>
      </c>
      <c r="K1187" s="14" t="inlineStr">
        <is>
          <t>prima/seconda/terza media</t>
        </is>
      </c>
      <c r="L1187" s="14" t="inlineStr">
        <is>
          <t>https://www.libri.it/il-vangelo-di-giuda</t>
        </is>
      </c>
      <c r="M1187" s="16" t="n">
        <v>14</v>
      </c>
      <c r="N1187" s="14" t="inlineStr">
        <is>
          <t>Lista titoli Logos Edizioni 2026 (PVP)</t>
        </is>
      </c>
      <c r="O1187" s="16">
        <f>IF(ISNUMBER(M1187),ROUND(M1187*(1-Condizioni!$B$2),2),"")</f>
        <v/>
      </c>
      <c r="P1187" s="17" t="inlineStr">
        <is>
          <t>No</t>
        </is>
      </c>
    </row>
    <row r="1188">
      <c r="A1188" s="14" t="inlineStr">
        <is>
          <t>Logos</t>
        </is>
      </c>
      <c r="B1188" s="14" t="inlineStr">
        <is>
          <t>Julia Pastrana</t>
        </is>
      </c>
      <c r="C1188" s="14" t="inlineStr">
        <is>
          <t>Ivan Cenzi; ill. Marco Palena</t>
        </is>
      </c>
      <c r="D1188" s="14" t="inlineStr">
        <is>
          <t>Illustrati</t>
        </is>
      </c>
      <c r="E1188" s="14" t="inlineStr">
        <is>
          <t>da 12 anni</t>
        </is>
      </c>
      <c r="F1188" s="14" t="inlineStr">
        <is>
          <t>Scuola media (11-13)</t>
        </is>
      </c>
      <c r="G1188" s="14" t="inlineStr">
        <is>
          <t>Albo illustrato</t>
        </is>
      </c>
      <c r="H1188" s="14" t="inlineStr"/>
      <c r="I1188" s="14" t="inlineStr">
        <is>
          <t>No</t>
        </is>
      </c>
      <c r="J1188" s="14" t="inlineStr">
        <is>
          <t>Catalogo</t>
        </is>
      </c>
      <c r="K1188" s="14" t="inlineStr">
        <is>
          <t>prima/seconda/terza media</t>
        </is>
      </c>
      <c r="L1188" s="14" t="inlineStr">
        <is>
          <t>https://www.libri.it/julia-pastrana</t>
        </is>
      </c>
      <c r="M1188" s="16" t="n">
        <v>19</v>
      </c>
      <c r="N1188" s="14" t="inlineStr">
        <is>
          <t>Lista titoli Logos Edizioni 2026 (PVP)</t>
        </is>
      </c>
      <c r="O1188" s="16">
        <f>IF(ISNUMBER(M1188),ROUND(M1188*(1-Condizioni!$B$2),2),"")</f>
        <v/>
      </c>
      <c r="P1188" s="17" t="inlineStr">
        <is>
          <t>No</t>
        </is>
      </c>
    </row>
    <row r="1189">
      <c r="A1189" s="14" t="inlineStr">
        <is>
          <t>Logos</t>
        </is>
      </c>
      <c r="B1189" s="14" t="inlineStr">
        <is>
          <t>Jésus Betz</t>
        </is>
      </c>
      <c r="C1189" s="14" t="inlineStr">
        <is>
          <t>Fred Bernard; ill. François Roca</t>
        </is>
      </c>
      <c r="D1189" s="14" t="inlineStr">
        <is>
          <t>Albo Ciopi</t>
        </is>
      </c>
      <c r="E1189" s="14" t="inlineStr">
        <is>
          <t>da 12 anni</t>
        </is>
      </c>
      <c r="F1189" s="14" t="inlineStr">
        <is>
          <t>Scuola media (11-13)</t>
        </is>
      </c>
      <c r="G1189" s="14" t="inlineStr">
        <is>
          <t>Albo illustrato</t>
        </is>
      </c>
      <c r="H1189" s="14" t="inlineStr"/>
      <c r="I1189" s="14" t="inlineStr">
        <is>
          <t>No</t>
        </is>
      </c>
      <c r="J1189" s="14" t="inlineStr">
        <is>
          <t>Catalogo</t>
        </is>
      </c>
      <c r="K1189" s="14" t="inlineStr">
        <is>
          <t>prima/seconda/terza media</t>
        </is>
      </c>
      <c r="L1189" s="14" t="inlineStr">
        <is>
          <t>https://www.libri.it/jesus-betz</t>
        </is>
      </c>
      <c r="M1189" s="16" t="n">
        <v>18</v>
      </c>
      <c r="N1189" s="14" t="inlineStr">
        <is>
          <t>Lista titoli Logos Edizioni 2026 (PVP)</t>
        </is>
      </c>
      <c r="O1189" s="16">
        <f>IF(ISNUMBER(M1189),ROUND(M1189*(1-Condizioni!$B$2),2),"")</f>
        <v/>
      </c>
      <c r="P1189" s="17" t="inlineStr">
        <is>
          <t>No</t>
        </is>
      </c>
    </row>
    <row r="1190">
      <c r="A1190" s="14" t="inlineStr">
        <is>
          <t>Logos</t>
        </is>
      </c>
      <c r="B1190" s="14" t="inlineStr">
        <is>
          <t>Kosmos</t>
        </is>
      </c>
      <c r="C1190" s="14" t="inlineStr">
        <is>
          <t>Matteo Meschiari; ill. Roger Olmos</t>
        </is>
      </c>
      <c r="D1190" s="14" t="inlineStr">
        <is>
          <t>Capsula Del Tempo</t>
        </is>
      </c>
      <c r="E1190" s="14" t="inlineStr">
        <is>
          <t>da 12 anni</t>
        </is>
      </c>
      <c r="F1190" s="14" t="inlineStr">
        <is>
          <t>Scuola media (11-13)</t>
        </is>
      </c>
      <c r="G1190" s="14" t="inlineStr">
        <is>
          <t>Albo illustrato</t>
        </is>
      </c>
      <c r="H1190" s="14" t="inlineStr"/>
      <c r="I1190" s="14" t="inlineStr">
        <is>
          <t>No</t>
        </is>
      </c>
      <c r="J1190" s="14" t="inlineStr">
        <is>
          <t>Catalogo</t>
        </is>
      </c>
      <c r="K1190" s="14" t="inlineStr">
        <is>
          <t>prima/seconda/terza media</t>
        </is>
      </c>
      <c r="L1190" s="14" t="inlineStr">
        <is>
          <t>https://www.libri.it/kosmos</t>
        </is>
      </c>
      <c r="M1190" s="16" t="n">
        <v>17</v>
      </c>
      <c r="N1190" s="14" t="inlineStr">
        <is>
          <t>Lista titoli Logos Edizioni 2026 (PVP)</t>
        </is>
      </c>
      <c r="O1190" s="16">
        <f>IF(ISNUMBER(M1190),ROUND(M1190*(1-Condizioni!$B$2),2),"")</f>
        <v/>
      </c>
      <c r="P1190" s="17" t="inlineStr">
        <is>
          <t>No</t>
        </is>
      </c>
    </row>
    <row r="1191">
      <c r="A1191" s="14" t="inlineStr">
        <is>
          <t>Logos</t>
        </is>
      </c>
      <c r="B1191" s="14" t="inlineStr">
        <is>
          <t>La Balena Biblioteca</t>
        </is>
      </c>
      <c r="C1191" s="14" t="inlineStr">
        <is>
          <t>Zidrou; ill. Judith Vanistendael</t>
        </is>
      </c>
      <c r="D1191" s="14" t="inlineStr">
        <is>
          <t>Fumetto</t>
        </is>
      </c>
      <c r="E1191" s="14" t="inlineStr">
        <is>
          <t>da 12 anni</t>
        </is>
      </c>
      <c r="F1191" s="14" t="inlineStr">
        <is>
          <t>Scuola media (11-13)</t>
        </is>
      </c>
      <c r="G1191" s="14" t="inlineStr">
        <is>
          <t>Graphic novel/Fumetto</t>
        </is>
      </c>
      <c r="H1191" s="14" t="inlineStr"/>
      <c r="I1191" s="14" t="inlineStr">
        <is>
          <t>No</t>
        </is>
      </c>
      <c r="J1191" s="14" t="inlineStr">
        <is>
          <t>Catalogo</t>
        </is>
      </c>
      <c r="K1191" s="14" t="inlineStr">
        <is>
          <t>prima/seconda/terza media</t>
        </is>
      </c>
      <c r="L1191" s="14" t="inlineStr">
        <is>
          <t>https://www.libri.it/la-balena-biblioteca</t>
        </is>
      </c>
      <c r="M1191" s="16" t="n">
        <v>18</v>
      </c>
      <c r="N1191" s="14" t="inlineStr">
        <is>
          <t>Lista titoli Logos Edizioni 2026 (PVP)</t>
        </is>
      </c>
      <c r="O1191" s="16">
        <f>IF(ISNUMBER(M1191),ROUND(M1191*(1-Condizioni!$B$2),2),"")</f>
        <v/>
      </c>
      <c r="P1191" s="17" t="inlineStr">
        <is>
          <t>No</t>
        </is>
      </c>
    </row>
    <row r="1192">
      <c r="A1192" s="14" t="inlineStr">
        <is>
          <t>Logos</t>
        </is>
      </c>
      <c r="B1192" s="14" t="inlineStr">
        <is>
          <t>La Bella e la Bestia</t>
        </is>
      </c>
      <c r="C1192" s="14" t="inlineStr">
        <is>
          <t>Jean-Marie Leprince De Beaumont; ill. Gabriel Pacheco</t>
        </is>
      </c>
      <c r="D1192" s="14" t="inlineStr">
        <is>
          <t>Illustrati</t>
        </is>
      </c>
      <c r="E1192" s="14" t="inlineStr">
        <is>
          <t>da 12 anni</t>
        </is>
      </c>
      <c r="F1192" s="14" t="inlineStr">
        <is>
          <t>Scuola media (11-13)</t>
        </is>
      </c>
      <c r="G1192" s="14" t="inlineStr">
        <is>
          <t>Albo illustrato</t>
        </is>
      </c>
      <c r="H1192" s="14" t="inlineStr"/>
      <c r="I1192" s="14" t="inlineStr">
        <is>
          <t>No</t>
        </is>
      </c>
      <c r="J1192" s="14" t="inlineStr">
        <is>
          <t>Catalogo</t>
        </is>
      </c>
      <c r="K1192" s="14" t="inlineStr">
        <is>
          <t>prima/seconda/terza media</t>
        </is>
      </c>
      <c r="L1192" s="14" t="inlineStr">
        <is>
          <t>https://www.libri.it/la-bella-e-la-bestia</t>
        </is>
      </c>
      <c r="M1192" s="16" t="n">
        <v>17</v>
      </c>
      <c r="N1192" s="14" t="inlineStr">
        <is>
          <t>Lista titoli Logos Edizioni 2026 (PVP)</t>
        </is>
      </c>
      <c r="O1192" s="16">
        <f>IF(ISNUMBER(M1192),ROUND(M1192*(1-Condizioni!$B$2),2),"")</f>
        <v/>
      </c>
      <c r="P1192" s="17" t="inlineStr">
        <is>
          <t>No</t>
        </is>
      </c>
    </row>
    <row r="1193">
      <c r="A1193" s="14" t="inlineStr">
        <is>
          <t>Logos</t>
        </is>
      </c>
      <c r="B1193" s="14" t="inlineStr">
        <is>
          <t>La Caccia</t>
        </is>
      </c>
      <c r="C1193" s="14" t="inlineStr">
        <is>
          <t>Alberto Vázquez</t>
        </is>
      </c>
      <c r="D1193" s="14" t="inlineStr">
        <is>
          <t>Fumetto</t>
        </is>
      </c>
      <c r="E1193" s="14" t="inlineStr">
        <is>
          <t>da 12 anni</t>
        </is>
      </c>
      <c r="F1193" s="14" t="inlineStr">
        <is>
          <t>Scuola media (11-13)</t>
        </is>
      </c>
      <c r="G1193" s="14" t="inlineStr">
        <is>
          <t>Graphic novel/Fumetto</t>
        </is>
      </c>
      <c r="H1193" s="14" t="inlineStr"/>
      <c r="I1193" s="14" t="inlineStr">
        <is>
          <t>No</t>
        </is>
      </c>
      <c r="J1193" s="14" t="inlineStr">
        <is>
          <t>Catalogo</t>
        </is>
      </c>
      <c r="K1193" s="14" t="inlineStr">
        <is>
          <t>prima/seconda/terza media</t>
        </is>
      </c>
      <c r="L1193" s="14" t="inlineStr">
        <is>
          <t>https://www.libri.it/la-caccia</t>
        </is>
      </c>
      <c r="M1193" s="16" t="n">
        <v>18</v>
      </c>
      <c r="N1193" s="14" t="inlineStr">
        <is>
          <t>Lista titoli Logos Edizioni 2026 (PVP)</t>
        </is>
      </c>
      <c r="O1193" s="16">
        <f>IF(ISNUMBER(M1193),ROUND(M1193*(1-Condizioni!$B$2),2),"")</f>
        <v/>
      </c>
      <c r="P1193" s="17" t="inlineStr">
        <is>
          <t>No</t>
        </is>
      </c>
    </row>
    <row r="1194">
      <c r="A1194" s="14" t="inlineStr">
        <is>
          <t>Logos</t>
        </is>
      </c>
      <c r="B1194" s="14" t="inlineStr">
        <is>
          <t>La Donna Uccello</t>
        </is>
      </c>
      <c r="C1194" s="14" t="inlineStr">
        <is>
          <t>Ethel Batista; ill. David Álvarez</t>
        </is>
      </c>
      <c r="D1194" s="14" t="inlineStr">
        <is>
          <t>Illustrati</t>
        </is>
      </c>
      <c r="E1194" s="14" t="inlineStr">
        <is>
          <t>da 12 anni</t>
        </is>
      </c>
      <c r="F1194" s="14" t="inlineStr">
        <is>
          <t>Scuola media (11-13)</t>
        </is>
      </c>
      <c r="G1194" s="14" t="inlineStr">
        <is>
          <t>Albo illustrato</t>
        </is>
      </c>
      <c r="H1194" s="14" t="inlineStr"/>
      <c r="I1194" s="14" t="inlineStr">
        <is>
          <t>No</t>
        </is>
      </c>
      <c r="J1194" s="14" t="inlineStr">
        <is>
          <t>Catalogo</t>
        </is>
      </c>
      <c r="K1194" s="14" t="inlineStr">
        <is>
          <t>prima/seconda/terza media</t>
        </is>
      </c>
      <c r="L1194" s="14" t="inlineStr">
        <is>
          <t>https://www.libri.it/la-donna-uccello</t>
        </is>
      </c>
      <c r="M1194" s="16" t="n">
        <v>17</v>
      </c>
      <c r="N1194" s="14" t="inlineStr">
        <is>
          <t>Lista titoli Logos Edizioni 2026 (PVP)</t>
        </is>
      </c>
      <c r="O1194" s="16">
        <f>IF(ISNUMBER(M1194),ROUND(M1194*(1-Condizioni!$B$2),2),"")</f>
        <v/>
      </c>
      <c r="P1194" s="17" t="inlineStr">
        <is>
          <t>No</t>
        </is>
      </c>
    </row>
    <row r="1195">
      <c r="A1195" s="14" t="inlineStr">
        <is>
          <t>Logos</t>
        </is>
      </c>
      <c r="B1195" s="14" t="inlineStr">
        <is>
          <t>La Falesia</t>
        </is>
      </c>
      <c r="C1195" s="14" t="inlineStr">
        <is>
          <t>Manon Debaye</t>
        </is>
      </c>
      <c r="D1195" s="14" t="inlineStr">
        <is>
          <t>Fumetto</t>
        </is>
      </c>
      <c r="E1195" s="14" t="inlineStr">
        <is>
          <t>da 12 anni</t>
        </is>
      </c>
      <c r="F1195" s="14" t="inlineStr">
        <is>
          <t>Scuola media (11-13)</t>
        </is>
      </c>
      <c r="G1195" s="14" t="inlineStr">
        <is>
          <t>Graphic novel/Fumetto</t>
        </is>
      </c>
      <c r="H1195" s="14" t="inlineStr"/>
      <c r="I1195" s="14" t="inlineStr">
        <is>
          <t>No</t>
        </is>
      </c>
      <c r="J1195" s="14" t="inlineStr">
        <is>
          <t>Catalogo</t>
        </is>
      </c>
      <c r="K1195" s="14" t="inlineStr">
        <is>
          <t>prima/seconda/terza media</t>
        </is>
      </c>
      <c r="L1195" s="14" t="inlineStr">
        <is>
          <t>https://www.libri.it/la-falesia</t>
        </is>
      </c>
      <c r="M1195" s="16" t="n">
        <v>24</v>
      </c>
      <c r="N1195" s="14" t="inlineStr">
        <is>
          <t>Lista titoli Logos Edizioni 2026 (PVP)</t>
        </is>
      </c>
      <c r="O1195" s="16">
        <f>IF(ISNUMBER(M1195),ROUND(M1195*(1-Condizioni!$B$2),2),"")</f>
        <v/>
      </c>
      <c r="P1195" s="17" t="inlineStr">
        <is>
          <t>No</t>
        </is>
      </c>
    </row>
    <row r="1196">
      <c r="A1196" s="14" t="inlineStr">
        <is>
          <t>Logos</t>
        </is>
      </c>
      <c r="B1196" s="14" t="inlineStr">
        <is>
          <t>La Famiglia Addams. una Storia Diabolica</t>
        </is>
      </c>
      <c r="C1196" s="14" t="inlineStr">
        <is>
          <t>Kevin Miserocchi; ill. Charles Addams</t>
        </is>
      </c>
      <c r="D1196" s="14" t="inlineStr">
        <is>
          <t>Illustrati</t>
        </is>
      </c>
      <c r="E1196" s="14" t="inlineStr">
        <is>
          <t>da 12 anni</t>
        </is>
      </c>
      <c r="F1196" s="14" t="inlineStr">
        <is>
          <t>Scuola media (11-13)</t>
        </is>
      </c>
      <c r="G1196" s="14" t="inlineStr">
        <is>
          <t>Albo illustrato</t>
        </is>
      </c>
      <c r="H1196" s="14" t="inlineStr"/>
      <c r="I1196" s="14" t="inlineStr">
        <is>
          <t>No</t>
        </is>
      </c>
      <c r="J1196" s="14" t="inlineStr">
        <is>
          <t>Catalogo</t>
        </is>
      </c>
      <c r="K1196" s="14" t="inlineStr">
        <is>
          <t>prima/seconda/terza media</t>
        </is>
      </c>
      <c r="L1196" s="14" t="inlineStr">
        <is>
          <t>https://www.libri.it/la-famiglia-addams</t>
        </is>
      </c>
      <c r="M1196" s="16" t="n">
        <v>35</v>
      </c>
      <c r="N1196" s="14" t="inlineStr">
        <is>
          <t>Lista titoli Logos Edizioni 2026 (PVP)</t>
        </is>
      </c>
      <c r="O1196" s="16">
        <f>IF(ISNUMBER(M1196),ROUND(M1196*(1-Condizioni!$B$2),2),"")</f>
        <v/>
      </c>
      <c r="P1196" s="17" t="inlineStr">
        <is>
          <t>No</t>
        </is>
      </c>
    </row>
    <row r="1197">
      <c r="A1197" s="14" t="inlineStr">
        <is>
          <t>Logos</t>
        </is>
      </c>
      <c r="B1197" s="14" t="inlineStr">
        <is>
          <t>La Forza dei Forti</t>
        </is>
      </c>
      <c r="C1197" s="14" t="inlineStr">
        <is>
          <t>Jack London; ill. Roger Olmos</t>
        </is>
      </c>
      <c r="D1197" s="14" t="inlineStr">
        <is>
          <t>Capsula Del Tempo</t>
        </is>
      </c>
      <c r="E1197" s="14" t="inlineStr">
        <is>
          <t>da 12 anni</t>
        </is>
      </c>
      <c r="F1197" s="14" t="inlineStr">
        <is>
          <t>Scuola media (11-13)</t>
        </is>
      </c>
      <c r="G1197" s="14" t="inlineStr">
        <is>
          <t>Albo illustrato</t>
        </is>
      </c>
      <c r="H1197" s="14" t="inlineStr"/>
      <c r="I1197" s="14" t="inlineStr">
        <is>
          <t>No</t>
        </is>
      </c>
      <c r="J1197" s="14" t="inlineStr">
        <is>
          <t>Catalogo</t>
        </is>
      </c>
      <c r="K1197" s="14" t="inlineStr">
        <is>
          <t>prima/seconda/terza media</t>
        </is>
      </c>
      <c r="L1197" s="14" t="inlineStr">
        <is>
          <t>https://www.libri.it/forza-dei-forti</t>
        </is>
      </c>
      <c r="M1197" s="16" t="n">
        <v>20</v>
      </c>
      <c r="N1197" s="14" t="inlineStr">
        <is>
          <t>Lista titoli Logos Edizioni 2026 (PVP)</t>
        </is>
      </c>
      <c r="O1197" s="16">
        <f>IF(ISNUMBER(M1197),ROUND(M1197*(1-Condizioni!$B$2),2),"")</f>
        <v/>
      </c>
      <c r="P1197" s="17" t="inlineStr">
        <is>
          <t>No</t>
        </is>
      </c>
    </row>
    <row r="1198">
      <c r="A1198" s="14" t="inlineStr">
        <is>
          <t>Logos</t>
        </is>
      </c>
      <c r="B1198" s="14" t="inlineStr">
        <is>
          <t>La Madre e la Morte/ la Perdita</t>
        </is>
      </c>
      <c r="C1198" s="14" t="inlineStr">
        <is>
          <t>Alberto Chimal, Alberto Laiseca; ill. Nicolás Arispe</t>
        </is>
      </c>
      <c r="D1198" s="14" t="inlineStr">
        <is>
          <t>Illustrati</t>
        </is>
      </c>
      <c r="E1198" s="14" t="inlineStr">
        <is>
          <t>da 12 anni</t>
        </is>
      </c>
      <c r="F1198" s="14" t="inlineStr">
        <is>
          <t>Scuola media (11-13)</t>
        </is>
      </c>
      <c r="G1198" s="14" t="inlineStr">
        <is>
          <t>Albo illustrato</t>
        </is>
      </c>
      <c r="H1198" s="14" t="inlineStr"/>
      <c r="I1198" s="14" t="inlineStr">
        <is>
          <t>No</t>
        </is>
      </c>
      <c r="J1198" s="14" t="inlineStr">
        <is>
          <t>Catalogo</t>
        </is>
      </c>
      <c r="K1198" s="14" t="inlineStr">
        <is>
          <t>prima/seconda/terza media</t>
        </is>
      </c>
      <c r="L1198" s="14" t="inlineStr">
        <is>
          <t>https://www.libri.it/la-madre-e-la-morte</t>
        </is>
      </c>
      <c r="M1198" s="16" t="n">
        <v>23.5</v>
      </c>
      <c r="N1198" s="14" t="inlineStr">
        <is>
          <t>Lista titoli Logos Edizioni 2026 (PVP)</t>
        </is>
      </c>
      <c r="O1198" s="16">
        <f>IF(ISNUMBER(M1198),ROUND(M1198*(1-Condizioni!$B$2),2),"")</f>
        <v/>
      </c>
      <c r="P1198" s="17" t="inlineStr">
        <is>
          <t>No</t>
        </is>
      </c>
    </row>
    <row r="1199">
      <c r="A1199" s="14" t="inlineStr">
        <is>
          <t>Logos</t>
        </is>
      </c>
      <c r="B1199" s="14" t="inlineStr">
        <is>
          <t>La Peste Scarlatta</t>
        </is>
      </c>
      <c r="C1199" s="14" t="inlineStr">
        <is>
          <t>Jack London; ill. Roger Olmos</t>
        </is>
      </c>
      <c r="D1199" s="14" t="inlineStr">
        <is>
          <t>Capsula Del Tempo</t>
        </is>
      </c>
      <c r="E1199" s="14" t="inlineStr">
        <is>
          <t>da 12 anni</t>
        </is>
      </c>
      <c r="F1199" s="14" t="inlineStr">
        <is>
          <t>Scuola media (11-13)</t>
        </is>
      </c>
      <c r="G1199" s="14" t="inlineStr">
        <is>
          <t>Albo illustrato</t>
        </is>
      </c>
      <c r="H1199" s="14" t="inlineStr"/>
      <c r="I1199" s="14" t="inlineStr">
        <is>
          <t>No</t>
        </is>
      </c>
      <c r="J1199" s="14" t="inlineStr">
        <is>
          <t>Catalogo</t>
        </is>
      </c>
      <c r="K1199" s="14" t="inlineStr">
        <is>
          <t>prima/seconda/terza media</t>
        </is>
      </c>
      <c r="L1199" s="14" t="inlineStr">
        <is>
          <t>https://www.libri.it/peste-scarlatta</t>
        </is>
      </c>
      <c r="M1199" s="16" t="n">
        <v>18</v>
      </c>
      <c r="N1199" s="14" t="inlineStr">
        <is>
          <t>Lista titoli Logos Edizioni 2026 (PVP)</t>
        </is>
      </c>
      <c r="O1199" s="16">
        <f>IF(ISNUMBER(M1199),ROUND(M1199*(1-Condizioni!$B$2),2),"")</f>
        <v/>
      </c>
      <c r="P1199" s="17" t="inlineStr">
        <is>
          <t>No</t>
        </is>
      </c>
    </row>
    <row r="1200">
      <c r="A1200" s="14" t="inlineStr">
        <is>
          <t>Logos</t>
        </is>
      </c>
      <c r="B1200" s="14" t="inlineStr">
        <is>
          <t>La Riparazione</t>
        </is>
      </c>
      <c r="C1200" s="14" t="inlineStr">
        <is>
          <t>Nina Bunjevac</t>
        </is>
      </c>
      <c r="D1200" s="14" t="inlineStr">
        <is>
          <t>Illustrati</t>
        </is>
      </c>
      <c r="E1200" s="14" t="inlineStr">
        <is>
          <t>da 12 anni</t>
        </is>
      </c>
      <c r="F1200" s="14" t="inlineStr">
        <is>
          <t>Scuola media (11-13)</t>
        </is>
      </c>
      <c r="G1200" s="14" t="inlineStr">
        <is>
          <t>Albo illustrato</t>
        </is>
      </c>
      <c r="H1200" s="14" t="inlineStr"/>
      <c r="I1200" s="14" t="inlineStr">
        <is>
          <t>No</t>
        </is>
      </c>
      <c r="J1200" s="14" t="inlineStr">
        <is>
          <t>Catalogo</t>
        </is>
      </c>
      <c r="K1200" s="14" t="inlineStr">
        <is>
          <t>prima/seconda/terza media</t>
        </is>
      </c>
      <c r="L1200" s="14" t="inlineStr">
        <is>
          <t>https://www.libri.it/riparazione</t>
        </is>
      </c>
      <c r="M1200" s="16" t="n">
        <v>18</v>
      </c>
      <c r="N1200" s="14" t="inlineStr">
        <is>
          <t>Lista titoli Logos Edizioni 2026 (PVP)</t>
        </is>
      </c>
      <c r="O1200" s="16">
        <f>IF(ISNUMBER(M1200),ROUND(M1200*(1-Condizioni!$B$2),2),"")</f>
        <v/>
      </c>
      <c r="P1200" s="17" t="inlineStr">
        <is>
          <t>No</t>
        </is>
      </c>
    </row>
    <row r="1201">
      <c r="A1201" s="14" t="inlineStr">
        <is>
          <t>Logos</t>
        </is>
      </c>
      <c r="B1201" s="14" t="inlineStr">
        <is>
          <t>La Sirenetta</t>
        </is>
      </c>
      <c r="C1201" s="14" t="inlineStr">
        <is>
          <t>Gabriel Pacheco</t>
        </is>
      </c>
      <c r="D1201" s="14" t="inlineStr">
        <is>
          <t>Illustrati</t>
        </is>
      </c>
      <c r="E1201" s="14" t="inlineStr">
        <is>
          <t>da 12 anni</t>
        </is>
      </c>
      <c r="F1201" s="14" t="inlineStr">
        <is>
          <t>Scuola media (11-13)</t>
        </is>
      </c>
      <c r="G1201" s="14" t="inlineStr">
        <is>
          <t>Albo illustrato</t>
        </is>
      </c>
      <c r="H1201" s="14" t="inlineStr"/>
      <c r="I1201" s="14" t="inlineStr">
        <is>
          <t>No</t>
        </is>
      </c>
      <c r="J1201" s="14" t="inlineStr">
        <is>
          <t>Catalogo</t>
        </is>
      </c>
      <c r="K1201" s="14" t="inlineStr">
        <is>
          <t>prima/seconda/terza media</t>
        </is>
      </c>
      <c r="L1201" s="14" t="inlineStr">
        <is>
          <t>https://www.libri.it/sirenetta</t>
        </is>
      </c>
      <c r="M1201" s="16" t="n">
        <v>19</v>
      </c>
      <c r="N1201" s="14" t="inlineStr">
        <is>
          <t>Lista titoli Logos Edizioni 2026 (PVP)</t>
        </is>
      </c>
      <c r="O1201" s="16">
        <f>IF(ISNUMBER(M1201),ROUND(M1201*(1-Condizioni!$B$2),2),"")</f>
        <v/>
      </c>
      <c r="P1201" s="17" t="inlineStr">
        <is>
          <t>Sì</t>
        </is>
      </c>
    </row>
    <row r="1202">
      <c r="A1202" s="14" t="inlineStr">
        <is>
          <t>Logos</t>
        </is>
      </c>
      <c r="B1202" s="14" t="inlineStr">
        <is>
          <t>La Torre Blanca</t>
        </is>
      </c>
      <c r="C1202" s="14" t="inlineStr">
        <is>
          <t>Pablo Auladell</t>
        </is>
      </c>
      <c r="D1202" s="14" t="inlineStr">
        <is>
          <t>Fumetto</t>
        </is>
      </c>
      <c r="E1202" s="14" t="inlineStr">
        <is>
          <t>da 12 anni</t>
        </is>
      </c>
      <c r="F1202" s="14" t="inlineStr">
        <is>
          <t>Scuola media (11-13)</t>
        </is>
      </c>
      <c r="G1202" s="14" t="inlineStr">
        <is>
          <t>Graphic novel/Fumetto</t>
        </is>
      </c>
      <c r="H1202" s="14" t="inlineStr"/>
      <c r="I1202" s="14" t="inlineStr">
        <is>
          <t>No</t>
        </is>
      </c>
      <c r="J1202" s="14" t="inlineStr">
        <is>
          <t>Catalogo</t>
        </is>
      </c>
      <c r="K1202" s="14" t="inlineStr">
        <is>
          <t>prima/seconda/terza media</t>
        </is>
      </c>
      <c r="L1202" s="14" t="inlineStr">
        <is>
          <t>https://www.libri.it/la-torre-blanca</t>
        </is>
      </c>
      <c r="M1202" s="16" t="n">
        <v>17</v>
      </c>
      <c r="N1202" s="14" t="inlineStr">
        <is>
          <t>Lista titoli Logos Edizioni 2026 (PVP)</t>
        </is>
      </c>
      <c r="O1202" s="16">
        <f>IF(ISNUMBER(M1202),ROUND(M1202*(1-Condizioni!$B$2),2),"")</f>
        <v/>
      </c>
      <c r="P1202" s="17" t="inlineStr">
        <is>
          <t>No</t>
        </is>
      </c>
    </row>
    <row r="1203">
      <c r="A1203" s="14" t="inlineStr">
        <is>
          <t>Logos</t>
        </is>
      </c>
      <c r="B1203" s="14" t="inlineStr">
        <is>
          <t>Lacrimosa</t>
        </is>
      </c>
      <c r="C1203" s="14" t="inlineStr">
        <is>
          <t>Matz Mainka; ill. Ana Juan</t>
        </is>
      </c>
      <c r="D1203" s="14" t="inlineStr">
        <is>
          <t>Illustrati</t>
        </is>
      </c>
      <c r="E1203" s="14" t="inlineStr">
        <is>
          <t>da 12 anni</t>
        </is>
      </c>
      <c r="F1203" s="14" t="inlineStr">
        <is>
          <t>Scuola media (11-13)</t>
        </is>
      </c>
      <c r="G1203" s="14" t="inlineStr">
        <is>
          <t>Albo illustrato</t>
        </is>
      </c>
      <c r="H1203" s="14" t="inlineStr"/>
      <c r="I1203" s="14" t="inlineStr">
        <is>
          <t>No</t>
        </is>
      </c>
      <c r="J1203" s="14" t="inlineStr">
        <is>
          <t>Catalogo</t>
        </is>
      </c>
      <c r="K1203" s="14" t="inlineStr">
        <is>
          <t>prima/seconda/terza media</t>
        </is>
      </c>
      <c r="L1203" s="14" t="inlineStr">
        <is>
          <t>https://www.libri.it/lacrimosa</t>
        </is>
      </c>
      <c r="M1203" s="16" t="n">
        <v>20</v>
      </c>
      <c r="N1203" s="14" t="inlineStr">
        <is>
          <t>Lista titoli Logos Edizioni 2026 (PVP)</t>
        </is>
      </c>
      <c r="O1203" s="16">
        <f>IF(ISNUMBER(M1203),ROUND(M1203*(1-Condizioni!$B$2),2),"")</f>
        <v/>
      </c>
      <c r="P1203" s="17" t="inlineStr">
        <is>
          <t>No</t>
        </is>
      </c>
    </row>
    <row r="1204">
      <c r="A1204" s="14" t="inlineStr">
        <is>
          <t>Logos</t>
        </is>
      </c>
      <c r="B1204" s="14" t="inlineStr">
        <is>
          <t>Le Tribolazioni di Tommy Tiptop</t>
        </is>
      </c>
      <c r="C1204" s="14" t="inlineStr">
        <is>
          <t>Stefano Bessoni</t>
        </is>
      </c>
      <c r="D1204" s="14" t="inlineStr">
        <is>
          <t>Illustrati</t>
        </is>
      </c>
      <c r="E1204" s="14" t="inlineStr">
        <is>
          <t>da 12 anni</t>
        </is>
      </c>
      <c r="F1204" s="14" t="inlineStr">
        <is>
          <t>Scuola media (11-13)</t>
        </is>
      </c>
      <c r="G1204" s="14" t="inlineStr">
        <is>
          <t>Albo illustrato</t>
        </is>
      </c>
      <c r="H1204" s="14" t="inlineStr"/>
      <c r="I1204" s="14" t="inlineStr">
        <is>
          <t>No</t>
        </is>
      </c>
      <c r="J1204" s="14" t="inlineStr">
        <is>
          <t>Catalogo</t>
        </is>
      </c>
      <c r="K1204" s="14" t="inlineStr">
        <is>
          <t>prima/seconda/terza media</t>
        </is>
      </c>
      <c r="L1204" s="14" t="inlineStr">
        <is>
          <t>https://www.libri.it/tommy-tiptop</t>
        </is>
      </c>
      <c r="M1204" s="16" t="n">
        <v>18</v>
      </c>
      <c r="N1204" s="14" t="inlineStr">
        <is>
          <t>Lista titoli Logos Edizioni 2026 (PVP)</t>
        </is>
      </c>
      <c r="O1204" s="16">
        <f>IF(ISNUMBER(M1204),ROUND(M1204*(1-Condizioni!$B$2),2),"")</f>
        <v/>
      </c>
      <c r="P1204" s="17" t="inlineStr">
        <is>
          <t>No</t>
        </is>
      </c>
    </row>
    <row r="1205">
      <c r="A1205" s="14" t="inlineStr">
        <is>
          <t>Logos</t>
        </is>
      </c>
      <c r="B1205" s="14" t="inlineStr">
        <is>
          <t>Little Red</t>
        </is>
      </c>
      <c r="C1205" s="14" t="inlineStr">
        <is>
          <t>Beatriz Vidal</t>
        </is>
      </c>
      <c r="D1205" s="14" t="inlineStr">
        <is>
          <t>Illustrati</t>
        </is>
      </c>
      <c r="E1205" s="14" t="inlineStr">
        <is>
          <t>da 12 anni</t>
        </is>
      </c>
      <c r="F1205" s="14" t="inlineStr">
        <is>
          <t>Scuola media (11-13)</t>
        </is>
      </c>
      <c r="G1205" s="14" t="inlineStr">
        <is>
          <t>Albo illustrato</t>
        </is>
      </c>
      <c r="H1205" s="14" t="inlineStr"/>
      <c r="I1205" s="14" t="inlineStr">
        <is>
          <t>No</t>
        </is>
      </c>
      <c r="J1205" s="14" t="inlineStr">
        <is>
          <t>Catalogo</t>
        </is>
      </c>
      <c r="K1205" s="14" t="inlineStr">
        <is>
          <t>prima/seconda/terza media</t>
        </is>
      </c>
      <c r="L1205" s="14" t="inlineStr">
        <is>
          <t>https://www.libri.it/little-red</t>
        </is>
      </c>
      <c r="M1205" s="16" t="n">
        <v>18</v>
      </c>
      <c r="N1205" s="14" t="inlineStr">
        <is>
          <t>Lista titoli Logos Edizioni 2026 (PVP)</t>
        </is>
      </c>
      <c r="O1205" s="16">
        <f>IF(ISNUMBER(M1205),ROUND(M1205*(1-Condizioni!$B$2),2),"")</f>
        <v/>
      </c>
      <c r="P1205" s="17" t="inlineStr">
        <is>
          <t>No</t>
        </is>
      </c>
    </row>
    <row r="1206">
      <c r="A1206" s="14" t="inlineStr">
        <is>
          <t>Logos</t>
        </is>
      </c>
      <c r="B1206" s="14" t="inlineStr">
        <is>
          <t>Lombroso</t>
        </is>
      </c>
      <c r="C1206" s="14" t="inlineStr">
        <is>
          <t>Stefano Bessoni</t>
        </is>
      </c>
      <c r="D1206" s="14" t="inlineStr">
        <is>
          <t>Illustrati</t>
        </is>
      </c>
      <c r="E1206" s="14" t="inlineStr">
        <is>
          <t>da 12 anni</t>
        </is>
      </c>
      <c r="F1206" s="14" t="inlineStr">
        <is>
          <t>Scuola media (11-13)</t>
        </is>
      </c>
      <c r="G1206" s="14" t="inlineStr">
        <is>
          <t>Albo illustrato</t>
        </is>
      </c>
      <c r="H1206" s="14" t="inlineStr"/>
      <c r="I1206" s="14" t="inlineStr">
        <is>
          <t>No</t>
        </is>
      </c>
      <c r="J1206" s="14" t="inlineStr">
        <is>
          <t>Catalogo</t>
        </is>
      </c>
      <c r="K1206" s="14" t="inlineStr">
        <is>
          <t>prima/seconda/terza media</t>
        </is>
      </c>
      <c r="L1206" s="14" t="inlineStr">
        <is>
          <t>https://www.libri.it/stefano-bessoni-lombroso</t>
        </is>
      </c>
      <c r="M1206" s="16" t="n">
        <v>18</v>
      </c>
      <c r="N1206" s="14" t="inlineStr">
        <is>
          <t>Lista titoli Logos Edizioni 2026 (PVP)</t>
        </is>
      </c>
      <c r="O1206" s="16">
        <f>IF(ISNUMBER(M1206),ROUND(M1206*(1-Condizioni!$B$2),2),"")</f>
        <v/>
      </c>
      <c r="P1206" s="17" t="inlineStr">
        <is>
          <t>No</t>
        </is>
      </c>
    </row>
    <row r="1207">
      <c r="A1207" s="14" t="inlineStr">
        <is>
          <t>Logos</t>
        </is>
      </c>
      <c r="B1207" s="14" t="inlineStr">
        <is>
          <t>L’Isola</t>
        </is>
      </c>
      <c r="C1207" s="14" t="inlineStr">
        <is>
          <t>Matz Mainka; ill. Ana Juan</t>
        </is>
      </c>
      <c r="D1207" s="14" t="inlineStr">
        <is>
          <t>Illustrati</t>
        </is>
      </c>
      <c r="E1207" s="14" t="inlineStr">
        <is>
          <t>da 12 anni</t>
        </is>
      </c>
      <c r="F1207" s="14" t="inlineStr">
        <is>
          <t>Scuola media (11-13)</t>
        </is>
      </c>
      <c r="G1207" s="14" t="inlineStr">
        <is>
          <t>Albo illustrato</t>
        </is>
      </c>
      <c r="H1207" s="14" t="inlineStr"/>
      <c r="I1207" s="14" t="inlineStr">
        <is>
          <t>No</t>
        </is>
      </c>
      <c r="J1207" s="14" t="inlineStr">
        <is>
          <t>Catalogo</t>
        </is>
      </c>
      <c r="K1207" s="14" t="inlineStr">
        <is>
          <t>prima/seconda/terza media</t>
        </is>
      </c>
      <c r="L1207" s="14" t="inlineStr">
        <is>
          <t>https://www.libri.it/lisola</t>
        </is>
      </c>
      <c r="M1207" s="16" t="n">
        <v>18</v>
      </c>
      <c r="N1207" s="14" t="inlineStr">
        <is>
          <t>Lista titoli Logos Edizioni 2026 (PVP)</t>
        </is>
      </c>
      <c r="O1207" s="16">
        <f>IF(ISNUMBER(M1207),ROUND(M1207*(1-Condizioni!$B$2),2),"")</f>
        <v/>
      </c>
      <c r="P1207" s="17" t="inlineStr">
        <is>
          <t>No</t>
        </is>
      </c>
    </row>
    <row r="1208">
      <c r="A1208" s="14" t="inlineStr">
        <is>
          <t>Logos</t>
        </is>
      </c>
      <c r="B1208" s="14" t="inlineStr">
        <is>
          <t>L’Oracolo Favoloso</t>
        </is>
      </c>
      <c r="C1208" s="14" t="inlineStr">
        <is>
          <t>Émilie Chazerand; ill. Emmanuelle Houdart</t>
        </is>
      </c>
      <c r="D1208" s="14" t="inlineStr">
        <is>
          <t>Illustrati</t>
        </is>
      </c>
      <c r="E1208" s="14" t="inlineStr">
        <is>
          <t>da 12 anni</t>
        </is>
      </c>
      <c r="F1208" s="14" t="inlineStr">
        <is>
          <t>Scuola media (11-13)</t>
        </is>
      </c>
      <c r="G1208" s="14" t="inlineStr">
        <is>
          <t>Albo illustrato</t>
        </is>
      </c>
      <c r="H1208" s="14" t="inlineStr"/>
      <c r="I1208" s="14" t="inlineStr">
        <is>
          <t>No</t>
        </is>
      </c>
      <c r="J1208" s="14" t="inlineStr">
        <is>
          <t>Catalogo</t>
        </is>
      </c>
      <c r="K1208" s="14" t="inlineStr">
        <is>
          <t>prima/seconda/terza media</t>
        </is>
      </c>
      <c r="L1208" s="14" t="inlineStr">
        <is>
          <t>https://www.libri.it/oracolo-favoloso</t>
        </is>
      </c>
      <c r="M1208" s="16" t="n">
        <v>26</v>
      </c>
      <c r="N1208" s="14" t="inlineStr">
        <is>
          <t>Lista titoli Logos Edizioni 2026 (PVP)</t>
        </is>
      </c>
      <c r="O1208" s="16">
        <f>IF(ISNUMBER(M1208),ROUND(M1208*(1-Condizioni!$B$2),2),"")</f>
        <v/>
      </c>
      <c r="P1208" s="17" t="inlineStr">
        <is>
          <t>No</t>
        </is>
      </c>
    </row>
    <row r="1209">
      <c r="A1209" s="14" t="inlineStr">
        <is>
          <t>Logos</t>
        </is>
      </c>
      <c r="B1209" s="14" t="inlineStr">
        <is>
          <t>L’Ultimo Grande Viaggio di Olivier Duveau</t>
        </is>
      </c>
      <c r="C1209" s="14" t="inlineStr">
        <is>
          <t>Jali</t>
        </is>
      </c>
      <c r="D1209" s="14" t="inlineStr">
        <is>
          <t>Fumetto</t>
        </is>
      </c>
      <c r="E1209" s="14" t="inlineStr">
        <is>
          <t>da 12 anni</t>
        </is>
      </c>
      <c r="F1209" s="14" t="inlineStr">
        <is>
          <t>Scuola media (11-13)</t>
        </is>
      </c>
      <c r="G1209" s="14" t="inlineStr">
        <is>
          <t>Graphic novel/Fumetto</t>
        </is>
      </c>
      <c r="H1209" s="14" t="inlineStr"/>
      <c r="I1209" s="14" t="inlineStr">
        <is>
          <t>No</t>
        </is>
      </c>
      <c r="J1209" s="14" t="inlineStr">
        <is>
          <t>Catalogo</t>
        </is>
      </c>
      <c r="K1209" s="14" t="inlineStr">
        <is>
          <t>prima/seconda/terza media</t>
        </is>
      </c>
      <c r="L1209" s="14" t="inlineStr">
        <is>
          <t>https://www.libri.it/lultimo-grande-viaggio-di-olivier-duveau</t>
        </is>
      </c>
      <c r="M1209" s="16" t="n">
        <v>16</v>
      </c>
      <c r="N1209" s="14" t="inlineStr">
        <is>
          <t>Lista titoli Logos Edizioni 2026 (PVP)</t>
        </is>
      </c>
      <c r="O1209" s="16">
        <f>IF(ISNUMBER(M1209),ROUND(M1209*(1-Condizioni!$B$2),2),"")</f>
        <v/>
      </c>
      <c r="P1209" s="17" t="inlineStr">
        <is>
          <t>No</t>
        </is>
      </c>
    </row>
    <row r="1210">
      <c r="A1210" s="14" t="inlineStr">
        <is>
          <t>Logos</t>
        </is>
      </c>
      <c r="B1210" s="14" t="inlineStr">
        <is>
          <t>Malaria</t>
        </is>
      </c>
      <c r="C1210" s="14" t="inlineStr">
        <is>
          <t>Jali</t>
        </is>
      </c>
      <c r="D1210" s="14" t="inlineStr">
        <is>
          <t>Fumetto</t>
        </is>
      </c>
      <c r="E1210" s="14" t="inlineStr">
        <is>
          <t>da 12 anni</t>
        </is>
      </c>
      <c r="F1210" s="14" t="inlineStr">
        <is>
          <t>Scuola media (11-13)</t>
        </is>
      </c>
      <c r="G1210" s="14" t="inlineStr">
        <is>
          <t>Graphic novel/Fumetto</t>
        </is>
      </c>
      <c r="H1210" s="14" t="inlineStr"/>
      <c r="I1210" s="14" t="inlineStr">
        <is>
          <t>No</t>
        </is>
      </c>
      <c r="J1210" s="14" t="inlineStr">
        <is>
          <t>Catalogo</t>
        </is>
      </c>
      <c r="K1210" s="14" t="inlineStr">
        <is>
          <t>prima/seconda/terza media</t>
        </is>
      </c>
      <c r="L1210" s="14" t="inlineStr">
        <is>
          <t>https://www.libri.it/malaria</t>
        </is>
      </c>
      <c r="M1210" s="16" t="n">
        <v>15</v>
      </c>
      <c r="N1210" s="14" t="inlineStr">
        <is>
          <t>Lista titoli Logos Edizioni 2026 (PVP)</t>
        </is>
      </c>
      <c r="O1210" s="16">
        <f>IF(ISNUMBER(M1210),ROUND(M1210*(1-Condizioni!$B$2),2),"")</f>
        <v/>
      </c>
      <c r="P1210" s="17" t="inlineStr">
        <is>
          <t>No</t>
        </is>
      </c>
    </row>
    <row r="1211">
      <c r="A1211" s="14" t="inlineStr">
        <is>
          <t>Logos</t>
        </is>
      </c>
      <c r="B1211" s="14" t="inlineStr">
        <is>
          <t>Mr Punch</t>
        </is>
      </c>
      <c r="C1211" s="14" t="inlineStr">
        <is>
          <t>Stefano Bessoni</t>
        </is>
      </c>
      <c r="D1211" s="14" t="inlineStr">
        <is>
          <t>Illustrati</t>
        </is>
      </c>
      <c r="E1211" s="14" t="inlineStr">
        <is>
          <t>da 12 anni</t>
        </is>
      </c>
      <c r="F1211" s="14" t="inlineStr">
        <is>
          <t>Scuola media (11-13)</t>
        </is>
      </c>
      <c r="G1211" s="14" t="inlineStr">
        <is>
          <t>Albo illustrato</t>
        </is>
      </c>
      <c r="H1211" s="14" t="inlineStr"/>
      <c r="I1211" s="14" t="inlineStr">
        <is>
          <t>No</t>
        </is>
      </c>
      <c r="J1211" s="14" t="inlineStr">
        <is>
          <t>Catalogo</t>
        </is>
      </c>
      <c r="K1211" s="14" t="inlineStr">
        <is>
          <t>prima/seconda/terza media</t>
        </is>
      </c>
      <c r="L1211" s="14" t="inlineStr">
        <is>
          <t>https://www.libri.it/mr-punch</t>
        </is>
      </c>
      <c r="M1211" s="16" t="n">
        <v>16</v>
      </c>
      <c r="N1211" s="14" t="inlineStr">
        <is>
          <t>Lista titoli Logos Edizioni 2026 (PVP)</t>
        </is>
      </c>
      <c r="O1211" s="16">
        <f>IF(ISNUMBER(M1211),ROUND(M1211*(1-Condizioni!$B$2),2),"")</f>
        <v/>
      </c>
      <c r="P1211" s="17" t="inlineStr">
        <is>
          <t>No</t>
        </is>
      </c>
    </row>
    <row r="1212">
      <c r="A1212" s="14" t="inlineStr">
        <is>
          <t>Logos</t>
        </is>
      </c>
      <c r="B1212" s="14" t="inlineStr">
        <is>
          <t>Non Svegliate l’Essere che Dorme</t>
        </is>
      </c>
      <c r="C1212" s="14" t="inlineStr">
        <is>
          <t>Jali</t>
        </is>
      </c>
      <c r="D1212" s="14" t="inlineStr">
        <is>
          <t>Fumetto</t>
        </is>
      </c>
      <c r="E1212" s="14" t="inlineStr">
        <is>
          <t>da 12 anni</t>
        </is>
      </c>
      <c r="F1212" s="14" t="inlineStr">
        <is>
          <t>Scuola media (11-13)</t>
        </is>
      </c>
      <c r="G1212" s="14" t="inlineStr">
        <is>
          <t>Graphic novel/Fumetto</t>
        </is>
      </c>
      <c r="H1212" s="14" t="inlineStr"/>
      <c r="I1212" s="14" t="inlineStr">
        <is>
          <t>No</t>
        </is>
      </c>
      <c r="J1212" s="14" t="inlineStr">
        <is>
          <t>Catalogo</t>
        </is>
      </c>
      <c r="K1212" s="14" t="inlineStr">
        <is>
          <t>prima/seconda/terza media</t>
        </is>
      </c>
      <c r="L1212" s="14" t="inlineStr">
        <is>
          <t>https://www.libri.it/non-svegliate-essere</t>
        </is>
      </c>
      <c r="M1212" s="16" t="n">
        <v>16</v>
      </c>
      <c r="N1212" s="14" t="inlineStr">
        <is>
          <t>Lista titoli Logos Edizioni 2026 (PVP)</t>
        </is>
      </c>
      <c r="O1212" s="16">
        <f>IF(ISNUMBER(M1212),ROUND(M1212*(1-Condizioni!$B$2),2),"")</f>
        <v/>
      </c>
      <c r="P1212" s="17" t="inlineStr">
        <is>
          <t>No</t>
        </is>
      </c>
    </row>
    <row r="1213">
      <c r="A1213" s="14" t="inlineStr">
        <is>
          <t>Logos</t>
        </is>
      </c>
      <c r="B1213" s="14" t="inlineStr">
        <is>
          <t>Novella degli Scacchi</t>
        </is>
      </c>
      <c r="C1213" s="14" t="inlineStr">
        <is>
          <t>Stefan Zweig; ill. David Álvarez</t>
        </is>
      </c>
      <c r="D1213" s="14" t="inlineStr">
        <is>
          <t>Capsula Del Tempo</t>
        </is>
      </c>
      <c r="E1213" s="14" t="inlineStr">
        <is>
          <t>da 12 anni</t>
        </is>
      </c>
      <c r="F1213" s="14" t="inlineStr">
        <is>
          <t>Scuola media (11-13)</t>
        </is>
      </c>
      <c r="G1213" s="14" t="inlineStr">
        <is>
          <t>Albo illustrato</t>
        </is>
      </c>
      <c r="H1213" s="14" t="inlineStr"/>
      <c r="I1213" s="14" t="inlineStr">
        <is>
          <t>No</t>
        </is>
      </c>
      <c r="J1213" s="14" t="inlineStr">
        <is>
          <t>Catalogo</t>
        </is>
      </c>
      <c r="K1213" s="14" t="inlineStr">
        <is>
          <t>prima/seconda/terza media</t>
        </is>
      </c>
      <c r="L1213" s="14" t="inlineStr">
        <is>
          <t>https://www.libri.it/3d/anteprima/novelladegliscacchi/</t>
        </is>
      </c>
      <c r="M1213" s="16" t="n">
        <v>20</v>
      </c>
      <c r="N1213" s="14" t="inlineStr">
        <is>
          <t>Lista titoli Logos Edizioni 2026 (PVP)</t>
        </is>
      </c>
      <c r="O1213" s="16">
        <f>IF(ISNUMBER(M1213),ROUND(M1213*(1-Condizioni!$B$2),2),"")</f>
        <v/>
      </c>
      <c r="P1213" s="17" t="inlineStr">
        <is>
          <t>No</t>
        </is>
      </c>
    </row>
    <row r="1214">
      <c r="A1214" s="14" t="inlineStr">
        <is>
          <t>Logos</t>
        </is>
      </c>
      <c r="B1214" s="14" t="inlineStr">
        <is>
          <t>Oz</t>
        </is>
      </c>
      <c r="C1214" s="14" t="inlineStr">
        <is>
          <t>Stefano Bessoni</t>
        </is>
      </c>
      <c r="D1214" s="14" t="inlineStr">
        <is>
          <t>Illustrati</t>
        </is>
      </c>
      <c r="E1214" s="14" t="inlineStr">
        <is>
          <t>da 12 anni</t>
        </is>
      </c>
      <c r="F1214" s="14" t="inlineStr">
        <is>
          <t>Scuola media (11-13)</t>
        </is>
      </c>
      <c r="G1214" s="14" t="inlineStr">
        <is>
          <t>Albo illustrato</t>
        </is>
      </c>
      <c r="H1214" s="14" t="inlineStr"/>
      <c r="I1214" s="14" t="inlineStr">
        <is>
          <t>No</t>
        </is>
      </c>
      <c r="J1214" s="14" t="inlineStr">
        <is>
          <t>Catalogo</t>
        </is>
      </c>
      <c r="K1214" s="14" t="inlineStr">
        <is>
          <t>prima/seconda/terza media</t>
        </is>
      </c>
      <c r="L1214" s="14" t="inlineStr">
        <is>
          <t>https://www.libri.it/oz</t>
        </is>
      </c>
      <c r="M1214" s="16" t="n">
        <v>16</v>
      </c>
      <c r="N1214" s="14" t="inlineStr">
        <is>
          <t>Lista titoli Logos Edizioni 2026 (PVP)</t>
        </is>
      </c>
      <c r="O1214" s="16">
        <f>IF(ISNUMBER(M1214),ROUND(M1214*(1-Condizioni!$B$2),2),"")</f>
        <v/>
      </c>
      <c r="P1214" s="17" t="inlineStr">
        <is>
          <t>No</t>
        </is>
      </c>
    </row>
    <row r="1215">
      <c r="A1215" s="14" t="inlineStr">
        <is>
          <t>Logos</t>
        </is>
      </c>
      <c r="B1215" s="14" t="inlineStr">
        <is>
          <t>Pinocchio</t>
        </is>
      </c>
      <c r="C1215" s="14" t="inlineStr">
        <is>
          <t>Stefano Bessoni</t>
        </is>
      </c>
      <c r="D1215" s="14" t="inlineStr">
        <is>
          <t>Illustrati</t>
        </is>
      </c>
      <c r="E1215" s="14" t="inlineStr">
        <is>
          <t>da 12 anni</t>
        </is>
      </c>
      <c r="F1215" s="14" t="inlineStr">
        <is>
          <t>Scuola media (11-13)</t>
        </is>
      </c>
      <c r="G1215" s="14" t="inlineStr">
        <is>
          <t>Albo illustrato</t>
        </is>
      </c>
      <c r="H1215" s="14" t="inlineStr"/>
      <c r="I1215" s="14" t="inlineStr">
        <is>
          <t>No</t>
        </is>
      </c>
      <c r="J1215" s="14" t="inlineStr">
        <is>
          <t>Catalogo</t>
        </is>
      </c>
      <c r="K1215" s="14" t="inlineStr">
        <is>
          <t>prima/seconda/terza media</t>
        </is>
      </c>
      <c r="L1215" s="14" t="inlineStr">
        <is>
          <t>https://www.libri.it/pinocchio-stefano-bessoni</t>
        </is>
      </c>
      <c r="M1215" s="16" t="n">
        <v>25</v>
      </c>
      <c r="N1215" s="14" t="inlineStr">
        <is>
          <t>Lista titoli Logos Edizioni 2026 (PVP)</t>
        </is>
      </c>
      <c r="O1215" s="16">
        <f>IF(ISNUMBER(M1215),ROUND(M1215*(1-Condizioni!$B$2),2),"")</f>
        <v/>
      </c>
      <c r="P1215" s="17" t="inlineStr">
        <is>
          <t>Sì</t>
        </is>
      </c>
    </row>
    <row r="1216">
      <c r="A1216" s="14" t="inlineStr">
        <is>
          <t>Logos</t>
        </is>
      </c>
      <c r="B1216" s="14" t="inlineStr">
        <is>
          <t>Play With Me</t>
        </is>
      </c>
      <c r="C1216" s="14" t="inlineStr">
        <is>
          <t>Nicoletta Ceccoli</t>
        </is>
      </c>
      <c r="D1216" s="14" t="inlineStr">
        <is>
          <t>Illustrati</t>
        </is>
      </c>
      <c r="E1216" s="14" t="inlineStr">
        <is>
          <t>da 12 anni</t>
        </is>
      </c>
      <c r="F1216" s="14" t="inlineStr">
        <is>
          <t>Scuola media (11-13)</t>
        </is>
      </c>
      <c r="G1216" s="14" t="inlineStr">
        <is>
          <t>Albo illustrato</t>
        </is>
      </c>
      <c r="H1216" s="14" t="inlineStr"/>
      <c r="I1216" s="14" t="inlineStr">
        <is>
          <t>No</t>
        </is>
      </c>
      <c r="J1216" s="14" t="inlineStr">
        <is>
          <t>Catalogo</t>
        </is>
      </c>
      <c r="K1216" s="14" t="inlineStr">
        <is>
          <t>prima/seconda/terza media</t>
        </is>
      </c>
      <c r="L1216" s="14" t="inlineStr">
        <is>
          <t>https://www.libri.it/play-with-me</t>
        </is>
      </c>
      <c r="M1216" s="16" t="n">
        <v>35</v>
      </c>
      <c r="N1216" s="14" t="inlineStr">
        <is>
          <t>Lista titoli Logos Edizioni 2026 (PVP)</t>
        </is>
      </c>
      <c r="O1216" s="16">
        <f>IF(ISNUMBER(M1216),ROUND(M1216*(1-Condizioni!$B$2),2),"")</f>
        <v/>
      </c>
      <c r="P1216" s="17" t="inlineStr">
        <is>
          <t>No</t>
        </is>
      </c>
    </row>
    <row r="1217">
      <c r="A1217" s="14" t="inlineStr">
        <is>
          <t>Logos</t>
        </is>
      </c>
      <c r="B1217" s="14" t="inlineStr">
        <is>
          <t>Plexiglass</t>
        </is>
      </c>
      <c r="C1217" s="14" t="inlineStr">
        <is>
          <t>Jali</t>
        </is>
      </c>
      <c r="D1217" s="14" t="inlineStr">
        <is>
          <t>Fumetto</t>
        </is>
      </c>
      <c r="E1217" s="14" t="inlineStr">
        <is>
          <t>da 12 anni</t>
        </is>
      </c>
      <c r="F1217" s="14" t="inlineStr">
        <is>
          <t>Scuola media (11-13)</t>
        </is>
      </c>
      <c r="G1217" s="14" t="inlineStr">
        <is>
          <t>Graphic novel/Fumetto</t>
        </is>
      </c>
      <c r="H1217" s="14" t="inlineStr"/>
      <c r="I1217" s="14" t="inlineStr">
        <is>
          <t>No</t>
        </is>
      </c>
      <c r="J1217" s="14" t="inlineStr">
        <is>
          <t>Catalogo</t>
        </is>
      </c>
      <c r="K1217" s="14" t="inlineStr">
        <is>
          <t>prima/seconda/terza media</t>
        </is>
      </c>
      <c r="L1217" s="14" t="inlineStr">
        <is>
          <t>https://www.libri.it/plexiglass</t>
        </is>
      </c>
      <c r="M1217" s="16" t="n">
        <v>16</v>
      </c>
      <c r="N1217" s="14" t="inlineStr">
        <is>
          <t>Lista titoli Logos Edizioni 2026 (PVP)</t>
        </is>
      </c>
      <c r="O1217" s="16">
        <f>IF(ISNUMBER(M1217),ROUND(M1217*(1-Condizioni!$B$2),2),"")</f>
        <v/>
      </c>
      <c r="P1217" s="17" t="inlineStr">
        <is>
          <t>No</t>
        </is>
      </c>
    </row>
    <row r="1218">
      <c r="A1218" s="14" t="inlineStr">
        <is>
          <t>Logos</t>
        </is>
      </c>
      <c r="B1218" s="14" t="inlineStr">
        <is>
          <t>Primo Giorno di Scuola</t>
        </is>
      </c>
      <c r="C1218" s="14" t="inlineStr">
        <is>
          <t>Oscar Sabini</t>
        </is>
      </c>
      <c r="D1218" s="14" t="inlineStr">
        <is>
          <t>Illustrati</t>
        </is>
      </c>
      <c r="E1218" s="14" t="inlineStr">
        <is>
          <t>da 12 anni</t>
        </is>
      </c>
      <c r="F1218" s="14" t="inlineStr">
        <is>
          <t>Scuola media (11-13)</t>
        </is>
      </c>
      <c r="G1218" s="14" t="inlineStr">
        <is>
          <t>Albo illustrato</t>
        </is>
      </c>
      <c r="H1218" s="14" t="inlineStr"/>
      <c r="I1218" s="14" t="inlineStr">
        <is>
          <t>No</t>
        </is>
      </c>
      <c r="J1218" s="14" t="inlineStr">
        <is>
          <t>Catalogo</t>
        </is>
      </c>
      <c r="K1218" s="14" t="inlineStr">
        <is>
          <t>prima/seconda/terza media</t>
        </is>
      </c>
      <c r="L1218" s="14" t="inlineStr">
        <is>
          <t>https://www.libri.it/primo-giorno-di-scuola</t>
        </is>
      </c>
      <c r="M1218" s="16" t="n">
        <v>14</v>
      </c>
      <c r="N1218" s="14" t="inlineStr">
        <is>
          <t>Lista titoli Logos Edizioni 2026 (PVP)</t>
        </is>
      </c>
      <c r="O1218" s="16">
        <f>IF(ISNUMBER(M1218),ROUND(M1218*(1-Condizioni!$B$2),2),"")</f>
        <v/>
      </c>
      <c r="P1218" s="17" t="inlineStr">
        <is>
          <t>No</t>
        </is>
      </c>
    </row>
    <row r="1219">
      <c r="A1219" s="14" t="inlineStr">
        <is>
          <t>Logos</t>
        </is>
      </c>
      <c r="B1219" s="14" t="inlineStr">
        <is>
          <t>Promesse</t>
        </is>
      </c>
      <c r="C1219" s="14" t="inlineStr">
        <is>
          <t>Matz Mainka; ill. Ana Juan</t>
        </is>
      </c>
      <c r="D1219" s="14" t="inlineStr">
        <is>
          <t>Illustrati</t>
        </is>
      </c>
      <c r="E1219" s="14" t="inlineStr">
        <is>
          <t>da 12 anni</t>
        </is>
      </c>
      <c r="F1219" s="14" t="inlineStr">
        <is>
          <t>Scuola media (11-13)</t>
        </is>
      </c>
      <c r="G1219" s="14" t="inlineStr">
        <is>
          <t>Albo illustrato</t>
        </is>
      </c>
      <c r="H1219" s="14" t="inlineStr"/>
      <c r="I1219" s="14" t="inlineStr">
        <is>
          <t>No</t>
        </is>
      </c>
      <c r="J1219" s="14" t="inlineStr">
        <is>
          <t>Catalogo</t>
        </is>
      </c>
      <c r="K1219" s="14" t="inlineStr">
        <is>
          <t>prima/seconda/terza media</t>
        </is>
      </c>
      <c r="L1219" s="14" t="inlineStr">
        <is>
          <t>https://www.libri.it/promesse</t>
        </is>
      </c>
      <c r="M1219" s="16" t="n">
        <v>18</v>
      </c>
      <c r="N1219" s="14" t="inlineStr">
        <is>
          <t>Lista titoli Logos Edizioni 2026 (PVP)</t>
        </is>
      </c>
      <c r="O1219" s="16">
        <f>IF(ISNUMBER(M1219),ROUND(M1219*(1-Condizioni!$B$2),2),"")</f>
        <v/>
      </c>
      <c r="P1219" s="17" t="inlineStr">
        <is>
          <t>No</t>
        </is>
      </c>
    </row>
    <row r="1220">
      <c r="A1220" s="14" t="inlineStr">
        <is>
          <t>Logos</t>
        </is>
      </c>
      <c r="B1220" s="14" t="inlineStr">
        <is>
          <t>Psiconauti</t>
        </is>
      </c>
      <c r="C1220" s="14" t="inlineStr">
        <is>
          <t>Alberto Vázquez</t>
        </is>
      </c>
      <c r="D1220" s="14" t="inlineStr">
        <is>
          <t>Fumetto</t>
        </is>
      </c>
      <c r="E1220" s="14" t="inlineStr">
        <is>
          <t>da 12 anni</t>
        </is>
      </c>
      <c r="F1220" s="14" t="inlineStr">
        <is>
          <t>Scuola media (11-13)</t>
        </is>
      </c>
      <c r="G1220" s="14" t="inlineStr">
        <is>
          <t>Graphic novel/Fumetto</t>
        </is>
      </c>
      <c r="H1220" s="14" t="inlineStr"/>
      <c r="I1220" s="14" t="inlineStr">
        <is>
          <t>No</t>
        </is>
      </c>
      <c r="J1220" s="14" t="inlineStr">
        <is>
          <t>Catalogo</t>
        </is>
      </c>
      <c r="K1220" s="14" t="inlineStr">
        <is>
          <t>prima/seconda/terza media</t>
        </is>
      </c>
      <c r="L1220" s="14" t="inlineStr">
        <is>
          <t>https://www.libri.it/psiconauti</t>
        </is>
      </c>
      <c r="M1220" s="16" t="n">
        <v>12</v>
      </c>
      <c r="N1220" s="14" t="inlineStr">
        <is>
          <t>Lista titoli Logos Edizioni 2026 (PVP)</t>
        </is>
      </c>
      <c r="O1220" s="16">
        <f>IF(ISNUMBER(M1220),ROUND(M1220*(1-Condizioni!$B$2),2),"")</f>
        <v/>
      </c>
      <c r="P1220" s="17" t="inlineStr">
        <is>
          <t>No</t>
        </is>
      </c>
    </row>
    <row r="1221">
      <c r="A1221" s="14" t="inlineStr">
        <is>
          <t>Logos</t>
        </is>
      </c>
      <c r="B1221" s="14" t="inlineStr">
        <is>
          <t>R.i.p. Best Of 1985-2004</t>
        </is>
      </c>
      <c r="C1221" s="14" t="inlineStr">
        <is>
          <t>Thomas Ott</t>
        </is>
      </c>
      <c r="D1221" s="14" t="inlineStr">
        <is>
          <t>Illustrati</t>
        </is>
      </c>
      <c r="E1221" s="14" t="inlineStr">
        <is>
          <t>da 12 anni</t>
        </is>
      </c>
      <c r="F1221" s="14" t="inlineStr">
        <is>
          <t>Scuola media (11-13)</t>
        </is>
      </c>
      <c r="G1221" s="14" t="inlineStr">
        <is>
          <t>Albo illustrato</t>
        </is>
      </c>
      <c r="H1221" s="14" t="inlineStr"/>
      <c r="I1221" s="14" t="inlineStr">
        <is>
          <t>No</t>
        </is>
      </c>
      <c r="J1221" s="14" t="inlineStr">
        <is>
          <t>Catalogo</t>
        </is>
      </c>
      <c r="K1221" s="14" t="inlineStr">
        <is>
          <t>prima/seconda/terza media</t>
        </is>
      </c>
      <c r="L1221" s="14" t="inlineStr">
        <is>
          <t>https://www.libri.it/rip</t>
        </is>
      </c>
      <c r="M1221" s="16" t="n">
        <v>22</v>
      </c>
      <c r="N1221" s="14" t="inlineStr">
        <is>
          <t>Lista titoli Logos Edizioni 2026 (PVP)</t>
        </is>
      </c>
      <c r="O1221" s="16">
        <f>IF(ISNUMBER(M1221),ROUND(M1221*(1-Condizioni!$B$2),2),"")</f>
        <v/>
      </c>
      <c r="P1221" s="17" t="inlineStr">
        <is>
          <t>No</t>
        </is>
      </c>
    </row>
    <row r="1222">
      <c r="A1222" s="14" t="inlineStr">
        <is>
          <t>Logos</t>
        </is>
      </c>
      <c r="B1222" s="14" t="inlineStr">
        <is>
          <t>Rachel</t>
        </is>
      </c>
      <c r="C1222" s="14" t="inlineStr">
        <is>
          <t>Stefano Bessoni</t>
        </is>
      </c>
      <c r="D1222" s="14" t="inlineStr">
        <is>
          <t>Illustrati</t>
        </is>
      </c>
      <c r="E1222" s="14" t="inlineStr">
        <is>
          <t>da 12 anni</t>
        </is>
      </c>
      <c r="F1222" s="14" t="inlineStr">
        <is>
          <t>Scuola media (11-13)</t>
        </is>
      </c>
      <c r="G1222" s="14" t="inlineStr">
        <is>
          <t>Albo illustrato</t>
        </is>
      </c>
      <c r="H1222" s="14" t="inlineStr"/>
      <c r="I1222" s="14" t="inlineStr">
        <is>
          <t>No</t>
        </is>
      </c>
      <c r="J1222" s="14" t="inlineStr">
        <is>
          <t>Catalogo</t>
        </is>
      </c>
      <c r="K1222" s="14" t="inlineStr">
        <is>
          <t>prima/seconda/terza media</t>
        </is>
      </c>
      <c r="L1222" s="14" t="inlineStr">
        <is>
          <t>https://www.libri.it/rachel</t>
        </is>
      </c>
      <c r="M1222" s="16" t="n">
        <v>17</v>
      </c>
      <c r="N1222" s="14" t="inlineStr">
        <is>
          <t>Lista titoli Logos Edizioni 2026 (PVP)</t>
        </is>
      </c>
      <c r="O1222" s="16">
        <f>IF(ISNUMBER(M1222),ROUND(M1222*(1-Condizioni!$B$2),2),"")</f>
        <v/>
      </c>
      <c r="P1222" s="17" t="inlineStr">
        <is>
          <t>No</t>
        </is>
      </c>
    </row>
    <row r="1223">
      <c r="A1223" s="14" t="inlineStr">
        <is>
          <t>Logos</t>
        </is>
      </c>
      <c r="B1223" s="14" t="inlineStr">
        <is>
          <t>Rebecca</t>
        </is>
      </c>
      <c r="C1223" s="14" t="inlineStr">
        <is>
          <t>Stefano Bessoni</t>
        </is>
      </c>
      <c r="D1223" s="14" t="inlineStr">
        <is>
          <t>Illustrati</t>
        </is>
      </c>
      <c r="E1223" s="14" t="inlineStr">
        <is>
          <t>da 12 anni</t>
        </is>
      </c>
      <c r="F1223" s="14" t="inlineStr">
        <is>
          <t>Scuola media (11-13)</t>
        </is>
      </c>
      <c r="G1223" s="14" t="inlineStr">
        <is>
          <t>Albo illustrato</t>
        </is>
      </c>
      <c r="H1223" s="14" t="inlineStr"/>
      <c r="I1223" s="14" t="inlineStr">
        <is>
          <t>No</t>
        </is>
      </c>
      <c r="J1223" s="14" t="inlineStr">
        <is>
          <t>Catalogo</t>
        </is>
      </c>
      <c r="K1223" s="14" t="inlineStr">
        <is>
          <t>prima/seconda/terza media</t>
        </is>
      </c>
      <c r="L1223" s="14" t="inlineStr">
        <is>
          <t>https://www.libri.it/rebecca</t>
        </is>
      </c>
      <c r="M1223" s="16" t="n">
        <v>18</v>
      </c>
      <c r="N1223" s="14" t="inlineStr">
        <is>
          <t>Lista titoli Logos Edizioni 2026 (PVP)</t>
        </is>
      </c>
      <c r="O1223" s="16">
        <f>IF(ISNUMBER(M1223),ROUND(M1223*(1-Condizioni!$B$2),2),"")</f>
        <v/>
      </c>
      <c r="P1223" s="17" t="inlineStr">
        <is>
          <t>No</t>
        </is>
      </c>
    </row>
    <row r="1224">
      <c r="A1224" s="14" t="inlineStr">
        <is>
          <t>Logos</t>
        </is>
      </c>
      <c r="B1224" s="14" t="inlineStr">
        <is>
          <t>Resta con Me</t>
        </is>
      </c>
      <c r="C1224" s="14" t="inlineStr">
        <is>
          <t>Francesco Ceccoli; ill. Nicoletta Ceccoli</t>
        </is>
      </c>
      <c r="D1224" s="14" t="inlineStr">
        <is>
          <t>Illustrati</t>
        </is>
      </c>
      <c r="E1224" s="14" t="inlineStr">
        <is>
          <t>da 12 anni</t>
        </is>
      </c>
      <c r="F1224" s="14" t="inlineStr">
        <is>
          <t>Scuola media (11-13)</t>
        </is>
      </c>
      <c r="G1224" s="14" t="inlineStr">
        <is>
          <t>Albo illustrato</t>
        </is>
      </c>
      <c r="H1224" s="14" t="inlineStr"/>
      <c r="I1224" s="14" t="inlineStr">
        <is>
          <t>No</t>
        </is>
      </c>
      <c r="J1224" s="14" t="inlineStr">
        <is>
          <t>Catalogo</t>
        </is>
      </c>
      <c r="K1224" s="14" t="inlineStr">
        <is>
          <t>prima/seconda/terza media</t>
        </is>
      </c>
      <c r="L1224" s="14" t="inlineStr">
        <is>
          <t>https://www.libri.it/resta-con-me</t>
        </is>
      </c>
      <c r="M1224" s="16" t="n">
        <v>20</v>
      </c>
      <c r="N1224" s="14" t="inlineStr">
        <is>
          <t>Lista titoli Logos Edizioni 2026 (PVP)</t>
        </is>
      </c>
      <c r="O1224" s="16">
        <f>IF(ISNUMBER(M1224),ROUND(M1224*(1-Condizioni!$B$2),2),"")</f>
        <v/>
      </c>
      <c r="P1224" s="17" t="inlineStr">
        <is>
          <t>No</t>
        </is>
      </c>
    </row>
    <row r="1225">
      <c r="A1225" s="14" t="inlineStr">
        <is>
          <t>Logos</t>
        </is>
      </c>
      <c r="B1225" s="14" t="inlineStr">
        <is>
          <t>Sangue del Mio Sangue</t>
        </is>
      </c>
      <c r="C1225" s="14" t="inlineStr">
        <is>
          <t>Lola Lorente</t>
        </is>
      </c>
      <c r="D1225" s="14" t="inlineStr">
        <is>
          <t>Fumetto</t>
        </is>
      </c>
      <c r="E1225" s="14" t="inlineStr">
        <is>
          <t>da 12 anni</t>
        </is>
      </c>
      <c r="F1225" s="14" t="inlineStr">
        <is>
          <t>Scuola media (11-13)</t>
        </is>
      </c>
      <c r="G1225" s="14" t="inlineStr">
        <is>
          <t>Graphic novel/Fumetto</t>
        </is>
      </c>
      <c r="H1225" s="14" t="inlineStr"/>
      <c r="I1225" s="14" t="inlineStr">
        <is>
          <t>No</t>
        </is>
      </c>
      <c r="J1225" s="14" t="inlineStr">
        <is>
          <t>Catalogo</t>
        </is>
      </c>
      <c r="K1225" s="14" t="inlineStr">
        <is>
          <t>prima/seconda/terza media</t>
        </is>
      </c>
      <c r="L1225" s="14" t="inlineStr">
        <is>
          <t>https://www.libri.it/sangue-del-mio-sangue</t>
        </is>
      </c>
      <c r="M1225" s="16" t="n">
        <v>20</v>
      </c>
      <c r="N1225" s="14" t="inlineStr">
        <is>
          <t>Lista titoli Logos Edizioni 2026 (PVP)</t>
        </is>
      </c>
      <c r="O1225" s="16">
        <f>IF(ISNUMBER(M1225),ROUND(M1225*(1-Condizioni!$B$2),2),"")</f>
        <v/>
      </c>
      <c r="P1225" s="17" t="inlineStr">
        <is>
          <t>No</t>
        </is>
      </c>
    </row>
    <row r="1226">
      <c r="A1226" s="14" t="inlineStr">
        <is>
          <t>Logos</t>
        </is>
      </c>
      <c r="B1226" s="14" t="inlineStr">
        <is>
          <t>Santa Caterina de’ Vigri</t>
        </is>
      </c>
      <c r="C1226" s="14" t="inlineStr">
        <is>
          <t>Anna Paolini</t>
        </is>
      </c>
      <c r="D1226" s="14" t="inlineStr">
        <is>
          <t>Illustrati</t>
        </is>
      </c>
      <c r="E1226" s="14" t="inlineStr">
        <is>
          <t>da 12 anni</t>
        </is>
      </c>
      <c r="F1226" s="14" t="inlineStr">
        <is>
          <t>Scuola media (11-13)</t>
        </is>
      </c>
      <c r="G1226" s="14" t="inlineStr">
        <is>
          <t>Albo illustrato</t>
        </is>
      </c>
      <c r="H1226" s="14" t="inlineStr"/>
      <c r="I1226" s="14" t="inlineStr">
        <is>
          <t>No</t>
        </is>
      </c>
      <c r="J1226" s="14" t="inlineStr">
        <is>
          <t>Catalogo</t>
        </is>
      </c>
      <c r="K1226" s="14" t="inlineStr">
        <is>
          <t>prima/seconda/terza media</t>
        </is>
      </c>
      <c r="L1226" s="14" t="inlineStr">
        <is>
          <t>https://www.libri.it/santa-caterina-de-vigri</t>
        </is>
      </c>
      <c r="M1226" s="16" t="n">
        <v>17</v>
      </c>
      <c r="N1226" s="14" t="inlineStr">
        <is>
          <t>Lista titoli Logos Edizioni 2026 (PVP)</t>
        </is>
      </c>
      <c r="O1226" s="16">
        <f>IF(ISNUMBER(M1226),ROUND(M1226*(1-Condizioni!$B$2),2),"")</f>
        <v/>
      </c>
      <c r="P1226" s="17" t="inlineStr">
        <is>
          <t>No</t>
        </is>
      </c>
    </row>
    <row r="1227">
      <c r="A1227" s="14" t="inlineStr">
        <is>
          <t>Logos</t>
        </is>
      </c>
      <c r="B1227" s="14" t="inlineStr">
        <is>
          <t>Senzaparole (nuova Edizione)</t>
        </is>
      </c>
      <c r="C1227" s="14" t="inlineStr">
        <is>
          <t>Roger Olmos</t>
        </is>
      </c>
      <c r="D1227" s="14" t="inlineStr">
        <is>
          <t>Illustrati</t>
        </is>
      </c>
      <c r="E1227" s="14" t="inlineStr">
        <is>
          <t>da 12 anni</t>
        </is>
      </c>
      <c r="F1227" s="14" t="inlineStr">
        <is>
          <t>Scuola media (11-13)</t>
        </is>
      </c>
      <c r="G1227" s="14" t="inlineStr">
        <is>
          <t>Albo illustrato</t>
        </is>
      </c>
      <c r="H1227" s="14" t="inlineStr"/>
      <c r="I1227" s="14" t="inlineStr">
        <is>
          <t>No</t>
        </is>
      </c>
      <c r="J1227" s="14" t="inlineStr">
        <is>
          <t>Catalogo</t>
        </is>
      </c>
      <c r="K1227" s="14" t="inlineStr">
        <is>
          <t>prima/seconda/terza media</t>
        </is>
      </c>
      <c r="L1227" s="14" t="inlineStr">
        <is>
          <t>https://www.libri.it/senzaparole-nuova-edizione</t>
        </is>
      </c>
      <c r="M1227" s="16" t="n">
        <v>25</v>
      </c>
      <c r="N1227" s="14" t="inlineStr">
        <is>
          <t>Lista titoli Logos Edizioni 2026 (PVP)</t>
        </is>
      </c>
      <c r="O1227" s="16">
        <f>IF(ISNUMBER(M1227),ROUND(M1227*(1-Condizioni!$B$2),2),"")</f>
        <v/>
      </c>
      <c r="P1227" s="17" t="inlineStr">
        <is>
          <t>No</t>
        </is>
      </c>
    </row>
    <row r="1228">
      <c r="A1228" s="14" t="inlineStr">
        <is>
          <t>Logos</t>
        </is>
      </c>
      <c r="B1228" s="14" t="inlineStr">
        <is>
          <t>Senzaparole Portfolio</t>
        </is>
      </c>
      <c r="C1228" s="14" t="inlineStr">
        <is>
          <t>Roger Olmos</t>
        </is>
      </c>
      <c r="D1228" s="14" t="inlineStr">
        <is>
          <t>Illustrati</t>
        </is>
      </c>
      <c r="E1228" s="14" t="inlineStr">
        <is>
          <t>da 12 anni</t>
        </is>
      </c>
      <c r="F1228" s="14" t="inlineStr">
        <is>
          <t>Scuola media (11-13)</t>
        </is>
      </c>
      <c r="G1228" s="14" t="inlineStr">
        <is>
          <t>Albo illustrato</t>
        </is>
      </c>
      <c r="H1228" s="14" t="inlineStr"/>
      <c r="I1228" s="14" t="inlineStr">
        <is>
          <t>No</t>
        </is>
      </c>
      <c r="J1228" s="14" t="inlineStr">
        <is>
          <t>Catalogo</t>
        </is>
      </c>
      <c r="K1228" s="14" t="inlineStr">
        <is>
          <t>prima/seconda/terza media</t>
        </is>
      </c>
      <c r="L1228" s="14" t="inlineStr">
        <is>
          <t>https://www.libri.it/senzaparole-portfolio</t>
        </is>
      </c>
      <c r="M1228" s="16" t="n">
        <v>20</v>
      </c>
      <c r="N1228" s="14" t="inlineStr">
        <is>
          <t>Lista titoli Logos Edizioni 2026 (PVP)</t>
        </is>
      </c>
      <c r="O1228" s="16">
        <f>IF(ISNUMBER(M1228),ROUND(M1228*(1-Condizioni!$B$2),2),"")</f>
        <v/>
      </c>
      <c r="P1228" s="17" t="inlineStr">
        <is>
          <t>No</t>
        </is>
      </c>
    </row>
    <row r="1229">
      <c r="A1229" s="14" t="inlineStr">
        <is>
          <t>Logos</t>
        </is>
      </c>
      <c r="B1229" s="14" t="inlineStr">
        <is>
          <t>Simon &amp; Louise</t>
        </is>
      </c>
      <c r="C1229" s="14" t="inlineStr">
        <is>
          <t>Max de Radiguès</t>
        </is>
      </c>
      <c r="D1229" s="14" t="inlineStr">
        <is>
          <t>Fumetto Ciopi</t>
        </is>
      </c>
      <c r="E1229" s="14" t="inlineStr">
        <is>
          <t>da 12 anni</t>
        </is>
      </c>
      <c r="F1229" s="14" t="inlineStr">
        <is>
          <t>Scuola media (11-13)</t>
        </is>
      </c>
      <c r="G1229" s="14" t="inlineStr">
        <is>
          <t>Graphic novel/Fumetto</t>
        </is>
      </c>
      <c r="H1229" s="14" t="inlineStr"/>
      <c r="I1229" s="14" t="inlineStr">
        <is>
          <t>No</t>
        </is>
      </c>
      <c r="J1229" s="14" t="inlineStr">
        <is>
          <t>Catalogo</t>
        </is>
      </c>
      <c r="K1229" s="14" t="inlineStr">
        <is>
          <t>prima/seconda/terza media</t>
        </is>
      </c>
      <c r="L1229" s="14" t="inlineStr">
        <is>
          <t>https://www.libri.it/simon-e-louise</t>
        </is>
      </c>
      <c r="M1229" s="16" t="n">
        <v>20</v>
      </c>
      <c r="N1229" s="14" t="inlineStr">
        <is>
          <t>Lista titoli Logos Edizioni 2026 (PVP)</t>
        </is>
      </c>
      <c r="O1229" s="16">
        <f>IF(ISNUMBER(M1229),ROUND(M1229*(1-Condizioni!$B$2),2),"")</f>
        <v/>
      </c>
      <c r="P1229" s="17" t="inlineStr">
        <is>
          <t>No</t>
        </is>
      </c>
    </row>
    <row r="1230">
      <c r="A1230" s="14" t="inlineStr">
        <is>
          <t>Logos</t>
        </is>
      </c>
      <c r="B1230" s="14" t="inlineStr">
        <is>
          <t>Sorelle</t>
        </is>
      </c>
      <c r="C1230" s="14" t="inlineStr">
        <is>
          <t>Matz Mainka; ill. Ana Juan</t>
        </is>
      </c>
      <c r="D1230" s="14" t="inlineStr">
        <is>
          <t>Illustrati</t>
        </is>
      </c>
      <c r="E1230" s="14" t="inlineStr">
        <is>
          <t>da 12 anni</t>
        </is>
      </c>
      <c r="F1230" s="14" t="inlineStr">
        <is>
          <t>Scuola media (11-13)</t>
        </is>
      </c>
      <c r="G1230" s="14" t="inlineStr">
        <is>
          <t>Albo illustrato</t>
        </is>
      </c>
      <c r="H1230" s="14" t="inlineStr"/>
      <c r="I1230" s="14" t="inlineStr">
        <is>
          <t>No</t>
        </is>
      </c>
      <c r="J1230" s="14" t="inlineStr">
        <is>
          <t>Catalogo</t>
        </is>
      </c>
      <c r="K1230" s="14" t="inlineStr">
        <is>
          <t>prima/seconda/terza media</t>
        </is>
      </c>
      <c r="L1230" s="14" t="inlineStr">
        <is>
          <t>https://www.libri.it/sorelle</t>
        </is>
      </c>
      <c r="M1230" s="16" t="n">
        <v>18</v>
      </c>
      <c r="N1230" s="14" t="inlineStr">
        <is>
          <t>Lista titoli Logos Edizioni 2026 (PVP)</t>
        </is>
      </c>
      <c r="O1230" s="16">
        <f>IF(ISNUMBER(M1230),ROUND(M1230*(1-Condizioni!$B$2),2),"")</f>
        <v/>
      </c>
      <c r="P1230" s="17" t="inlineStr">
        <is>
          <t>No</t>
        </is>
      </c>
    </row>
    <row r="1231">
      <c r="A1231" s="14" t="inlineStr">
        <is>
          <t>Logos</t>
        </is>
      </c>
      <c r="B1231" s="14" t="inlineStr">
        <is>
          <t>The Number</t>
        </is>
      </c>
      <c r="C1231" s="14" t="inlineStr">
        <is>
          <t>Thomas Ott</t>
        </is>
      </c>
      <c r="D1231" s="14" t="inlineStr">
        <is>
          <t>Illustrati</t>
        </is>
      </c>
      <c r="E1231" s="14" t="inlineStr">
        <is>
          <t>da 12 anni</t>
        </is>
      </c>
      <c r="F1231" s="14" t="inlineStr">
        <is>
          <t>Scuola media (11-13)</t>
        </is>
      </c>
      <c r="G1231" s="14" t="inlineStr">
        <is>
          <t>Albo illustrato</t>
        </is>
      </c>
      <c r="H1231" s="14" t="inlineStr"/>
      <c r="I1231" s="14" t="inlineStr">
        <is>
          <t>No</t>
        </is>
      </c>
      <c r="J1231" s="14" t="inlineStr">
        <is>
          <t>Catalogo</t>
        </is>
      </c>
      <c r="K1231" s="14" t="inlineStr">
        <is>
          <t>prima/seconda/terza media</t>
        </is>
      </c>
      <c r="L1231" s="14" t="inlineStr">
        <is>
          <t>https://www.libri.it/the-number</t>
        </is>
      </c>
      <c r="M1231" s="16" t="n">
        <v>20</v>
      </c>
      <c r="N1231" s="14" t="inlineStr">
        <is>
          <t>Lista titoli Logos Edizioni 2026 (PVP)</t>
        </is>
      </c>
      <c r="O1231" s="16">
        <f>IF(ISNUMBER(M1231),ROUND(M1231*(1-Condizioni!$B$2),2),"")</f>
        <v/>
      </c>
      <c r="P1231" s="17" t="inlineStr">
        <is>
          <t>No</t>
        </is>
      </c>
    </row>
    <row r="1232">
      <c r="A1232" s="14" t="inlineStr">
        <is>
          <t>Logos</t>
        </is>
      </c>
      <c r="B1232" s="14" t="inlineStr">
        <is>
          <t>Theo</t>
        </is>
      </c>
      <c r="C1232" s="14" t="inlineStr">
        <is>
          <t>Stefano Bessoni</t>
        </is>
      </c>
      <c r="D1232" s="14" t="inlineStr">
        <is>
          <t>Illustrati</t>
        </is>
      </c>
      <c r="E1232" s="14" t="inlineStr">
        <is>
          <t>da 12 anni</t>
        </is>
      </c>
      <c r="F1232" s="14" t="inlineStr">
        <is>
          <t>Scuola media (11-13)</t>
        </is>
      </c>
      <c r="G1232" s="14" t="inlineStr">
        <is>
          <t>Albo illustrato</t>
        </is>
      </c>
      <c r="H1232" s="14" t="inlineStr"/>
      <c r="I1232" s="14" t="inlineStr">
        <is>
          <t>No</t>
        </is>
      </c>
      <c r="J1232" s="14" t="inlineStr">
        <is>
          <t>Catalogo</t>
        </is>
      </c>
      <c r="K1232" s="14" t="inlineStr">
        <is>
          <t>prima/seconda/terza media</t>
        </is>
      </c>
      <c r="L1232" s="14" t="inlineStr">
        <is>
          <t>https://www.libri.it/theo</t>
        </is>
      </c>
      <c r="M1232" s="16" t="n">
        <v>17</v>
      </c>
      <c r="N1232" s="14" t="inlineStr">
        <is>
          <t>Lista titoli Logos Edizioni 2026 (PVP)</t>
        </is>
      </c>
      <c r="O1232" s="16">
        <f>IF(ISNUMBER(M1232),ROUND(M1232*(1-Condizioni!$B$2),2),"")</f>
        <v/>
      </c>
      <c r="P1232" s="17" t="inlineStr">
        <is>
          <t>No</t>
        </is>
      </c>
    </row>
    <row r="1233">
      <c r="A1233" s="14" t="inlineStr">
        <is>
          <t>Logos</t>
        </is>
      </c>
      <c r="B1233" s="14" t="inlineStr">
        <is>
          <t>Un Uomo Mascherato</t>
        </is>
      </c>
      <c r="C1233" s="14" t="inlineStr">
        <is>
          <t>AkaB</t>
        </is>
      </c>
      <c r="D1233" s="14" t="inlineStr">
        <is>
          <t>Illustrati</t>
        </is>
      </c>
      <c r="E1233" s="14" t="inlineStr">
        <is>
          <t>da 12 anni</t>
        </is>
      </c>
      <c r="F1233" s="14" t="inlineStr">
        <is>
          <t>Scuola media (11-13)</t>
        </is>
      </c>
      <c r="G1233" s="14" t="inlineStr">
        <is>
          <t>Albo illustrato</t>
        </is>
      </c>
      <c r="H1233" s="14" t="inlineStr"/>
      <c r="I1233" s="14" t="inlineStr">
        <is>
          <t>No</t>
        </is>
      </c>
      <c r="J1233" s="14" t="inlineStr">
        <is>
          <t>Catalogo</t>
        </is>
      </c>
      <c r="K1233" s="14" t="inlineStr">
        <is>
          <t>prima/seconda/terza media</t>
        </is>
      </c>
      <c r="L1233" s="14" t="inlineStr">
        <is>
          <t>https://www.libri.it/un-uomo-mascherato</t>
        </is>
      </c>
      <c r="M1233" s="16" t="n">
        <v>16</v>
      </c>
      <c r="N1233" s="14" t="inlineStr">
        <is>
          <t>Lista titoli Logos Edizioni 2026 (PVP)</t>
        </is>
      </c>
      <c r="O1233" s="16">
        <f>IF(ISNUMBER(M1233),ROUND(M1233*(1-Condizioni!$B$2),2),"")</f>
        <v/>
      </c>
      <c r="P1233" s="17" t="inlineStr">
        <is>
          <t>No</t>
        </is>
      </c>
    </row>
    <row r="1234">
      <c r="A1234" s="14" t="inlineStr">
        <is>
          <t>Logos</t>
        </is>
      </c>
      <c r="B1234" s="14" t="inlineStr">
        <is>
          <t>Viaggio nel Fantasmagorico Giardino di Apparitio Albino</t>
        </is>
      </c>
      <c r="C1234" s="14" t="inlineStr">
        <is>
          <t>Claudio Romo</t>
        </is>
      </c>
      <c r="D1234" s="14" t="inlineStr">
        <is>
          <t>Illustrati</t>
        </is>
      </c>
      <c r="E1234" s="14" t="inlineStr">
        <is>
          <t>da 12 anni</t>
        </is>
      </c>
      <c r="F1234" s="14" t="inlineStr">
        <is>
          <t>Scuola media (11-13)</t>
        </is>
      </c>
      <c r="G1234" s="14" t="inlineStr">
        <is>
          <t>Albo illustrato</t>
        </is>
      </c>
      <c r="H1234" s="14" t="inlineStr"/>
      <c r="I1234" s="14" t="inlineStr">
        <is>
          <t>No</t>
        </is>
      </c>
      <c r="J1234" s="14" t="inlineStr">
        <is>
          <t>Catalogo</t>
        </is>
      </c>
      <c r="K1234" s="14" t="inlineStr">
        <is>
          <t>prima/seconda/terza media</t>
        </is>
      </c>
      <c r="L1234" s="14" t="inlineStr">
        <is>
          <t>https://www.libri.it/Apparitio-Albinus</t>
        </is>
      </c>
      <c r="M1234" s="16" t="n">
        <v>18</v>
      </c>
      <c r="N1234" s="14" t="inlineStr">
        <is>
          <t>Lista titoli Logos Edizioni 2026 (PVP)</t>
        </is>
      </c>
      <c r="O1234" s="16">
        <f>IF(ISNUMBER(M1234),ROUND(M1234*(1-Condizioni!$B$2),2),"")</f>
        <v/>
      </c>
      <c r="P1234" s="17" t="inlineStr">
        <is>
          <t>No</t>
        </is>
      </c>
    </row>
    <row r="1235">
      <c r="A1235" s="14" t="inlineStr">
        <is>
          <t>Logos</t>
        </is>
      </c>
      <c r="B1235" s="14" t="inlineStr">
        <is>
          <t>Ville Vermine 2/2 il Ragazzo che Amava gli Insetti</t>
        </is>
      </c>
      <c r="C1235" s="14" t="inlineStr">
        <is>
          <t>Julien Lambert</t>
        </is>
      </c>
      <c r="D1235" s="14" t="inlineStr">
        <is>
          <t>Fumetto</t>
        </is>
      </c>
      <c r="E1235" s="14" t="inlineStr">
        <is>
          <t>da 12 anni</t>
        </is>
      </c>
      <c r="F1235" s="14" t="inlineStr">
        <is>
          <t>Scuola media (11-13)</t>
        </is>
      </c>
      <c r="G1235" s="14" t="inlineStr">
        <is>
          <t>Graphic novel/Fumetto</t>
        </is>
      </c>
      <c r="H1235" s="14" t="inlineStr"/>
      <c r="I1235" s="14" t="inlineStr">
        <is>
          <t>No</t>
        </is>
      </c>
      <c r="J1235" s="14" t="inlineStr">
        <is>
          <t>Catalogo</t>
        </is>
      </c>
      <c r="K1235" s="14" t="inlineStr">
        <is>
          <t>prima/seconda/terza media</t>
        </is>
      </c>
      <c r="L1235" s="14" t="inlineStr">
        <is>
          <t>https://www.libri.it/villevermine-2</t>
        </is>
      </c>
      <c r="M1235" s="16" t="n">
        <v>18</v>
      </c>
      <c r="N1235" s="14" t="inlineStr">
        <is>
          <t>Lista titoli Logos Edizioni 2026 (PVP)</t>
        </is>
      </c>
      <c r="O1235" s="16">
        <f>IF(ISNUMBER(M1235),ROUND(M1235*(1-Condizioni!$B$2),2),"")</f>
        <v/>
      </c>
      <c r="P1235" s="17" t="inlineStr">
        <is>
          <t>No</t>
        </is>
      </c>
    </row>
    <row r="1236">
      <c r="A1236" s="14" t="inlineStr">
        <is>
          <t>Logos</t>
        </is>
      </c>
      <c r="B1236" s="14" t="inlineStr">
        <is>
          <t>Villevermine 1/2: l’Uomo che Parlava Agli Oggetti</t>
        </is>
      </c>
      <c r="C1236" s="14" t="inlineStr">
        <is>
          <t>Julien Lambert</t>
        </is>
      </c>
      <c r="D1236" s="14" t="inlineStr">
        <is>
          <t>Fumetto</t>
        </is>
      </c>
      <c r="E1236" s="14" t="inlineStr">
        <is>
          <t>da 12 anni</t>
        </is>
      </c>
      <c r="F1236" s="14" t="inlineStr">
        <is>
          <t>Scuola media (11-13)</t>
        </is>
      </c>
      <c r="G1236" s="14" t="inlineStr">
        <is>
          <t>Graphic novel/Fumetto</t>
        </is>
      </c>
      <c r="H1236" s="14" t="inlineStr"/>
      <c r="I1236" s="14" t="inlineStr">
        <is>
          <t>No</t>
        </is>
      </c>
      <c r="J1236" s="14" t="inlineStr">
        <is>
          <t>Catalogo</t>
        </is>
      </c>
      <c r="K1236" s="14" t="inlineStr">
        <is>
          <t>prima/seconda/terza media</t>
        </is>
      </c>
      <c r="L1236" s="14" t="inlineStr">
        <is>
          <t>https://www.libri.it/villevermine-1-uomo-che-parlava-agli-oggetti</t>
        </is>
      </c>
      <c r="M1236" s="16" t="n">
        <v>18</v>
      </c>
      <c r="N1236" s="14" t="inlineStr">
        <is>
          <t>Lista titoli Logos Edizioni 2026 (PVP)</t>
        </is>
      </c>
      <c r="O1236" s="16">
        <f>IF(ISNUMBER(M1236),ROUND(M1236*(1-Condizioni!$B$2),2),"")</f>
        <v/>
      </c>
      <c r="P1236" s="17" t="inlineStr">
        <is>
          <t>No</t>
        </is>
      </c>
    </row>
    <row r="1237">
      <c r="A1237" s="14" t="inlineStr">
        <is>
          <t>Logos</t>
        </is>
      </c>
      <c r="B1237" s="14" t="inlineStr">
        <is>
          <t>Who Is nemo’S</t>
        </is>
      </c>
      <c r="C1237" s="14" t="inlineStr">
        <is>
          <t>NemO's</t>
        </is>
      </c>
      <c r="D1237" s="14" t="inlineStr">
        <is>
          <t>Illustrati</t>
        </is>
      </c>
      <c r="E1237" s="14" t="inlineStr">
        <is>
          <t>da 12 anni</t>
        </is>
      </c>
      <c r="F1237" s="14" t="inlineStr">
        <is>
          <t>Scuola media (11-13)</t>
        </is>
      </c>
      <c r="G1237" s="14" t="inlineStr">
        <is>
          <t>Albo illustrato</t>
        </is>
      </c>
      <c r="H1237" s="14" t="inlineStr"/>
      <c r="I1237" s="14" t="inlineStr">
        <is>
          <t>No</t>
        </is>
      </c>
      <c r="J1237" s="14" t="inlineStr">
        <is>
          <t>Catalogo</t>
        </is>
      </c>
      <c r="K1237" s="14" t="inlineStr">
        <is>
          <t>prima/seconda/terza media</t>
        </is>
      </c>
      <c r="L1237" s="14" t="inlineStr">
        <is>
          <t>https://www.libri.it/who-is-nemo-s</t>
        </is>
      </c>
      <c r="M1237" s="16" t="n">
        <v>15</v>
      </c>
      <c r="N1237" s="14" t="inlineStr">
        <is>
          <t>Lista titoli Logos Edizioni 2026 (PVP)</t>
        </is>
      </c>
      <c r="O1237" s="16">
        <f>IF(ISNUMBER(M1237),ROUND(M1237*(1-Condizioni!$B$2),2),"")</f>
        <v/>
      </c>
      <c r="P1237" s="17" t="inlineStr">
        <is>
          <t>No</t>
        </is>
      </c>
    </row>
    <row r="1238">
      <c r="A1238" s="14" t="inlineStr">
        <is>
          <t>Logos</t>
        </is>
      </c>
      <c r="B1238" s="14" t="inlineStr">
        <is>
          <t>Wunderkammer</t>
        </is>
      </c>
      <c r="C1238" s="14" t="inlineStr">
        <is>
          <t>Stefano Bessoni</t>
        </is>
      </c>
      <c r="D1238" s="14" t="inlineStr">
        <is>
          <t>Illustrati</t>
        </is>
      </c>
      <c r="E1238" s="14" t="inlineStr">
        <is>
          <t>da 12 anni</t>
        </is>
      </c>
      <c r="F1238" s="14" t="inlineStr">
        <is>
          <t>Scuola media (11-13)</t>
        </is>
      </c>
      <c r="G1238" s="14" t="inlineStr">
        <is>
          <t>Albo illustrato</t>
        </is>
      </c>
      <c r="H1238" s="14" t="inlineStr"/>
      <c r="I1238" s="14" t="inlineStr">
        <is>
          <t>No</t>
        </is>
      </c>
      <c r="J1238" s="14" t="inlineStr">
        <is>
          <t>Catalogo</t>
        </is>
      </c>
      <c r="K1238" s="14" t="inlineStr">
        <is>
          <t>prima/seconda/terza media</t>
        </is>
      </c>
      <c r="L1238" s="14" t="inlineStr">
        <is>
          <t>https://www.libri.it/wunderkammer</t>
        </is>
      </c>
      <c r="M1238" s="16" t="n">
        <v>15</v>
      </c>
      <c r="N1238" s="14" t="inlineStr">
        <is>
          <t>Lista titoli Logos Edizioni 2026 (PVP)</t>
        </is>
      </c>
      <c r="O1238" s="16">
        <f>IF(ISNUMBER(M1238),ROUND(M1238*(1-Condizioni!$B$2),2),"")</f>
        <v/>
      </c>
      <c r="P1238" s="17" t="inlineStr">
        <is>
          <t>No</t>
        </is>
      </c>
    </row>
    <row r="1239">
      <c r="A1239" s="14" t="inlineStr">
        <is>
          <t>Lapis</t>
        </is>
      </c>
      <c r="B1239" s="14" t="inlineStr">
        <is>
          <t>Avventure di Tato e Nanà</t>
        </is>
      </c>
      <c r="C1239" s="14" t="inlineStr">
        <is>
          <t>(vedi collana)</t>
        </is>
      </c>
      <c r="D1239" s="14" t="inlineStr">
        <is>
          <t>Tato e Nanà</t>
        </is>
      </c>
      <c r="E1239" s="14" t="inlineStr">
        <is>
          <t>dai 18 mesi</t>
        </is>
      </c>
      <c r="F1239" s="14" t="inlineStr">
        <is>
          <t>0-3 anni</t>
        </is>
      </c>
      <c r="G1239" s="14" t="inlineStr">
        <is>
          <t>Libro cartonato</t>
        </is>
      </c>
      <c r="H1239" s="14" t="inlineStr"/>
      <c r="I1239" s="14" t="inlineStr">
        <is>
          <t>No</t>
        </is>
      </c>
      <c r="J1239" s="14" t="inlineStr">
        <is>
          <t>Collana</t>
        </is>
      </c>
      <c r="K1239" s="14" t="inlineStr">
        <is>
          <t>0-3 anni</t>
        </is>
      </c>
      <c r="L1239" s="14" t="inlineStr">
        <is>
          <t>https://www.edizionilapis.it/collane</t>
        </is>
      </c>
      <c r="M1239" s="19" t="n"/>
      <c r="N1239" s="14" t="inlineStr"/>
      <c r="O1239" s="16">
        <f>IF(ISNUMBER(M1239),ROUND(M1239*(1-Condizioni!$B$2),2),"")</f>
        <v/>
      </c>
      <c r="P1239" s="17" t="inlineStr">
        <is>
          <t>Sì</t>
        </is>
      </c>
    </row>
    <row r="1240">
      <c r="A1240" s="14" t="inlineStr">
        <is>
          <t>Lapis</t>
        </is>
      </c>
      <c r="B1240" s="14" t="inlineStr">
        <is>
          <t>I senza parole di Attilio</t>
        </is>
      </c>
      <c r="C1240" s="14" t="inlineStr">
        <is>
          <t>A. Cassinelli</t>
        </is>
      </c>
      <c r="D1240" s="14" t="inlineStr">
        <is>
          <t>I senza parole</t>
        </is>
      </c>
      <c r="E1240" s="14" t="inlineStr">
        <is>
          <t>0-3 / 3-6</t>
        </is>
      </c>
      <c r="F1240" s="14" t="inlineStr">
        <is>
          <t>0-3 anni</t>
        </is>
      </c>
      <c r="G1240" s="14" t="inlineStr">
        <is>
          <t>Silent book</t>
        </is>
      </c>
      <c r="H1240" s="14" t="inlineStr"/>
      <c r="I1240" s="14" t="inlineStr">
        <is>
          <t>No</t>
        </is>
      </c>
      <c r="J1240" s="14" t="inlineStr">
        <is>
          <t>Collana</t>
        </is>
      </c>
      <c r="K1240" s="14" t="inlineStr">
        <is>
          <t>0-3 anni</t>
        </is>
      </c>
      <c r="L1240" s="14" t="inlineStr">
        <is>
          <t>https://www.edizionilapis.it/collane</t>
        </is>
      </c>
      <c r="M1240" s="19" t="n"/>
      <c r="N1240" s="14" t="inlineStr"/>
      <c r="O1240" s="16">
        <f>IF(ISNUMBER(M1240),ROUND(M1240*(1-Condizioni!$B$2),2),"")</f>
        <v/>
      </c>
      <c r="P1240" s="17" t="inlineStr">
        <is>
          <t>Sì</t>
        </is>
      </c>
    </row>
    <row r="1241">
      <c r="A1241" s="14" t="inlineStr">
        <is>
          <t>Lapis</t>
        </is>
      </c>
      <c r="B1241" s="14" t="inlineStr">
        <is>
          <t>Libri gioco cartonati</t>
        </is>
      </c>
      <c r="C1241" s="14" t="inlineStr">
        <is>
          <t>(vedi collana)</t>
        </is>
      </c>
      <c r="D1241" s="14" t="inlineStr">
        <is>
          <t>Libri gioco</t>
        </is>
      </c>
      <c r="E1241" s="14" t="inlineStr">
        <is>
          <t>da 1 anno</t>
        </is>
      </c>
      <c r="F1241" s="14" t="inlineStr">
        <is>
          <t>0-3 anni</t>
        </is>
      </c>
      <c r="G1241" s="14" t="inlineStr">
        <is>
          <t>Libro cartonato</t>
        </is>
      </c>
      <c r="H1241" s="14" t="inlineStr"/>
      <c r="I1241" s="14" t="inlineStr">
        <is>
          <t>No</t>
        </is>
      </c>
      <c r="J1241" s="14" t="inlineStr">
        <is>
          <t>Collana</t>
        </is>
      </c>
      <c r="K1241" s="14" t="inlineStr">
        <is>
          <t>0-3 anni</t>
        </is>
      </c>
      <c r="L1241" s="14" t="inlineStr">
        <is>
          <t>https://www.edizionilapis.it/collane</t>
        </is>
      </c>
      <c r="M1241" s="19" t="n"/>
      <c r="N1241" s="14" t="inlineStr"/>
      <c r="O1241" s="16">
        <f>IF(ISNUMBER(M1241),ROUND(M1241*(1-Condizioni!$B$2),2),"")</f>
        <v/>
      </c>
      <c r="P1241" s="17" t="inlineStr">
        <is>
          <t>Sì</t>
        </is>
      </c>
    </row>
    <row r="1242">
      <c r="A1242" s="14" t="inlineStr">
        <is>
          <t>Lapis</t>
        </is>
      </c>
      <c r="B1242" s="14" t="inlineStr">
        <is>
          <t>Collana I lapislazzuli</t>
        </is>
      </c>
      <c r="C1242" s="14" t="inlineStr">
        <is>
          <t>Cognolato; Lorenzoni; ecc.</t>
        </is>
      </c>
      <c r="D1242" s="14" t="inlineStr">
        <is>
          <t>I lapislazzuli</t>
        </is>
      </c>
      <c r="E1242" s="14" t="inlineStr">
        <is>
          <t>dai 4 anni</t>
        </is>
      </c>
      <c r="F1242" s="14" t="inlineStr">
        <is>
          <t>3-6 anni</t>
        </is>
      </c>
      <c r="G1242" s="14" t="inlineStr">
        <is>
          <t>Albo illustrato</t>
        </is>
      </c>
      <c r="H1242" s="14" t="inlineStr">
        <is>
          <t>Temi sociali (storia, guerre, persone e luoghi)</t>
        </is>
      </c>
      <c r="I1242" s="14" t="inlineStr">
        <is>
          <t>No</t>
        </is>
      </c>
      <c r="J1242" s="14" t="inlineStr">
        <is>
          <t>Collana</t>
        </is>
      </c>
      <c r="K1242" s="14" t="inlineStr">
        <is>
          <t>3-6 anni</t>
        </is>
      </c>
      <c r="L1242" s="14" t="inlineStr">
        <is>
          <t>https://www.edizionilapis.it/collane</t>
        </is>
      </c>
      <c r="M1242" s="19" t="n"/>
      <c r="N1242" s="14" t="inlineStr"/>
      <c r="O1242" s="16">
        <f>IF(ISNUMBER(M1242),ROUND(M1242*(1-Condizioni!$B$2),2),"")</f>
        <v/>
      </c>
      <c r="P1242" s="17" t="inlineStr">
        <is>
          <t>Sì</t>
        </is>
      </c>
    </row>
    <row r="1243">
      <c r="A1243" s="14" t="inlineStr">
        <is>
          <t>Lapis</t>
        </is>
      </c>
      <c r="B1243" s="14" t="inlineStr">
        <is>
          <t>Foto di gruppo (versione in simboli InBook)</t>
        </is>
      </c>
      <c r="C1243" s="14" t="inlineStr">
        <is>
          <t>Gek Tessaro</t>
        </is>
      </c>
      <c r="D1243" s="14" t="inlineStr">
        <is>
          <t>InBook (traduzione di rete bibliotecaria)</t>
        </is>
      </c>
      <c r="E1243" s="14" t="inlineStr">
        <is>
          <t>n.d.</t>
        </is>
      </c>
      <c r="F1243" s="14" t="inlineStr">
        <is>
          <t>3-6 anni</t>
        </is>
      </c>
      <c r="G1243" s="14" t="inlineStr">
        <is>
          <t>Libro in simboli (CAA)</t>
        </is>
      </c>
      <c r="H1243" s="14" t="inlineStr">
        <is>
          <t>Inclusione: libro in simboli</t>
        </is>
      </c>
      <c r="I1243" s="18" t="inlineStr">
        <is>
          <t>Sì</t>
        </is>
      </c>
      <c r="J1243" s="14" t="inlineStr">
        <is>
          <t>Tolto: versione in simboli InBook, non in vendita</t>
        </is>
      </c>
      <c r="K1243" s="14" t="inlineStr">
        <is>
          <t>3-6 anni, CAA</t>
        </is>
      </c>
      <c r="L1243" s="14" t="inlineStr">
        <is>
          <t>https://www.055firenze.it/art/216489/libri-in-simboli-nasce-la-prima-Rete-Operativa-Toscana-delle-Biblioteche-Inbook-libri-in-simboli</t>
        </is>
      </c>
      <c r="M1243" s="19" t="n"/>
      <c r="N1243" s="14" t="inlineStr"/>
      <c r="O1243" s="16">
        <f>IF(ISNUMBER(M1243),ROUND(M1243*(1-Condizioni!$B$2),2),"")</f>
        <v/>
      </c>
      <c r="P1243" s="17" t="inlineStr">
        <is>
          <t>No</t>
        </is>
      </c>
    </row>
    <row r="1244">
      <c r="A1244" s="14" t="inlineStr">
        <is>
          <t>Lapis</t>
        </is>
      </c>
      <c r="B1244" s="14" t="inlineStr">
        <is>
          <t>I libri di Gek Tessaro / Il mondo di Tony Ross / Il mondo di Salina Yoon</t>
        </is>
      </c>
      <c r="C1244" s="14" t="inlineStr">
        <is>
          <t>(vedi collane)</t>
        </is>
      </c>
      <c r="D1244" s="14" t="inlineStr">
        <is>
          <t>Albi 3-6</t>
        </is>
      </c>
      <c r="E1244" s="14" t="inlineStr">
        <is>
          <t>3-6 anni</t>
        </is>
      </c>
      <c r="F1244" s="14" t="inlineStr">
        <is>
          <t>3-6 anni</t>
        </is>
      </c>
      <c r="G1244" s="14" t="inlineStr">
        <is>
          <t>Albo illustrato</t>
        </is>
      </c>
      <c r="H1244" s="14" t="inlineStr"/>
      <c r="I1244" s="14" t="inlineStr">
        <is>
          <t>No</t>
        </is>
      </c>
      <c r="J1244" s="14" t="inlineStr">
        <is>
          <t>Collana</t>
        </is>
      </c>
      <c r="K1244" s="14" t="inlineStr">
        <is>
          <t>3-6 anni</t>
        </is>
      </c>
      <c r="L1244" s="14" t="inlineStr">
        <is>
          <t>https://www.edizionilapis.it/collane</t>
        </is>
      </c>
      <c r="M1244" s="19" t="n"/>
      <c r="N1244" s="14" t="inlineStr"/>
      <c r="O1244" s="16">
        <f>IF(ISNUMBER(M1244),ROUND(M1244*(1-Condizioni!$B$2),2),"")</f>
        <v/>
      </c>
      <c r="P1244" s="17" t="inlineStr">
        <is>
          <t>Sì</t>
        </is>
      </c>
    </row>
    <row r="1245">
      <c r="A1245" s="14" t="inlineStr">
        <is>
          <t>Lapis</t>
        </is>
      </c>
      <c r="B1245" s="14" t="inlineStr">
        <is>
          <t>Le mini storie di Attilio</t>
        </is>
      </c>
      <c r="C1245" s="14" t="inlineStr">
        <is>
          <t>A. Cassinelli</t>
        </is>
      </c>
      <c r="D1245" s="14" t="inlineStr">
        <is>
          <t>Libri cartonati</t>
        </is>
      </c>
      <c r="E1245" s="14" t="inlineStr">
        <is>
          <t>dai 3 anni</t>
        </is>
      </c>
      <c r="F1245" s="14" t="inlineStr">
        <is>
          <t>3-6 anni</t>
        </is>
      </c>
      <c r="G1245" s="14" t="inlineStr">
        <is>
          <t>Libro cartonato</t>
        </is>
      </c>
      <c r="H1245" s="14" t="inlineStr">
        <is>
          <t>Ecologia, natura, amicizia</t>
        </is>
      </c>
      <c r="I1245" s="14" t="inlineStr">
        <is>
          <t>No</t>
        </is>
      </c>
      <c r="J1245" s="14" t="inlineStr">
        <is>
          <t>Collana</t>
        </is>
      </c>
      <c r="K1245" s="14" t="inlineStr">
        <is>
          <t>3-6 anni</t>
        </is>
      </c>
      <c r="L1245" s="14" t="inlineStr">
        <is>
          <t>https://www.edizionilapis.it/collane</t>
        </is>
      </c>
      <c r="M1245" s="19" t="n"/>
      <c r="N1245" s="14" t="inlineStr"/>
      <c r="O1245" s="16">
        <f>IF(ISNUMBER(M1245),ROUND(M1245*(1-Condizioni!$B$2),2),"")</f>
        <v/>
      </c>
      <c r="P1245" s="17" t="inlineStr">
        <is>
          <t>Sì</t>
        </is>
      </c>
    </row>
    <row r="1246">
      <c r="A1246" s="14" t="inlineStr">
        <is>
          <t>Lapis</t>
        </is>
      </c>
      <c r="B1246" s="14" t="inlineStr">
        <is>
          <t>Storie di una principessina (Tilly)</t>
        </is>
      </c>
      <c r="C1246" s="14" t="inlineStr">
        <is>
          <t>(vedi collana)</t>
        </is>
      </c>
      <c r="D1246" s="14" t="inlineStr">
        <is>
          <t>Storie di una principessina</t>
        </is>
      </c>
      <c r="E1246" s="14" t="inlineStr">
        <is>
          <t>circa 4 anni</t>
        </is>
      </c>
      <c r="F1246" s="14" t="inlineStr">
        <is>
          <t>3-6 anni</t>
        </is>
      </c>
      <c r="G1246" s="14" t="inlineStr">
        <is>
          <t>Albo illustrato</t>
        </is>
      </c>
      <c r="H1246" s="14" t="inlineStr"/>
      <c r="I1246" s="14" t="inlineStr">
        <is>
          <t>No</t>
        </is>
      </c>
      <c r="J1246" s="14" t="inlineStr">
        <is>
          <t>Collana</t>
        </is>
      </c>
      <c r="K1246" s="14" t="inlineStr">
        <is>
          <t>3-6 anni</t>
        </is>
      </c>
      <c r="L1246" s="14" t="inlineStr">
        <is>
          <t>https://www.edizionilapis.it/collane</t>
        </is>
      </c>
      <c r="M1246" s="19" t="n"/>
      <c r="N1246" s="14" t="inlineStr"/>
      <c r="O1246" s="16">
        <f>IF(ISNUMBER(M1246),ROUND(M1246*(1-Condizioni!$B$2),2),"")</f>
        <v/>
      </c>
      <c r="P1246" s="17" t="inlineStr">
        <is>
          <t>Sì</t>
        </is>
      </c>
    </row>
    <row r="1247">
      <c r="A1247" s="14" t="inlineStr">
        <is>
          <t>Lapis</t>
        </is>
      </c>
      <c r="B1247" s="14" t="inlineStr">
        <is>
          <t>Dardo il cane di Leonardo</t>
        </is>
      </c>
      <c r="C1247" s="14" t="inlineStr">
        <is>
          <t>(vedi collana)</t>
        </is>
      </c>
      <c r="D1247" s="14" t="inlineStr">
        <is>
          <t>Dardo</t>
        </is>
      </c>
      <c r="E1247" s="14" t="inlineStr">
        <is>
          <t>dai 7 anni</t>
        </is>
      </c>
      <c r="F1247" s="14" t="inlineStr">
        <is>
          <t>Prime letture (6-8)</t>
        </is>
      </c>
      <c r="G1247" s="14" t="inlineStr">
        <is>
          <t>Narrativa</t>
        </is>
      </c>
      <c r="H1247" s="14" t="inlineStr"/>
      <c r="I1247" s="14" t="inlineStr">
        <is>
          <t>No</t>
        </is>
      </c>
      <c r="J1247" s="14" t="inlineStr">
        <is>
          <t>Collana</t>
        </is>
      </c>
      <c r="K1247" s="14" t="inlineStr">
        <is>
          <t>prime letture, narrativa</t>
        </is>
      </c>
      <c r="L1247" s="14" t="inlineStr">
        <is>
          <t>https://www.edizionilapis.it/collane</t>
        </is>
      </c>
      <c r="M1247" s="19" t="n"/>
      <c r="N1247" s="14" t="inlineStr"/>
      <c r="O1247" s="16">
        <f>IF(ISNUMBER(M1247),ROUND(M1247*(1-Condizioni!$B$2),2),"")</f>
        <v/>
      </c>
      <c r="P1247" s="17" t="inlineStr">
        <is>
          <t>Sì</t>
        </is>
      </c>
    </row>
    <row r="1248">
      <c r="A1248" s="14" t="inlineStr">
        <is>
          <t>Lapis</t>
        </is>
      </c>
      <c r="B1248" s="14" t="inlineStr">
        <is>
          <t>Mabel (prime letture)</t>
        </is>
      </c>
      <c r="C1248" s="14" t="inlineStr">
        <is>
          <t>(vedi collana)</t>
        </is>
      </c>
      <c r="D1248" s="14" t="inlineStr">
        <is>
          <t>Mabel</t>
        </is>
      </c>
      <c r="E1248" s="14" t="inlineStr">
        <is>
          <t>prime letture</t>
        </is>
      </c>
      <c r="F1248" s="14" t="inlineStr">
        <is>
          <t>Prime letture (6-8)</t>
        </is>
      </c>
      <c r="G1248" s="14" t="inlineStr">
        <is>
          <t>Narrativa</t>
        </is>
      </c>
      <c r="H1248" s="14" t="inlineStr"/>
      <c r="I1248" s="14" t="inlineStr">
        <is>
          <t>No</t>
        </is>
      </c>
      <c r="J1248" s="14" t="inlineStr">
        <is>
          <t>Collana</t>
        </is>
      </c>
      <c r="K1248" s="14" t="inlineStr">
        <is>
          <t>prime letture, narrativa</t>
        </is>
      </c>
      <c r="L1248" s="14" t="inlineStr">
        <is>
          <t>https://www.edizionilapis.it/collane</t>
        </is>
      </c>
      <c r="M1248" s="19" t="n"/>
      <c r="N1248" s="14" t="inlineStr"/>
      <c r="O1248" s="16">
        <f>IF(ISNUMBER(M1248),ROUND(M1248*(1-Condizioni!$B$2),2),"")</f>
        <v/>
      </c>
      <c r="P1248" s="17" t="inlineStr">
        <is>
          <t>Sì</t>
        </is>
      </c>
    </row>
    <row r="1249">
      <c r="A1249" s="14" t="inlineStr">
        <is>
          <t>Lapis</t>
        </is>
      </c>
      <c r="B1249" s="14" t="inlineStr">
        <is>
          <t>Versi diversi / Sì, io sono (poesia)</t>
        </is>
      </c>
      <c r="C1249" s="14" t="inlineStr">
        <is>
          <t>Friot, Tullet, Carminati</t>
        </is>
      </c>
      <c r="D1249" s="14" t="inlineStr">
        <is>
          <t>Poesia</t>
        </is>
      </c>
      <c r="E1249" s="14" t="inlineStr">
        <is>
          <t>da 7 anni</t>
        </is>
      </c>
      <c r="F1249" s="14" t="inlineStr">
        <is>
          <t>Prime letture (6-8)</t>
        </is>
      </c>
      <c r="G1249" s="14" t="inlineStr">
        <is>
          <t>Poesia</t>
        </is>
      </c>
      <c r="H1249" s="14" t="inlineStr"/>
      <c r="I1249" s="14" t="inlineStr">
        <is>
          <t>No</t>
        </is>
      </c>
      <c r="J1249" s="14" t="inlineStr">
        <is>
          <t>Collana</t>
        </is>
      </c>
      <c r="K1249" s="14" t="inlineStr">
        <is>
          <t>prime letture</t>
        </is>
      </c>
      <c r="L1249" s="14" t="inlineStr">
        <is>
          <t>https://www.edizionilapis.it/collane</t>
        </is>
      </c>
      <c r="M1249" s="19" t="n"/>
      <c r="N1249" s="14" t="inlineStr"/>
      <c r="O1249" s="16">
        <f>IF(ISNUMBER(M1249),ROUND(M1249*(1-Condizioni!$B$2),2),"")</f>
        <v/>
      </c>
      <c r="P1249" s="17" t="inlineStr">
        <is>
          <t>Sì</t>
        </is>
      </c>
    </row>
    <row r="1250">
      <c r="A1250" s="14" t="inlineStr">
        <is>
          <t>Lapis</t>
        </is>
      </c>
      <c r="B1250" s="14" t="inlineStr">
        <is>
          <t>Omero – Iliade / Odissea per ragazzi</t>
        </is>
      </c>
      <c r="C1250" s="14" t="inlineStr">
        <is>
          <t>Cinquetti, Guicciardini</t>
        </is>
      </c>
      <c r="D1250" s="14" t="inlineStr">
        <is>
          <t>Classici</t>
        </is>
      </c>
      <c r="E1250" s="14" t="inlineStr">
        <is>
          <t>dai 8 anni</t>
        </is>
      </c>
      <c r="F1250" s="14" t="inlineStr">
        <is>
          <t>8+</t>
        </is>
      </c>
      <c r="G1250" s="14" t="inlineStr">
        <is>
          <t>Classico illustrato</t>
        </is>
      </c>
      <c r="H1250" s="14" t="inlineStr"/>
      <c r="I1250" s="14" t="inlineStr">
        <is>
          <t>No</t>
        </is>
      </c>
      <c r="J1250" s="14" t="inlineStr">
        <is>
          <t>Collana</t>
        </is>
      </c>
      <c r="K1250" s="14" t="inlineStr">
        <is>
          <t>8+</t>
        </is>
      </c>
      <c r="L1250" s="14" t="inlineStr">
        <is>
          <t>https://www.edizionilapis.it/collane</t>
        </is>
      </c>
      <c r="M1250" s="19" t="n"/>
      <c r="N1250" s="14" t="inlineStr"/>
      <c r="O1250" s="16">
        <f>IF(ISNUMBER(M1250),ROUND(M1250*(1-Condizioni!$B$2),2),"")</f>
        <v/>
      </c>
      <c r="P1250" s="17" t="inlineStr">
        <is>
          <t>Sì</t>
        </is>
      </c>
    </row>
    <row r="1251">
      <c r="A1251" s="14" t="inlineStr">
        <is>
          <t>Lapis</t>
        </is>
      </c>
      <c r="B1251" s="14" t="inlineStr">
        <is>
          <t>I misteri di Teo</t>
        </is>
      </c>
      <c r="C1251" s="14" t="inlineStr">
        <is>
          <t>(due autrici)</t>
        </is>
      </c>
      <c r="D1251" s="14" t="inlineStr">
        <is>
          <t>I misteri di Teo</t>
        </is>
      </c>
      <c r="E1251" s="14" t="inlineStr">
        <is>
          <t>da 9 anni</t>
        </is>
      </c>
      <c r="F1251" s="14" t="inlineStr">
        <is>
          <t>9+</t>
        </is>
      </c>
      <c r="G1251" s="14" t="inlineStr">
        <is>
          <t>Giallo/Mistero</t>
        </is>
      </c>
      <c r="H1251" s="14" t="inlineStr"/>
      <c r="I1251" s="14" t="inlineStr">
        <is>
          <t>No</t>
        </is>
      </c>
      <c r="J1251" s="14" t="inlineStr">
        <is>
          <t>Collana</t>
        </is>
      </c>
      <c r="K1251" s="14" t="inlineStr">
        <is>
          <t>9+, narrativa</t>
        </is>
      </c>
      <c r="L1251" s="14" t="inlineStr">
        <is>
          <t>https://www.edizionilapis.it/collane</t>
        </is>
      </c>
      <c r="M1251" s="19" t="n"/>
      <c r="N1251" s="14" t="inlineStr"/>
      <c r="O1251" s="16">
        <f>IF(ISNUMBER(M1251),ROUND(M1251*(1-Condizioni!$B$2),2),"")</f>
        <v/>
      </c>
      <c r="P1251" s="17" t="inlineStr">
        <is>
          <t>Sì</t>
        </is>
      </c>
    </row>
    <row r="1252">
      <c r="A1252" s="14" t="inlineStr">
        <is>
          <t>L'Ippocampo</t>
        </is>
      </c>
      <c r="B1252" s="14" t="inlineStr">
        <is>
          <t>Bebè 0-2 anni (sezione)</t>
        </is>
      </c>
      <c r="C1252" s="14" t="inlineStr">
        <is>
          <t>(vedi catalogo)</t>
        </is>
      </c>
      <c r="D1252" s="14" t="inlineStr">
        <is>
          <t>L'Ippocampo Ragazzi</t>
        </is>
      </c>
      <c r="E1252" s="14" t="inlineStr">
        <is>
          <t>0-2</t>
        </is>
      </c>
      <c r="F1252" s="14" t="inlineStr">
        <is>
          <t>0-3 anni</t>
        </is>
      </c>
      <c r="G1252" s="14" t="inlineStr">
        <is>
          <t>Libro cartonato</t>
        </is>
      </c>
      <c r="H1252" s="14" t="inlineStr"/>
      <c r="I1252" s="14" t="inlineStr">
        <is>
          <t>No</t>
        </is>
      </c>
      <c r="J1252" s="14" t="inlineStr">
        <is>
          <t>Catalogo</t>
        </is>
      </c>
      <c r="K1252" s="14" t="inlineStr">
        <is>
          <t>0-3 anni</t>
        </is>
      </c>
      <c r="L1252" s="14" t="inlineStr">
        <is>
          <t>https://www.ippocampoedizioni.it/</t>
        </is>
      </c>
      <c r="M1252" s="19" t="n"/>
      <c r="N1252" s="14" t="inlineStr"/>
      <c r="O1252" s="16">
        <f>IF(ISNUMBER(M1252),ROUND(M1252*(1-Condizioni!$B$2),2),"")</f>
        <v/>
      </c>
      <c r="P1252" s="17" t="inlineStr">
        <is>
          <t>Sì</t>
        </is>
      </c>
    </row>
    <row r="1253">
      <c r="A1253" s="14" t="inlineStr">
        <is>
          <t>L'Ippocampo</t>
        </is>
      </c>
      <c r="B1253" s="14" t="inlineStr">
        <is>
          <t>Libri coccole Emma Dodd (sezione)</t>
        </is>
      </c>
      <c r="C1253" s="14" t="inlineStr">
        <is>
          <t>Emma Dodd</t>
        </is>
      </c>
      <c r="D1253" s="14" t="inlineStr">
        <is>
          <t>L'Ippocampo Ragazzi</t>
        </is>
      </c>
      <c r="E1253" s="14" t="inlineStr">
        <is>
          <t>0-2</t>
        </is>
      </c>
      <c r="F1253" s="14" t="inlineStr">
        <is>
          <t>0-3 anni</t>
        </is>
      </c>
      <c r="G1253" s="14" t="inlineStr">
        <is>
          <t>Libro cartonato</t>
        </is>
      </c>
      <c r="H1253" s="14" t="inlineStr"/>
      <c r="I1253" s="14" t="inlineStr">
        <is>
          <t>No</t>
        </is>
      </c>
      <c r="J1253" s="14" t="inlineStr">
        <is>
          <t>Catalogo</t>
        </is>
      </c>
      <c r="K1253" s="14" t="inlineStr">
        <is>
          <t>0-3 anni</t>
        </is>
      </c>
      <c r="L1253" s="14" t="inlineStr">
        <is>
          <t>https://www.ippocampoedizioni.it/</t>
        </is>
      </c>
      <c r="M1253" s="19" t="n"/>
      <c r="N1253" s="14" t="inlineStr"/>
      <c r="O1253" s="16">
        <f>IF(ISNUMBER(M1253),ROUND(M1253*(1-Condizioni!$B$2),2),"")</f>
        <v/>
      </c>
      <c r="P1253" s="17" t="inlineStr">
        <is>
          <t>Sì</t>
        </is>
      </c>
    </row>
    <row r="1254">
      <c r="A1254" s="14" t="inlineStr">
        <is>
          <t>L'Ippocampo</t>
        </is>
      </c>
      <c r="B1254" s="14" t="inlineStr">
        <is>
          <t>Prescuola (sezione)</t>
        </is>
      </c>
      <c r="C1254" s="14" t="inlineStr">
        <is>
          <t>(vedi catalogo)</t>
        </is>
      </c>
      <c r="D1254" s="14" t="inlineStr">
        <is>
          <t>L'Ippocampo Ragazzi</t>
        </is>
      </c>
      <c r="E1254" s="14" t="inlineStr">
        <is>
          <t>prescuola</t>
        </is>
      </c>
      <c r="F1254" s="14" t="inlineStr">
        <is>
          <t>3-6 anni</t>
        </is>
      </c>
      <c r="G1254" s="14" t="inlineStr">
        <is>
          <t>Albo illustrato</t>
        </is>
      </c>
      <c r="H1254" s="14" t="inlineStr"/>
      <c r="I1254" s="14" t="inlineStr">
        <is>
          <t>No</t>
        </is>
      </c>
      <c r="J1254" s="14" t="inlineStr">
        <is>
          <t>Catalogo</t>
        </is>
      </c>
      <c r="K1254" s="14" t="inlineStr">
        <is>
          <t>3-6 anni</t>
        </is>
      </c>
      <c r="L1254" s="14" t="inlineStr">
        <is>
          <t>https://www.ippocampoedizioni.it/</t>
        </is>
      </c>
      <c r="M1254" s="19" t="n"/>
      <c r="N1254" s="14" t="inlineStr"/>
      <c r="O1254" s="16">
        <f>IF(ISNUMBER(M1254),ROUND(M1254*(1-Condizioni!$B$2),2),"")</f>
        <v/>
      </c>
      <c r="P1254" s="17" t="inlineStr">
        <is>
          <t>Sì</t>
        </is>
      </c>
    </row>
    <row r="1255">
      <c r="A1255" s="14" t="inlineStr">
        <is>
          <t>L'Ippocampo</t>
        </is>
      </c>
      <c r="B1255" s="14" t="inlineStr">
        <is>
          <t>Il meraviglioso mago di Oz</t>
        </is>
      </c>
      <c r="C1255" s="14" t="inlineStr">
        <is>
          <t>L. Frank Baum</t>
        </is>
      </c>
      <c r="D1255" s="14" t="inlineStr">
        <is>
          <t>Narrativa ragazzi</t>
        </is>
      </c>
      <c r="E1255" s="14" t="inlineStr">
        <is>
          <t>dai 6 anni</t>
        </is>
      </c>
      <c r="F1255" s="14" t="inlineStr">
        <is>
          <t>Prime letture (6-8)</t>
        </is>
      </c>
      <c r="G1255" s="14" t="inlineStr">
        <is>
          <t>Avventura</t>
        </is>
      </c>
      <c r="H1255" s="14" t="inlineStr"/>
      <c r="I1255" s="14" t="inlineStr">
        <is>
          <t>No</t>
        </is>
      </c>
      <c r="J1255" s="14" t="inlineStr">
        <is>
          <t>Catalogo</t>
        </is>
      </c>
      <c r="K1255" s="14" t="inlineStr">
        <is>
          <t>prime letture, avventura, narrativa</t>
        </is>
      </c>
      <c r="L1255" s="14" t="inlineStr">
        <is>
          <t>https://www.ippocampoedizioni.it/catalogo/tema/107</t>
        </is>
      </c>
      <c r="M1255" s="16" t="n">
        <v>29.9</v>
      </c>
      <c r="N1255" s="14" t="inlineStr">
        <is>
          <t>Catalogo L'Ippocampo Autunno 2026</t>
        </is>
      </c>
      <c r="O1255" s="16">
        <f>IF(ISNUMBER(M1255),ROUND(M1255*(1-Condizioni!$B$2),2),"")</f>
        <v/>
      </c>
      <c r="P1255" s="17" t="inlineStr">
        <is>
          <t>Sì</t>
        </is>
      </c>
    </row>
    <row r="1256">
      <c r="A1256" s="14" t="inlineStr">
        <is>
          <t>L'Ippocampo</t>
        </is>
      </c>
      <c r="B1256" s="14" t="inlineStr">
        <is>
          <t>L'isola del tesoro (ed. MinaLima)</t>
        </is>
      </c>
      <c r="C1256" s="14" t="inlineStr">
        <is>
          <t>R. L. Stevenson</t>
        </is>
      </c>
      <c r="D1256" s="14" t="inlineStr">
        <is>
          <t>Narrativa ragazzi</t>
        </is>
      </c>
      <c r="E1256" s="14" t="inlineStr">
        <is>
          <t>dai 6 anni</t>
        </is>
      </c>
      <c r="F1256" s="14" t="inlineStr">
        <is>
          <t>Prime letture (6-8)</t>
        </is>
      </c>
      <c r="G1256" s="14" t="inlineStr">
        <is>
          <t>Avventura</t>
        </is>
      </c>
      <c r="H1256" s="14" t="inlineStr"/>
      <c r="I1256" s="14" t="inlineStr">
        <is>
          <t>No</t>
        </is>
      </c>
      <c r="J1256" s="14" t="inlineStr">
        <is>
          <t>Catalogo</t>
        </is>
      </c>
      <c r="K1256" s="14" t="inlineStr">
        <is>
          <t>prime letture, avventura, narrativa</t>
        </is>
      </c>
      <c r="L1256" s="14" t="inlineStr">
        <is>
          <t>https://www.ippocampoedizioni.it/catalogo/tema/107</t>
        </is>
      </c>
      <c r="M1256" s="16" t="n">
        <v>29.9</v>
      </c>
      <c r="N1256" s="14" t="inlineStr">
        <is>
          <t>Catalogo L'Ippocampo Autunno 2026</t>
        </is>
      </c>
      <c r="O1256" s="16">
        <f>IF(ISNUMBER(M1256),ROUND(M1256*(1-Condizioni!$B$2),2),"")</f>
        <v/>
      </c>
      <c r="P1256" s="17" t="inlineStr">
        <is>
          <t>Sì</t>
        </is>
      </c>
    </row>
    <row r="1257">
      <c r="A1257" s="14" t="inlineStr">
        <is>
          <t>L'Ippocampo</t>
        </is>
      </c>
      <c r="B1257" s="14" t="inlineStr">
        <is>
          <t>20.000 leghe sotto i mari</t>
        </is>
      </c>
      <c r="C1257" s="14" t="inlineStr">
        <is>
          <t>Jules Verne</t>
        </is>
      </c>
      <c r="D1257" s="14" t="inlineStr">
        <is>
          <t>Narrativa ragazzi</t>
        </is>
      </c>
      <c r="E1257" s="14" t="inlineStr">
        <is>
          <t>dagli 8 anni</t>
        </is>
      </c>
      <c r="F1257" s="14" t="inlineStr">
        <is>
          <t>8+</t>
        </is>
      </c>
      <c r="G1257" s="14" t="inlineStr">
        <is>
          <t>Avventura</t>
        </is>
      </c>
      <c r="H1257" s="14" t="inlineStr"/>
      <c r="I1257" s="14" t="inlineStr">
        <is>
          <t>No</t>
        </is>
      </c>
      <c r="J1257" s="14" t="inlineStr">
        <is>
          <t>Catalogo</t>
        </is>
      </c>
      <c r="K1257" s="14" t="inlineStr">
        <is>
          <t>8+, avventura, narrativa</t>
        </is>
      </c>
      <c r="L1257" s="14" t="inlineStr">
        <is>
          <t>https://www.ippocampoedizioni.it/catalogo/tema/107</t>
        </is>
      </c>
      <c r="M1257" s="16" t="n">
        <v>29.9</v>
      </c>
      <c r="N1257" s="14" t="inlineStr">
        <is>
          <t>Catalogo L'Ippocampo Autunno 2026</t>
        </is>
      </c>
      <c r="O1257" s="16">
        <f>IF(ISNUMBER(M1257),ROUND(M1257*(1-Condizioni!$B$2),2),"")</f>
        <v/>
      </c>
      <c r="P1257" s="17" t="inlineStr">
        <is>
          <t>Sì</t>
        </is>
      </c>
    </row>
    <row r="1258">
      <c r="A1258" s="14" t="inlineStr">
        <is>
          <t>L'Ippocampo</t>
        </is>
      </c>
      <c r="B1258" s="14" t="inlineStr">
        <is>
          <t>Anatomia / Oceano / Nascita / Mondo vegetale (libri animati)</t>
        </is>
      </c>
      <c r="C1258" s="14" t="inlineStr">
        <is>
          <t>Hélène Druvert</t>
        </is>
      </c>
      <c r="D1258" s="14" t="inlineStr">
        <is>
          <t>Scuole medie (tema del catalogo)</t>
        </is>
      </c>
      <c r="E1258" s="14" t="inlineStr">
        <is>
          <t>8-11 anni</t>
        </is>
      </c>
      <c r="F1258" s="14" t="inlineStr">
        <is>
          <t>8+</t>
        </is>
      </c>
      <c r="G1258" s="14" t="inlineStr">
        <is>
          <t>Divulgazione/Saggio</t>
        </is>
      </c>
      <c r="H1258" s="14" t="inlineStr"/>
      <c r="I1258" s="14" t="inlineStr">
        <is>
          <t>No</t>
        </is>
      </c>
      <c r="J1258" s="14" t="inlineStr">
        <is>
          <t>Catalogo</t>
        </is>
      </c>
      <c r="K1258" s="14" t="inlineStr">
        <is>
          <t>8+</t>
        </is>
      </c>
      <c r="L1258" s="14" t="inlineStr">
        <is>
          <t>https://www.ippocampoedizioni.it/catalogo/tema/135</t>
        </is>
      </c>
      <c r="M1258" s="16" t="n">
        <v>22</v>
      </c>
      <c r="N1258" s="14" t="inlineStr">
        <is>
          <t>Catalogo L'Ippocampo Autunno 2026</t>
        </is>
      </c>
      <c r="O1258" s="16">
        <f>IF(ISNUMBER(M1258),ROUND(M1258*(1-Condizioni!$B$2),2),"")</f>
        <v/>
      </c>
      <c r="P1258" s="17" t="inlineStr">
        <is>
          <t>Sì</t>
        </is>
      </c>
    </row>
    <row r="1259">
      <c r="A1259" s="14" t="inlineStr">
        <is>
          <t>L'Ippocampo</t>
        </is>
      </c>
      <c r="B1259" s="14" t="inlineStr">
        <is>
          <t>Esplorando l'universo / Esplorando gli elementi</t>
        </is>
      </c>
      <c r="C1259" s="14" t="inlineStr">
        <is>
          <t>Isabel Thomas, Sara Gillingham</t>
        </is>
      </c>
      <c r="D1259" s="14" t="inlineStr">
        <is>
          <t>Scuole medie (tema del catalogo)</t>
        </is>
      </c>
      <c r="E1259" s="14" t="inlineStr">
        <is>
          <t>dagli 8 anni</t>
        </is>
      </c>
      <c r="F1259" s="14" t="inlineStr">
        <is>
          <t>8+</t>
        </is>
      </c>
      <c r="G1259" s="14" t="inlineStr">
        <is>
          <t>Divulgazione/Saggio</t>
        </is>
      </c>
      <c r="H1259" s="14" t="inlineStr"/>
      <c r="I1259" s="14" t="inlineStr">
        <is>
          <t>No</t>
        </is>
      </c>
      <c r="J1259" s="14" t="inlineStr">
        <is>
          <t>Catalogo</t>
        </is>
      </c>
      <c r="K1259" s="14" t="inlineStr">
        <is>
          <t>8+</t>
        </is>
      </c>
      <c r="L1259" s="14" t="inlineStr">
        <is>
          <t>https://www.ippocampoedizioni.it/catalogo/tema/135</t>
        </is>
      </c>
      <c r="M1259" s="16" t="n">
        <v>25</v>
      </c>
      <c r="N1259" s="14" t="inlineStr">
        <is>
          <t>Catalogo L'Ippocampo Autunno 2026</t>
        </is>
      </c>
      <c r="O1259" s="16">
        <f>IF(ISNUMBER(M1259),ROUND(M1259*(1-Condizioni!$B$2),2),"")</f>
        <v/>
      </c>
      <c r="P1259" s="17" t="inlineStr">
        <is>
          <t>Sì</t>
        </is>
      </c>
    </row>
    <row r="1260">
      <c r="A1260" s="14" t="inlineStr">
        <is>
          <t>L'Ippocampo</t>
        </is>
      </c>
      <c r="B1260" s="14" t="inlineStr">
        <is>
          <t>Il giardino segreto (ed. MinaLima)</t>
        </is>
      </c>
      <c r="C1260" s="14" t="inlineStr">
        <is>
          <t>F. Hodgson Burnett</t>
        </is>
      </c>
      <c r="D1260" s="14" t="inlineStr">
        <is>
          <t>Narrativa ragazzi</t>
        </is>
      </c>
      <c r="E1260" s="14" t="inlineStr">
        <is>
          <t>dagli 8 anni</t>
        </is>
      </c>
      <c r="F1260" s="14" t="inlineStr">
        <is>
          <t>8+</t>
        </is>
      </c>
      <c r="G1260" s="14" t="inlineStr">
        <is>
          <t>Classico illustrato</t>
        </is>
      </c>
      <c r="H1260" s="14" t="inlineStr"/>
      <c r="I1260" s="14" t="inlineStr">
        <is>
          <t>No</t>
        </is>
      </c>
      <c r="J1260" s="14" t="inlineStr">
        <is>
          <t>Catalogo</t>
        </is>
      </c>
      <c r="K1260" s="14" t="inlineStr">
        <is>
          <t>8+</t>
        </is>
      </c>
      <c r="L1260" s="14" t="inlineStr">
        <is>
          <t>https://www.ippocampoedizioni.it/catalogo/tema/107</t>
        </is>
      </c>
      <c r="M1260" s="16" t="n">
        <v>29.9</v>
      </c>
      <c r="N1260" s="14" t="inlineStr">
        <is>
          <t>Catalogo L'Ippocampo Autunno 2026</t>
        </is>
      </c>
      <c r="O1260" s="16">
        <f>IF(ISNUMBER(M1260),ROUND(M1260*(1-Condizioni!$B$2),2),"")</f>
        <v/>
      </c>
      <c r="P1260" s="17" t="inlineStr">
        <is>
          <t>Sì</t>
        </is>
      </c>
    </row>
    <row r="1261">
      <c r="A1261" s="14" t="inlineStr">
        <is>
          <t>L'Ippocampo</t>
        </is>
      </c>
      <c r="B1261" s="14" t="inlineStr">
        <is>
          <t>Il giro del mondo in 80 giorni</t>
        </is>
      </c>
      <c r="C1261" s="14" t="inlineStr">
        <is>
          <t>Jules Verne</t>
        </is>
      </c>
      <c r="D1261" s="14" t="inlineStr">
        <is>
          <t>Narrativa ragazzi</t>
        </is>
      </c>
      <c r="E1261" s="14" t="inlineStr">
        <is>
          <t>dagli 8 anni</t>
        </is>
      </c>
      <c r="F1261" s="14" t="inlineStr">
        <is>
          <t>8+</t>
        </is>
      </c>
      <c r="G1261" s="14" t="inlineStr">
        <is>
          <t>Avventura</t>
        </is>
      </c>
      <c r="H1261" s="14" t="inlineStr"/>
      <c r="I1261" s="14" t="inlineStr">
        <is>
          <t>No</t>
        </is>
      </c>
      <c r="J1261" s="14" t="inlineStr">
        <is>
          <t>Catalogo</t>
        </is>
      </c>
      <c r="K1261" s="14" t="inlineStr">
        <is>
          <t>8+, avventura, narrativa</t>
        </is>
      </c>
      <c r="L1261" s="14" t="inlineStr">
        <is>
          <t>https://www.ippocampoedizioni.it/catalogo/tema/107</t>
        </is>
      </c>
      <c r="M1261" s="16" t="n">
        <v>29.9</v>
      </c>
      <c r="N1261" s="14" t="inlineStr">
        <is>
          <t>Catalogo L'Ippocampo Autunno 2026</t>
        </is>
      </c>
      <c r="O1261" s="16">
        <f>IF(ISNUMBER(M1261),ROUND(M1261*(1-Condizioni!$B$2),2),"")</f>
        <v/>
      </c>
      <c r="P1261" s="17" t="inlineStr">
        <is>
          <t>Sì</t>
        </is>
      </c>
    </row>
    <row r="1262">
      <c r="A1262" s="14" t="inlineStr">
        <is>
          <t>L'Ippocampo</t>
        </is>
      </c>
      <c r="B1262" s="14" t="inlineStr">
        <is>
          <t>Il libro della giungla</t>
        </is>
      </c>
      <c r="C1262" s="14" t="inlineStr">
        <is>
          <t>Rudyard Kipling</t>
        </is>
      </c>
      <c r="D1262" s="14" t="inlineStr">
        <is>
          <t>Narrativa ragazzi</t>
        </is>
      </c>
      <c r="E1262" s="14" t="inlineStr">
        <is>
          <t>dagli 8 anni</t>
        </is>
      </c>
      <c r="F1262" s="14" t="inlineStr">
        <is>
          <t>8+</t>
        </is>
      </c>
      <c r="G1262" s="14" t="inlineStr">
        <is>
          <t>Avventura</t>
        </is>
      </c>
      <c r="H1262" s="14" t="inlineStr"/>
      <c r="I1262" s="14" t="inlineStr">
        <is>
          <t>No</t>
        </is>
      </c>
      <c r="J1262" s="14" t="inlineStr">
        <is>
          <t>Catalogo</t>
        </is>
      </c>
      <c r="K1262" s="14" t="inlineStr">
        <is>
          <t>8+, avventura, narrativa</t>
        </is>
      </c>
      <c r="L1262" s="14" t="inlineStr">
        <is>
          <t>https://www.ippocampoedizioni.it/catalogo/tema/107</t>
        </is>
      </c>
      <c r="M1262" s="16" t="n">
        <v>29.9</v>
      </c>
      <c r="N1262" s="14" t="inlineStr">
        <is>
          <t>Catalogo L'Ippocampo Autunno 2026</t>
        </is>
      </c>
      <c r="O1262" s="16">
        <f>IF(ISNUMBER(M1262),ROUND(M1262*(1-Condizioni!$B$2),2),"")</f>
        <v/>
      </c>
      <c r="P1262" s="17" t="inlineStr">
        <is>
          <t>Sì</t>
        </is>
      </c>
    </row>
    <row r="1263">
      <c r="A1263" s="14" t="inlineStr">
        <is>
          <t>L'Ippocampo</t>
        </is>
      </c>
      <c r="B1263" s="14" t="inlineStr">
        <is>
          <t>Kidstory. La storia dell'umanità narrata dai ragazzi</t>
        </is>
      </c>
      <c r="C1263" s="14" t="inlineStr">
        <is>
          <t>T. Weiss Gabbay, S. Fuman</t>
        </is>
      </c>
      <c r="D1263" s="14" t="inlineStr">
        <is>
          <t>Scuole medie (tema del catalogo)</t>
        </is>
      </c>
      <c r="E1263" s="14" t="inlineStr">
        <is>
          <t>dagli 8 anni</t>
        </is>
      </c>
      <c r="F1263" s="14" t="inlineStr">
        <is>
          <t>8+</t>
        </is>
      </c>
      <c r="G1263" s="14" t="inlineStr">
        <is>
          <t>Divulgazione/Saggio</t>
        </is>
      </c>
      <c r="H1263" s="14" t="inlineStr"/>
      <c r="I1263" s="14" t="inlineStr">
        <is>
          <t>No</t>
        </is>
      </c>
      <c r="J1263" s="14" t="inlineStr">
        <is>
          <t>Catalogo</t>
        </is>
      </c>
      <c r="K1263" s="14" t="inlineStr">
        <is>
          <t>8+</t>
        </is>
      </c>
      <c r="L1263" s="14" t="inlineStr">
        <is>
          <t>https://www.ippocampoedizioni.it/catalogo/tema/135</t>
        </is>
      </c>
      <c r="M1263" s="16" t="n">
        <v>19.9</v>
      </c>
      <c r="N1263" s="14" t="inlineStr">
        <is>
          <t>Catalogo L'Ippocampo Autunno 2026</t>
        </is>
      </c>
      <c r="O1263" s="16">
        <f>IF(ISNUMBER(M1263),ROUND(M1263*(1-Condizioni!$B$2),2),"")</f>
        <v/>
      </c>
      <c r="P1263" s="17" t="inlineStr">
        <is>
          <t>Sì</t>
        </is>
      </c>
    </row>
    <row r="1264">
      <c r="A1264" s="14" t="inlineStr">
        <is>
          <t>L'Ippocampo</t>
        </is>
      </c>
      <c r="B1264" s="14" t="inlineStr">
        <is>
          <t>Le tribolazioni del giovane Cosimo</t>
        </is>
      </c>
      <c r="C1264" s="14" t="inlineStr">
        <is>
          <t>Marie Desplechin</t>
        </is>
      </c>
      <c r="D1264" s="14" t="inlineStr">
        <is>
          <t>Scuole medie (tema del catalogo)</t>
        </is>
      </c>
      <c r="E1264" s="14" t="inlineStr">
        <is>
          <t>dagli 8 anni</t>
        </is>
      </c>
      <c r="F1264" s="14" t="inlineStr">
        <is>
          <t>8+</t>
        </is>
      </c>
      <c r="G1264" s="14" t="inlineStr">
        <is>
          <t>Romanzo</t>
        </is>
      </c>
      <c r="H1264" s="14" t="inlineStr"/>
      <c r="I1264" s="14" t="inlineStr">
        <is>
          <t>No</t>
        </is>
      </c>
      <c r="J1264" s="14" t="inlineStr">
        <is>
          <t>Catalogo</t>
        </is>
      </c>
      <c r="K1264" s="14" t="inlineStr">
        <is>
          <t>8+, romanzo, narrativa</t>
        </is>
      </c>
      <c r="L1264" s="14" t="inlineStr">
        <is>
          <t>https://www.ippocampoedizioni.it/catalogo/tema/135</t>
        </is>
      </c>
      <c r="M1264" s="16" t="n">
        <v>19.9</v>
      </c>
      <c r="N1264" s="14" t="inlineStr">
        <is>
          <t>Catalogo L'Ippocampo Autunno 2026</t>
        </is>
      </c>
      <c r="O1264" s="16">
        <f>IF(ISNUMBER(M1264),ROUND(M1264*(1-Condizioni!$B$2),2),"")</f>
        <v/>
      </c>
      <c r="P1264" s="17" t="inlineStr">
        <is>
          <t>Sì</t>
        </is>
      </c>
    </row>
    <row r="1265">
      <c r="A1265" s="14" t="inlineStr">
        <is>
          <t>L'Ippocampo</t>
        </is>
      </c>
      <c r="B1265" s="14" t="inlineStr">
        <is>
          <t>Peter Pan (ed. MinaLima)</t>
        </is>
      </c>
      <c r="C1265" s="14" t="inlineStr">
        <is>
          <t>J. M. Barrie</t>
        </is>
      </c>
      <c r="D1265" s="14" t="inlineStr">
        <is>
          <t>Narrativa ragazzi</t>
        </is>
      </c>
      <c r="E1265" s="14" t="inlineStr">
        <is>
          <t>dagli 8 anni</t>
        </is>
      </c>
      <c r="F1265" s="14" t="inlineStr">
        <is>
          <t>8+</t>
        </is>
      </c>
      <c r="G1265" s="14" t="inlineStr">
        <is>
          <t>Avventura</t>
        </is>
      </c>
      <c r="H1265" s="14" t="inlineStr"/>
      <c r="I1265" s="14" t="inlineStr">
        <is>
          <t>No</t>
        </is>
      </c>
      <c r="J1265" s="14" t="inlineStr">
        <is>
          <t>Catalogo</t>
        </is>
      </c>
      <c r="K1265" s="14" t="inlineStr">
        <is>
          <t>8+, avventura, narrativa</t>
        </is>
      </c>
      <c r="L1265" s="14" t="inlineStr">
        <is>
          <t>https://www.ippocampoedizioni.it/catalogo/tema/107</t>
        </is>
      </c>
      <c r="M1265" s="16" t="n">
        <v>29.9</v>
      </c>
      <c r="N1265" s="14" t="inlineStr">
        <is>
          <t>Catalogo L'Ippocampo Autunno 2026</t>
        </is>
      </c>
      <c r="O1265" s="16">
        <f>IF(ISNUMBER(M1265),ROUND(M1265*(1-Condizioni!$B$2),2),"")</f>
        <v/>
      </c>
      <c r="P1265" s="17" t="inlineStr">
        <is>
          <t>Sì</t>
        </is>
      </c>
    </row>
    <row r="1266">
      <c r="A1266" s="14" t="inlineStr">
        <is>
          <t>L'Ippocampo</t>
        </is>
      </c>
      <c r="B1266" s="14" t="inlineStr">
        <is>
          <t>Maldoror – I ragazzi della leggenda (trilogia)</t>
        </is>
      </c>
      <c r="C1266" s="14" t="inlineStr">
        <is>
          <t>Philippe Lechermeier</t>
        </is>
      </c>
      <c r="D1266" s="14" t="inlineStr">
        <is>
          <t>Narrativa ragazzi</t>
        </is>
      </c>
      <c r="E1266" s="14" t="inlineStr">
        <is>
          <t>9-12 anni</t>
        </is>
      </c>
      <c r="F1266" s="14" t="inlineStr">
        <is>
          <t>9+</t>
        </is>
      </c>
      <c r="G1266" s="14" t="inlineStr">
        <is>
          <t>Romanzo</t>
        </is>
      </c>
      <c r="H1266" s="14" t="inlineStr"/>
      <c r="I1266" s="14" t="inlineStr">
        <is>
          <t>No</t>
        </is>
      </c>
      <c r="J1266" s="14" t="inlineStr">
        <is>
          <t>Catalogo</t>
        </is>
      </c>
      <c r="K1266" s="14" t="inlineStr">
        <is>
          <t>9+, romanzo, narrativa</t>
        </is>
      </c>
      <c r="L1266" s="14" t="inlineStr">
        <is>
          <t>https://www.ippocampoedizioni.it/catalogo/tema/107</t>
        </is>
      </c>
      <c r="M1266" s="16" t="n">
        <v>15.9</v>
      </c>
      <c r="N1266" s="14" t="inlineStr">
        <is>
          <t>Catalogo L'Ippocampo Autunno 2026</t>
        </is>
      </c>
      <c r="O1266" s="16">
        <f>IF(ISNUMBER(M1266),ROUND(M1266*(1-Condizioni!$B$2),2),"")</f>
        <v/>
      </c>
      <c r="P1266" s="17" t="inlineStr">
        <is>
          <t>Sì</t>
        </is>
      </c>
    </row>
    <row r="1267">
      <c r="A1267" s="14" t="inlineStr">
        <is>
          <t>L'Ippocampo</t>
        </is>
      </c>
      <c r="B1267" s="14" t="inlineStr">
        <is>
          <t>Sangue d'ontano – La volpe artica</t>
        </is>
      </c>
      <c r="C1267" s="14" t="inlineStr">
        <is>
          <t>Léa Versand</t>
        </is>
      </c>
      <c r="D1267" s="14" t="inlineStr">
        <is>
          <t>Narrativa ragazzi</t>
        </is>
      </c>
      <c r="E1267" s="14" t="inlineStr">
        <is>
          <t>9-12 anni</t>
        </is>
      </c>
      <c r="F1267" s="14" t="inlineStr">
        <is>
          <t>9+</t>
        </is>
      </c>
      <c r="G1267" s="14" t="inlineStr">
        <is>
          <t>Romanzo</t>
        </is>
      </c>
      <c r="H1267" s="14" t="inlineStr"/>
      <c r="I1267" s="14" t="inlineStr">
        <is>
          <t>No</t>
        </is>
      </c>
      <c r="J1267" s="14" t="inlineStr">
        <is>
          <t>Catalogo</t>
        </is>
      </c>
      <c r="K1267" s="14" t="inlineStr">
        <is>
          <t>9+, romanzo, narrativa</t>
        </is>
      </c>
      <c r="L1267" s="14" t="inlineStr">
        <is>
          <t>https://www.ippocampoedizioni.it/catalogo/tema/107</t>
        </is>
      </c>
      <c r="M1267" s="16" t="n">
        <v>15.9</v>
      </c>
      <c r="N1267" s="14" t="inlineStr">
        <is>
          <t>Catalogo L'Ippocampo Autunno 2026</t>
        </is>
      </c>
      <c r="O1267" s="16">
        <f>IF(ISNUMBER(M1267),ROUND(M1267*(1-Condizioni!$B$2),2),"")</f>
        <v/>
      </c>
      <c r="P1267" s="17" t="inlineStr">
        <is>
          <t>Sì</t>
        </is>
      </c>
    </row>
    <row r="1268">
      <c r="A1268" s="14" t="inlineStr">
        <is>
          <t>L'Ippocampo</t>
        </is>
      </c>
      <c r="B1268" s="14" t="inlineStr">
        <is>
          <t>Atlante dei relitti</t>
        </is>
      </c>
      <c r="C1268" s="14" t="inlineStr">
        <is>
          <t>Jo Arnold, Philip Harris</t>
        </is>
      </c>
      <c r="D1268" s="14" t="inlineStr">
        <is>
          <t>Scuole medie (tema del catalogo)</t>
        </is>
      </c>
      <c r="E1268" s="14" t="inlineStr">
        <is>
          <t>dagli 11 anni</t>
        </is>
      </c>
      <c r="F1268" s="14" t="inlineStr">
        <is>
          <t>Scuola media (11-13)</t>
        </is>
      </c>
      <c r="G1268" s="14" t="inlineStr">
        <is>
          <t>Divulgazione/Saggio</t>
        </is>
      </c>
      <c r="H1268" s="14" t="inlineStr"/>
      <c r="I1268" s="14" t="inlineStr">
        <is>
          <t>No</t>
        </is>
      </c>
      <c r="J1268" s="14" t="inlineStr">
        <is>
          <t>Catalogo</t>
        </is>
      </c>
      <c r="K1268" s="14" t="inlineStr">
        <is>
          <t>prima/seconda/terza media</t>
        </is>
      </c>
      <c r="L1268" s="14" t="inlineStr">
        <is>
          <t>https://www.ippocampoedizioni.it/catalogo/tema/135</t>
        </is>
      </c>
      <c r="M1268" s="16" t="n">
        <v>19.9</v>
      </c>
      <c r="N1268" s="14" t="inlineStr">
        <is>
          <t>Catalogo L'Ippocampo Autunno 2026</t>
        </is>
      </c>
      <c r="O1268" s="16">
        <f>IF(ISNUMBER(M1268),ROUND(M1268*(1-Condizioni!$B$2),2),"")</f>
        <v/>
      </c>
      <c r="P1268" s="17" t="inlineStr">
        <is>
          <t>Sì</t>
        </is>
      </c>
    </row>
    <row r="1269">
      <c r="A1269" s="14" t="inlineStr">
        <is>
          <t>L'Ippocampo</t>
        </is>
      </c>
      <c r="B1269" s="14" t="inlineStr">
        <is>
          <t>Enciclopedia del Meraviglioso (I draghi, Le streghe, I fantasmi...)</t>
        </is>
      </c>
      <c r="C1269" s="14" t="inlineStr">
        <is>
          <t>Benjamin Lacombe e altri</t>
        </is>
      </c>
      <c r="D1269" s="14" t="inlineStr">
        <is>
          <t>Scuole medie (tema del catalogo)</t>
        </is>
      </c>
      <c r="E1269" s="14" t="inlineStr">
        <is>
          <t>sezione Scuole medie</t>
        </is>
      </c>
      <c r="F1269" s="14" t="inlineStr">
        <is>
          <t>Scuola media (11-13)</t>
        </is>
      </c>
      <c r="G1269" s="14" t="inlineStr">
        <is>
          <t>Divulgazione/Saggio</t>
        </is>
      </c>
      <c r="H1269" s="14" t="inlineStr"/>
      <c r="I1269" s="14" t="inlineStr">
        <is>
          <t>No</t>
        </is>
      </c>
      <c r="J1269" s="14" t="inlineStr">
        <is>
          <t>Collana</t>
        </is>
      </c>
      <c r="K1269" s="14" t="inlineStr">
        <is>
          <t>prima/seconda/terza media</t>
        </is>
      </c>
      <c r="L1269" s="14" t="inlineStr">
        <is>
          <t>https://www.ippocampoedizioni.it/catalogo/tema/135</t>
        </is>
      </c>
      <c r="M1269" s="16" t="n">
        <v>19.9</v>
      </c>
      <c r="N1269" s="14" t="inlineStr">
        <is>
          <t>Catalogo L'Ippocampo Autunno 2026</t>
        </is>
      </c>
      <c r="O1269" s="16">
        <f>IF(ISNUMBER(M1269),ROUND(M1269*(1-Condizioni!$B$2),2),"")</f>
        <v/>
      </c>
      <c r="P1269" s="17" t="inlineStr">
        <is>
          <t>Sì</t>
        </is>
      </c>
    </row>
    <row r="1270">
      <c r="A1270" s="14" t="inlineStr">
        <is>
          <t>L'Ippocampo</t>
        </is>
      </c>
      <c r="B1270" s="14" t="inlineStr">
        <is>
          <t>Le cronache dell'acero e del ciliegio (4 libri)</t>
        </is>
      </c>
      <c r="C1270" s="14" t="inlineStr">
        <is>
          <t>Camille Monceaux</t>
        </is>
      </c>
      <c r="D1270" s="14" t="inlineStr">
        <is>
          <t>Narrativa ragazzi</t>
        </is>
      </c>
      <c r="E1270" s="14" t="inlineStr">
        <is>
          <t>dagli 11 anni</t>
        </is>
      </c>
      <c r="F1270" s="14" t="inlineStr">
        <is>
          <t>Scuola media (11-13)</t>
        </is>
      </c>
      <c r="G1270" s="14" t="inlineStr">
        <is>
          <t>Avventura</t>
        </is>
      </c>
      <c r="H1270" s="14" t="inlineStr"/>
      <c r="I1270" s="14" t="inlineStr">
        <is>
          <t>No</t>
        </is>
      </c>
      <c r="J1270" s="14" t="inlineStr">
        <is>
          <t>Catalogo</t>
        </is>
      </c>
      <c r="K1270" s="14" t="inlineStr">
        <is>
          <t>prima/seconda/terza media, avventura, narrativa</t>
        </is>
      </c>
      <c r="L1270" s="14" t="inlineStr">
        <is>
          <t>https://www.ippocampoedizioni.it/catalogo/tema/107</t>
        </is>
      </c>
      <c r="M1270" s="16" t="n">
        <v>15.9</v>
      </c>
      <c r="N1270" s="14" t="inlineStr">
        <is>
          <t>Catalogo L'Ippocampo Autunno 2026</t>
        </is>
      </c>
      <c r="O1270" s="16">
        <f>IF(ISNUMBER(M1270),ROUND(M1270*(1-Condizioni!$B$2),2),"")</f>
        <v/>
      </c>
      <c r="P1270" s="17" t="inlineStr">
        <is>
          <t>Sì</t>
        </is>
      </c>
    </row>
    <row r="1271">
      <c r="A1271" s="14" t="inlineStr">
        <is>
          <t>L'Ippocampo</t>
        </is>
      </c>
      <c r="B1271" s="14" t="inlineStr">
        <is>
          <t>Le streghe di Venezia (3 volumi)</t>
        </is>
      </c>
      <c r="C1271" s="14" t="inlineStr">
        <is>
          <t>Sébastien Perez, Marco Mazzoni</t>
        </is>
      </c>
      <c r="D1271" s="14" t="inlineStr">
        <is>
          <t>Narrativa ragazzi</t>
        </is>
      </c>
      <c r="E1271" s="14" t="inlineStr">
        <is>
          <t>n.d. (sezione narrativa ragazzi)</t>
        </is>
      </c>
      <c r="F1271" s="14" t="inlineStr">
        <is>
          <t>Scuola media (11-13)</t>
        </is>
      </c>
      <c r="G1271" s="14" t="inlineStr">
        <is>
          <t>Romanzo</t>
        </is>
      </c>
      <c r="H1271" s="14" t="inlineStr"/>
      <c r="I1271" s="14" t="inlineStr">
        <is>
          <t>No</t>
        </is>
      </c>
      <c r="J1271" s="14" t="inlineStr">
        <is>
          <t>Collana</t>
        </is>
      </c>
      <c r="K1271" s="14" t="inlineStr">
        <is>
          <t>prima/seconda/terza media, romanzo, narrativa</t>
        </is>
      </c>
      <c r="L1271" s="14" t="inlineStr">
        <is>
          <t>https://www.ippocampoedizioni.it/catalogo/tema/107</t>
        </is>
      </c>
      <c r="M1271" s="16" t="n">
        <v>25</v>
      </c>
      <c r="N1271" s="14" t="inlineStr">
        <is>
          <t>Catalogo L'Ippocampo Autunno 2026</t>
        </is>
      </c>
      <c r="O1271" s="16">
        <f>IF(ISNUMBER(M1271),ROUND(M1271*(1-Condizioni!$B$2),2),"")</f>
        <v/>
      </c>
      <c r="P1271" s="17" t="inlineStr">
        <is>
          <t>Sì</t>
        </is>
      </c>
    </row>
    <row r="1272">
      <c r="A1272" s="14" t="inlineStr">
        <is>
          <t>L'Ippocampo</t>
        </is>
      </c>
      <c r="B1272" s="14" t="inlineStr">
        <is>
          <t>Terra rossa</t>
        </is>
      </c>
      <c r="C1272" s="14" t="inlineStr">
        <is>
          <t>Jean-François Chabas</t>
        </is>
      </c>
      <c r="D1272" s="14" t="inlineStr">
        <is>
          <t>Narrativa ragazzi</t>
        </is>
      </c>
      <c r="E1272" s="14" t="inlineStr">
        <is>
          <t>dai 12 anni</t>
        </is>
      </c>
      <c r="F1272" s="14" t="inlineStr">
        <is>
          <t>Scuola media (11-13)</t>
        </is>
      </c>
      <c r="G1272" s="14" t="inlineStr">
        <is>
          <t>Romanzo</t>
        </is>
      </c>
      <c r="H1272" s="14" t="inlineStr"/>
      <c r="I1272" s="14" t="inlineStr">
        <is>
          <t>No</t>
        </is>
      </c>
      <c r="J1272" s="14" t="inlineStr">
        <is>
          <t>Catalogo</t>
        </is>
      </c>
      <c r="K1272" s="14" t="inlineStr">
        <is>
          <t>prima/seconda/terza media, romanzo, narrativa</t>
        </is>
      </c>
      <c r="L1272" s="14" t="inlineStr">
        <is>
          <t>https://www.ippocampoedizioni.it/catalogo/tema/107</t>
        </is>
      </c>
      <c r="M1272" s="16" t="n">
        <v>15.9</v>
      </c>
      <c r="N1272" s="14" t="inlineStr">
        <is>
          <t>Catalogo L'Ippocampo Autunno 2026</t>
        </is>
      </c>
      <c r="O1272" s="16">
        <f>IF(ISNUMBER(M1272),ROUND(M1272*(1-Condizioni!$B$2),2),"")</f>
        <v/>
      </c>
      <c r="P1272" s="17" t="inlineStr">
        <is>
          <t>Sì</t>
        </is>
      </c>
    </row>
    <row r="1273">
      <c r="A1273" s="14" t="inlineStr">
        <is>
          <t>Neo Edizioni</t>
        </is>
      </c>
      <c r="B1273" s="14" t="inlineStr">
        <is>
          <t>GAP – Grottesco Adolescenziale Periferico</t>
        </is>
      </c>
      <c r="C1273" s="14" t="inlineStr">
        <is>
          <t>Placido Di Stefano</t>
        </is>
      </c>
      <c r="D1273" s="14" t="inlineStr">
        <is>
          <t>Dry / narrativa</t>
        </is>
      </c>
      <c r="E1273" s="14" t="inlineStr">
        <is>
          <t>adulti (tema adolescenza)</t>
        </is>
      </c>
      <c r="F1273" s="14" t="inlineStr">
        <is>
          <t>Adolescenza (14+)</t>
        </is>
      </c>
      <c r="G1273" s="14" t="inlineStr">
        <is>
          <t>Romanzo</t>
        </is>
      </c>
      <c r="H1273" s="14" t="inlineStr">
        <is>
          <t>Adolescenza ai margini</t>
        </is>
      </c>
      <c r="I1273" s="14" t="inlineStr">
        <is>
          <t>No</t>
        </is>
      </c>
      <c r="J1273" s="15" t="inlineStr">
        <is>
          <t>Da verificare</t>
        </is>
      </c>
      <c r="K1273" s="14" t="inlineStr">
        <is>
          <t>adolescenza, romanzo, narrativa</t>
        </is>
      </c>
      <c r="L1273" s="14" t="inlineStr">
        <is>
          <t>https://www.neoedizioni.it/neo/</t>
        </is>
      </c>
      <c r="M1273" s="19" t="n"/>
      <c r="N1273" s="14" t="inlineStr"/>
      <c r="O1273" s="16">
        <f>IF(ISNUMBER(M1273),ROUND(M1273*(1-Condizioni!$B$2),2),"")</f>
        <v/>
      </c>
      <c r="P1273" s="17" t="inlineStr">
        <is>
          <t>Sì</t>
        </is>
      </c>
    </row>
    <row r="1274">
      <c r="A1274" s="14" t="inlineStr">
        <is>
          <t>Neo Edizioni</t>
        </is>
      </c>
      <c r="B1274" s="14" t="inlineStr">
        <is>
          <t>Catalogo: collane Iena, Dry, Potlach, Intimate, i Nei, Cromo</t>
        </is>
      </c>
      <c r="C1274" s="14" t="inlineStr">
        <is>
          <t>—</t>
        </is>
      </c>
      <c r="D1274" s="14" t="inlineStr">
        <is>
          <t>Catalogo</t>
        </is>
      </c>
      <c r="E1274" s="14" t="inlineStr">
        <is>
          <t>adulti</t>
        </is>
      </c>
      <c r="F1274" s="14" t="inlineStr">
        <is>
          <t>n.d. / tutte le età</t>
        </is>
      </c>
      <c r="G1274" s="14" t="inlineStr">
        <is>
          <t>—</t>
        </is>
      </c>
      <c r="H1274" s="14" t="inlineStr"/>
      <c r="I1274" s="14" t="inlineStr">
        <is>
          <t>No</t>
        </is>
      </c>
      <c r="J1274" s="14" t="inlineStr">
        <is>
          <t>Catalogo</t>
        </is>
      </c>
      <c r="K1274" s="14" t="inlineStr"/>
      <c r="L1274" s="14" t="inlineStr">
        <is>
          <t>https://www.neoedizioni.it/neo/categoria-prodotto/catalogo/</t>
        </is>
      </c>
      <c r="M1274" s="19" t="n"/>
      <c r="N1274" s="14" t="inlineStr"/>
      <c r="O1274" s="16">
        <f>IF(ISNUMBER(M1274),ROUND(M1274*(1-Condizioni!$B$2),2),"")</f>
        <v/>
      </c>
      <c r="P1274" s="17" t="inlineStr">
        <is>
          <t>Sì</t>
        </is>
      </c>
    </row>
    <row r="1275">
      <c r="A1275" s="14" t="inlineStr">
        <is>
          <t>Tetra Edizioni</t>
        </is>
      </c>
      <c r="B1275" s="14" t="inlineStr">
        <is>
          <t>Catalogo di narrativa contemporanea per adulti (nessun titolo per ragazzi)</t>
        </is>
      </c>
      <c r="C1275" s="14" t="inlineStr">
        <is>
          <t>—</t>
        </is>
      </c>
      <c r="D1275" s="14" t="inlineStr">
        <is>
          <t>Narrativa</t>
        </is>
      </c>
      <c r="E1275" s="14" t="inlineStr">
        <is>
          <t>adulti</t>
        </is>
      </c>
      <c r="F1275" s="14" t="inlineStr">
        <is>
          <t>n.d. / tutte le età</t>
        </is>
      </c>
      <c r="G1275" s="14" t="inlineStr">
        <is>
          <t>Narrativa</t>
        </is>
      </c>
      <c r="H1275" s="14" t="inlineStr"/>
      <c r="I1275" s="14" t="inlineStr">
        <is>
          <t>No</t>
        </is>
      </c>
      <c r="J1275" s="14" t="inlineStr">
        <is>
          <t>Catalogo</t>
        </is>
      </c>
      <c r="K1275" s="14" t="inlineStr">
        <is>
          <t>narrativa</t>
        </is>
      </c>
      <c r="L1275" s="14" t="inlineStr">
        <is>
          <t>https://www.tetraedizioni.com/</t>
        </is>
      </c>
      <c r="M1275" s="19" t="n"/>
      <c r="N1275" s="14" t="inlineStr"/>
      <c r="O1275" s="16">
        <f>IF(ISNUMBER(M1275),ROUND(M1275*(1-Condizioni!$B$2),2),"")</f>
        <v/>
      </c>
      <c r="P1275" s="17" t="inlineStr">
        <is>
          <t>Sì</t>
        </is>
      </c>
    </row>
    <row r="1276">
      <c r="A1276" s="14" t="inlineStr">
        <is>
          <t>effequ</t>
        </is>
      </c>
      <c r="B1276" s="14" t="inlineStr">
        <is>
          <t>VIETATO</t>
        </is>
      </c>
      <c r="C1276" s="14" t="inlineStr">
        <is>
          <t>Simone Tempia; ill. Marianna Balducci</t>
        </is>
      </c>
      <c r="D1276" s="14" t="inlineStr">
        <is>
          <t>Scatoline</t>
        </is>
      </c>
      <c r="E1276" s="14" t="inlineStr">
        <is>
          <t>da 5 anni</t>
        </is>
      </c>
      <c r="F1276" s="14" t="inlineStr">
        <is>
          <t>3-6 anni</t>
        </is>
      </c>
      <c r="G1276" s="14" t="inlineStr">
        <is>
          <t>Divulgazione/Saggio</t>
        </is>
      </c>
      <c r="H1276" s="14" t="inlineStr">
        <is>
          <t>Regole e limiti</t>
        </is>
      </c>
      <c r="I1276" s="14" t="inlineStr">
        <is>
          <t>No</t>
        </is>
      </c>
      <c r="J1276" s="14" t="inlineStr">
        <is>
          <t>Catalogo</t>
        </is>
      </c>
      <c r="K1276" s="14" t="inlineStr">
        <is>
          <t>3-6 anni</t>
        </is>
      </c>
      <c r="L1276" s="14" t="inlineStr">
        <is>
          <t>https://www.effequ.it/</t>
        </is>
      </c>
      <c r="M1276" s="16" t="n">
        <v>6</v>
      </c>
      <c r="N1276" s="14" t="inlineStr">
        <is>
          <t>https://www.effequ.it/</t>
        </is>
      </c>
      <c r="O1276" s="16">
        <f>IF(ISNUMBER(M1276),ROUND(M1276*(1-Condizioni!$B$2),2),"")</f>
        <v/>
      </c>
      <c r="P1276" s="17" t="inlineStr">
        <is>
          <t>Sì</t>
        </is>
      </c>
    </row>
    <row r="1277">
      <c r="A1277" s="14" t="inlineStr">
        <is>
          <t>effequ</t>
        </is>
      </c>
      <c r="B1277" s="14" t="inlineStr">
        <is>
          <t>WEB</t>
        </is>
      </c>
      <c r="C1277" s="14" t="inlineStr">
        <is>
          <t>Antonio Pavolini; ill. Nicola Giorgio</t>
        </is>
      </c>
      <c r="D1277" s="14" t="inlineStr">
        <is>
          <t>Scatoline</t>
        </is>
      </c>
      <c r="E1277" s="14" t="inlineStr">
        <is>
          <t>da 5 anni</t>
        </is>
      </c>
      <c r="F1277" s="14" t="inlineStr">
        <is>
          <t>3-6 anni</t>
        </is>
      </c>
      <c r="G1277" s="14" t="inlineStr">
        <is>
          <t>Divulgazione/Saggio</t>
        </is>
      </c>
      <c r="H1277" s="14" t="inlineStr">
        <is>
          <t>Uso consapevole di internet</t>
        </is>
      </c>
      <c r="I1277" s="14" t="inlineStr">
        <is>
          <t>No</t>
        </is>
      </c>
      <c r="J1277" s="14" t="inlineStr">
        <is>
          <t>Catalogo</t>
        </is>
      </c>
      <c r="K1277" s="14" t="inlineStr">
        <is>
          <t>3-6 anni</t>
        </is>
      </c>
      <c r="L1277" s="14" t="inlineStr">
        <is>
          <t>https://www.effequ.it/</t>
        </is>
      </c>
      <c r="M1277" s="16" t="n">
        <v>6</v>
      </c>
      <c r="N1277" s="14" t="inlineStr">
        <is>
          <t>https://www.effequ.it/</t>
        </is>
      </c>
      <c r="O1277" s="16">
        <f>IF(ISNUMBER(M1277),ROUND(M1277*(1-Condizioni!$B$2),2),"")</f>
        <v/>
      </c>
      <c r="P1277" s="17" t="inlineStr">
        <is>
          <t>Sì</t>
        </is>
      </c>
    </row>
    <row r="1278">
      <c r="A1278" s="14" t="inlineStr">
        <is>
          <t>effequ</t>
        </is>
      </c>
      <c r="B1278" s="14" t="inlineStr">
        <is>
          <t>XY</t>
        </is>
      </c>
      <c r="C1278" s="14" t="inlineStr">
        <is>
          <t>Lù Casini; ill. Caterina Di Paolo</t>
        </is>
      </c>
      <c r="D1278" s="14" t="inlineStr">
        <is>
          <t>Scatoline</t>
        </is>
      </c>
      <c r="E1278" s="14" t="inlineStr">
        <is>
          <t>da 5 anni</t>
        </is>
      </c>
      <c r="F1278" s="14" t="inlineStr">
        <is>
          <t>3-6 anni</t>
        </is>
      </c>
      <c r="G1278" s="14" t="inlineStr">
        <is>
          <t>Divulgazione/Saggio</t>
        </is>
      </c>
      <c r="H1278" s="14" t="inlineStr">
        <is>
          <t>Identità e corpo</t>
        </is>
      </c>
      <c r="I1278" s="14" t="inlineStr">
        <is>
          <t>No</t>
        </is>
      </c>
      <c r="J1278" s="14" t="inlineStr">
        <is>
          <t>Catalogo</t>
        </is>
      </c>
      <c r="K1278" s="14" t="inlineStr">
        <is>
          <t>3-6 anni</t>
        </is>
      </c>
      <c r="L1278" s="14" t="inlineStr">
        <is>
          <t>https://www.effequ.it/</t>
        </is>
      </c>
      <c r="M1278" s="16" t="n">
        <v>6</v>
      </c>
      <c r="N1278" s="14" t="inlineStr">
        <is>
          <t>https://www.effequ.it/</t>
        </is>
      </c>
      <c r="O1278" s="16">
        <f>IF(ISNUMBER(M1278),ROUND(M1278*(1-Condizioni!$B$2),2),"")</f>
        <v/>
      </c>
      <c r="P1278" s="17" t="inlineStr">
        <is>
          <t>Sì</t>
        </is>
      </c>
    </row>
    <row r="1279">
      <c r="A1279" s="14" t="inlineStr">
        <is>
          <t>effequ</t>
        </is>
      </c>
      <c r="B1279" s="14" t="inlineStr">
        <is>
          <t>ZAMPA</t>
        </is>
      </c>
      <c r="C1279" s="14" t="inlineStr">
        <is>
          <t>Francesca Matteoni; ill. Prisca Milanese</t>
        </is>
      </c>
      <c r="D1279" s="14" t="inlineStr">
        <is>
          <t>Scatoline</t>
        </is>
      </c>
      <c r="E1279" s="14" t="inlineStr">
        <is>
          <t>da 5 anni</t>
        </is>
      </c>
      <c r="F1279" s="14" t="inlineStr">
        <is>
          <t>3-6 anni</t>
        </is>
      </c>
      <c r="G1279" s="14" t="inlineStr">
        <is>
          <t>Divulgazione/Saggio</t>
        </is>
      </c>
      <c r="H1279" s="14" t="inlineStr">
        <is>
          <t>Natura e relazioni tra esseri viventi</t>
        </is>
      </c>
      <c r="I1279" s="14" t="inlineStr">
        <is>
          <t>No</t>
        </is>
      </c>
      <c r="J1279" s="14" t="inlineStr">
        <is>
          <t>Catalogo</t>
        </is>
      </c>
      <c r="K1279" s="14" t="inlineStr">
        <is>
          <t>3-6 anni</t>
        </is>
      </c>
      <c r="L1279" s="14" t="inlineStr">
        <is>
          <t>https://www.effequ.it/</t>
        </is>
      </c>
      <c r="M1279" s="16" t="n">
        <v>6</v>
      </c>
      <c r="N1279" s="14" t="inlineStr">
        <is>
          <t>https://www.effequ.it/</t>
        </is>
      </c>
      <c r="O1279" s="16">
        <f>IF(ISNUMBER(M1279),ROUND(M1279*(1-Condizioni!$B$2),2),"")</f>
        <v/>
      </c>
      <c r="P1279" s="17" t="inlineStr">
        <is>
          <t>Sì</t>
        </is>
      </c>
    </row>
    <row r="1280">
      <c r="A1280" s="14" t="inlineStr">
        <is>
          <t>effequ</t>
        </is>
      </c>
      <c r="B1280" s="14" t="inlineStr">
        <is>
          <t>Collana Rondini (narrativa) – es. Minerva, Come si smette di avere una faccia</t>
        </is>
      </c>
      <c r="C1280" s="14" t="inlineStr">
        <is>
          <t>vari</t>
        </is>
      </c>
      <c r="D1280" s="14" t="inlineStr">
        <is>
          <t>Rondini</t>
        </is>
      </c>
      <c r="E1280" s="14" t="inlineStr">
        <is>
          <t>adulti</t>
        </is>
      </c>
      <c r="F1280" s="14" t="inlineStr">
        <is>
          <t>n.d. / tutte le età</t>
        </is>
      </c>
      <c r="G1280" s="14" t="inlineStr">
        <is>
          <t>Narrativa</t>
        </is>
      </c>
      <c r="H1280" s="14" t="inlineStr"/>
      <c r="I1280" s="14" t="inlineStr">
        <is>
          <t>No</t>
        </is>
      </c>
      <c r="J1280" s="14" t="inlineStr">
        <is>
          <t>Catalogo</t>
        </is>
      </c>
      <c r="K1280" s="14" t="inlineStr">
        <is>
          <t>narrativa</t>
        </is>
      </c>
      <c r="L1280" s="14" t="inlineStr">
        <is>
          <t>https://www.effequ.it/</t>
        </is>
      </c>
      <c r="M1280" s="19" t="n"/>
      <c r="N1280" s="14" t="inlineStr"/>
      <c r="O1280" s="16">
        <f>IF(ISNUMBER(M1280),ROUND(M1280*(1-Condizioni!$B$2),2),"")</f>
        <v/>
      </c>
      <c r="P1280" s="17" t="inlineStr">
        <is>
          <t>Sì</t>
        </is>
      </c>
    </row>
    <row r="1281">
      <c r="A1281" s="14" t="inlineStr">
        <is>
          <t>BeccoGiallo</t>
        </is>
      </c>
      <c r="B1281" s="14" t="inlineStr">
        <is>
          <t>Il bullismo spiegato ai bambini</t>
        </is>
      </c>
      <c r="C1281" s="14" t="inlineStr">
        <is>
          <t>Andrea Laprovitera e Mirti</t>
        </is>
      </c>
      <c r="D1281" s="14" t="inlineStr">
        <is>
          <t>CriticalKids</t>
        </is>
      </c>
      <c r="E1281" s="14" t="inlineStr">
        <is>
          <t>da 5 anni</t>
        </is>
      </c>
      <c r="F1281" s="14" t="inlineStr">
        <is>
          <t>3-6 anni</t>
        </is>
      </c>
      <c r="G1281" s="14" t="inlineStr">
        <is>
          <t>Albo illustrato</t>
        </is>
      </c>
      <c r="H1281" s="14" t="inlineStr">
        <is>
          <t>Bullismo e amicizia</t>
        </is>
      </c>
      <c r="I1281" s="14" t="inlineStr">
        <is>
          <t>No</t>
        </is>
      </c>
      <c r="J1281" s="14" t="inlineStr">
        <is>
          <t>Catalogo</t>
        </is>
      </c>
      <c r="K1281" s="14" t="inlineStr">
        <is>
          <t>3-6 anni, bullismo</t>
        </is>
      </c>
      <c r="L1281" s="14" t="inlineStr">
        <is>
          <t>https://www.beccogiallo.it/prodotto/il-bullismo-spiegato-ai-bambini/</t>
        </is>
      </c>
      <c r="M1281" s="16" t="n">
        <v>14</v>
      </c>
      <c r="N1281" s="14" t="inlineStr">
        <is>
          <t>https://www.beccogiallo.it/negozio/kids/criticalkids/il-bullismo-spiegato-ai-bambini/</t>
        </is>
      </c>
      <c r="O1281" s="16">
        <f>IF(ISNUMBER(M1281),ROUND(M1281*(1-Condizioni!$B$2),2),"")</f>
        <v/>
      </c>
      <c r="P1281" s="17" t="inlineStr">
        <is>
          <t>Sì</t>
        </is>
      </c>
    </row>
    <row r="1282">
      <c r="A1282" s="14" t="inlineStr">
        <is>
          <t>BeccoGiallo</t>
        </is>
      </c>
      <c r="B1282" s="14" t="inlineStr">
        <is>
          <t>Il razzismo spiegato ai bambini</t>
        </is>
      </c>
      <c r="C1282" s="14" t="inlineStr">
        <is>
          <t>Mattia Ferri, Roberta Taboni e Marco Bonatti</t>
        </is>
      </c>
      <c r="D1282" s="14" t="inlineStr">
        <is>
          <t>Kids / CriticalKids</t>
        </is>
      </c>
      <c r="E1282" s="14" t="inlineStr">
        <is>
          <t>da 5 anni</t>
        </is>
      </c>
      <c r="F1282" s="14" t="inlineStr">
        <is>
          <t>3-6 anni</t>
        </is>
      </c>
      <c r="G1282" s="14" t="inlineStr">
        <is>
          <t>Divulgazione/Saggio</t>
        </is>
      </c>
      <c r="H1282" s="14" t="inlineStr">
        <is>
          <t>Razzismo e pregiudizio</t>
        </is>
      </c>
      <c r="I1282" s="14" t="inlineStr">
        <is>
          <t>No</t>
        </is>
      </c>
      <c r="J1282" s="14" t="inlineStr">
        <is>
          <t>Collana</t>
        </is>
      </c>
      <c r="K1282" s="14" t="inlineStr">
        <is>
          <t>3-6 anni</t>
        </is>
      </c>
      <c r="L1282" s="14" t="inlineStr">
        <is>
          <t>https://www.beccogiallo.it/categoria-prodotto/kids/criticalkids/</t>
        </is>
      </c>
      <c r="M1282" s="16" t="n">
        <v>14</v>
      </c>
      <c r="N1282" s="14" t="inlineStr">
        <is>
          <t>Sito BeccoGiallo (prezzo di listino)</t>
        </is>
      </c>
      <c r="O1282" s="16">
        <f>IF(ISNUMBER(M1282),ROUND(M1282*(1-Condizioni!$B$2),2),"")</f>
        <v/>
      </c>
      <c r="P1282" s="17" t="inlineStr">
        <is>
          <t>Sì</t>
        </is>
      </c>
    </row>
    <row r="1283">
      <c r="A1283" s="14" t="inlineStr">
        <is>
          <t>BeccoGiallo</t>
        </is>
      </c>
      <c r="B1283" s="14" t="inlineStr">
        <is>
          <t>La Shoah spiegata alle bambine e ai bambini</t>
        </is>
      </c>
      <c r="C1283" s="14" t="inlineStr">
        <is>
          <t>Paolo Valentini e Chiara Abastanotti</t>
        </is>
      </c>
      <c r="D1283" s="14" t="inlineStr">
        <is>
          <t>Kids / CriticalKids</t>
        </is>
      </c>
      <c r="E1283" s="14" t="inlineStr">
        <is>
          <t>da 5 anni</t>
        </is>
      </c>
      <c r="F1283" s="14" t="inlineStr">
        <is>
          <t>3-6 anni</t>
        </is>
      </c>
      <c r="G1283" s="14" t="inlineStr">
        <is>
          <t>Divulgazione/Saggio</t>
        </is>
      </c>
      <c r="H1283" s="14" t="inlineStr">
        <is>
          <t>Memoria della Shoah</t>
        </is>
      </c>
      <c r="I1283" s="14" t="inlineStr">
        <is>
          <t>No</t>
        </is>
      </c>
      <c r="J1283" s="14" t="inlineStr">
        <is>
          <t>Catalogo</t>
        </is>
      </c>
      <c r="K1283" s="14" t="inlineStr">
        <is>
          <t>3-6 anni</t>
        </is>
      </c>
      <c r="L1283" s="14" t="inlineStr">
        <is>
          <t>https://www.beccogiallo.it/categoria-prodotto/kids/</t>
        </is>
      </c>
      <c r="M1283" s="16" t="n">
        <v>16</v>
      </c>
      <c r="N1283" s="14" t="inlineStr">
        <is>
          <t>Sito BeccoGiallo (prezzo di listino)</t>
        </is>
      </c>
      <c r="O1283" s="16">
        <f>IF(ISNUMBER(M1283),ROUND(M1283*(1-Condizioni!$B$2),2),"")</f>
        <v/>
      </c>
      <c r="P1283" s="17" t="inlineStr">
        <is>
          <t>Sì</t>
        </is>
      </c>
    </row>
    <row r="1284">
      <c r="A1284" s="14" t="inlineStr">
        <is>
          <t>BeccoGiallo</t>
        </is>
      </c>
      <c r="B1284" s="14" t="inlineStr">
        <is>
          <t>La biodiversità spiegata alle bambine e ai bambini</t>
        </is>
      </c>
      <c r="C1284" s="14" t="inlineStr">
        <is>
          <t>(vedi scheda)</t>
        </is>
      </c>
      <c r="D1284" s="14" t="inlineStr">
        <is>
          <t>Kids / CriticalKids</t>
        </is>
      </c>
      <c r="E1284" s="14" t="inlineStr">
        <is>
          <t>da 5 anni</t>
        </is>
      </c>
      <c r="F1284" s="14" t="inlineStr">
        <is>
          <t>3-6 anni</t>
        </is>
      </c>
      <c r="G1284" s="14" t="inlineStr">
        <is>
          <t>Divulgazione/Saggio</t>
        </is>
      </c>
      <c r="H1284" s="14" t="inlineStr">
        <is>
          <t>Ambiente e biodiversità</t>
        </is>
      </c>
      <c r="I1284" s="14" t="inlineStr">
        <is>
          <t>No</t>
        </is>
      </c>
      <c r="J1284" s="14" t="inlineStr">
        <is>
          <t>Collana</t>
        </is>
      </c>
      <c r="K1284" s="14" t="inlineStr">
        <is>
          <t>3-6 anni</t>
        </is>
      </c>
      <c r="L1284" s="14" t="inlineStr">
        <is>
          <t>https://www.beccogiallo.it/categoria-prodotto/kids/criticalkids/</t>
        </is>
      </c>
      <c r="M1284" s="16" t="n">
        <v>15</v>
      </c>
      <c r="N1284" s="14" t="inlineStr">
        <is>
          <t>Sito BeccoGiallo (prezzo di listino)</t>
        </is>
      </c>
      <c r="O1284" s="16">
        <f>IF(ISNUMBER(M1284),ROUND(M1284*(1-Condizioni!$B$2),2),"")</f>
        <v/>
      </c>
      <c r="P1284" s="17" t="inlineStr">
        <is>
          <t>Sì</t>
        </is>
      </c>
    </row>
    <row r="1285">
      <c r="A1285" s="14" t="inlineStr">
        <is>
          <t>BeccoGiallo</t>
        </is>
      </c>
      <c r="B1285" s="14" t="inlineStr">
        <is>
          <t>La sessualità spiegata ai bambini e alle bambine di ieri, oggi e domani</t>
        </is>
      </c>
      <c r="C1285" s="14" t="inlineStr">
        <is>
          <t>Chiara Gregori e Juls Criveller</t>
        </is>
      </c>
      <c r="D1285" s="14" t="inlineStr">
        <is>
          <t>Kids / CriticalKids</t>
        </is>
      </c>
      <c r="E1285" s="14" t="inlineStr">
        <is>
          <t>da 5 anni</t>
        </is>
      </c>
      <c r="F1285" s="14" t="inlineStr">
        <is>
          <t>3-6 anni</t>
        </is>
      </c>
      <c r="G1285" s="14" t="inlineStr">
        <is>
          <t>Divulgazione/Saggio</t>
        </is>
      </c>
      <c r="H1285" s="14" t="inlineStr">
        <is>
          <t>Educazione sessuale e affettiva</t>
        </is>
      </c>
      <c r="I1285" s="14" t="inlineStr">
        <is>
          <t>No</t>
        </is>
      </c>
      <c r="J1285" s="14" t="inlineStr">
        <is>
          <t>Catalogo</t>
        </is>
      </c>
      <c r="K1285" s="14" t="inlineStr">
        <is>
          <t>3-6 anni</t>
        </is>
      </c>
      <c r="L1285" s="14" t="inlineStr">
        <is>
          <t>https://www.beccogiallo.it/categoria-prodotto/kids/</t>
        </is>
      </c>
      <c r="M1285" s="16" t="n">
        <v>16</v>
      </c>
      <c r="N1285" s="14" t="inlineStr">
        <is>
          <t>Sito BeccoGiallo (prezzo di listino)</t>
        </is>
      </c>
      <c r="O1285" s="16">
        <f>IF(ISNUMBER(M1285),ROUND(M1285*(1-Condizioni!$B$2),2),"")</f>
        <v/>
      </c>
      <c r="P1285" s="17" t="inlineStr">
        <is>
          <t>Sì</t>
        </is>
      </c>
    </row>
    <row r="1286">
      <c r="A1286" s="14" t="inlineStr">
        <is>
          <t>BeccoGiallo</t>
        </is>
      </c>
      <c r="B1286" s="14" t="inlineStr">
        <is>
          <t>L’Europa spiegata alle bambine e ai bambini</t>
        </is>
      </c>
      <c r="C1286" s="14" t="inlineStr">
        <is>
          <t>Francesca Parmigiani e Shu Garbuglia</t>
        </is>
      </c>
      <c r="D1286" s="14" t="inlineStr">
        <is>
          <t>Kids / CriticalKids</t>
        </is>
      </c>
      <c r="E1286" s="14" t="inlineStr">
        <is>
          <t>da 5 anni</t>
        </is>
      </c>
      <c r="F1286" s="14" t="inlineStr">
        <is>
          <t>3-6 anni</t>
        </is>
      </c>
      <c r="G1286" s="14" t="inlineStr">
        <is>
          <t>Divulgazione/Saggio</t>
        </is>
      </c>
      <c r="H1286" s="14" t="inlineStr">
        <is>
          <t>Europa, pace e cittadinanza</t>
        </is>
      </c>
      <c r="I1286" s="14" t="inlineStr">
        <is>
          <t>No</t>
        </is>
      </c>
      <c r="J1286" s="14" t="inlineStr">
        <is>
          <t>Collana</t>
        </is>
      </c>
      <c r="K1286" s="14" t="inlineStr">
        <is>
          <t>3-6 anni</t>
        </is>
      </c>
      <c r="L1286" s="14" t="inlineStr">
        <is>
          <t>https://www.beccogiallo.it/categoria-prodotto/kids/criticalkids/</t>
        </is>
      </c>
      <c r="M1286" s="16" t="n">
        <v>15</v>
      </c>
      <c r="N1286" s="14" t="inlineStr">
        <is>
          <t>Sito BeccoGiallo (prezzo di listino)</t>
        </is>
      </c>
      <c r="O1286" s="16">
        <f>IF(ISNUMBER(M1286),ROUND(M1286*(1-Condizioni!$B$2),2),"")</f>
        <v/>
      </c>
      <c r="P1286" s="17" t="inlineStr">
        <is>
          <t>Sì</t>
        </is>
      </c>
    </row>
    <row r="1287">
      <c r="A1287" s="14" t="inlineStr">
        <is>
          <t>BeccoGiallo</t>
        </is>
      </c>
      <c r="B1287" s="14" t="inlineStr">
        <is>
          <t>L’immigrazione spiegata ai bambini</t>
        </is>
      </c>
      <c r="C1287" s="14" t="inlineStr">
        <is>
          <t>Marco Rizzo; ill. Lelio Bonaccorso</t>
        </is>
      </c>
      <c r="D1287" s="14" t="inlineStr">
        <is>
          <t>Kids / CriticalKids</t>
        </is>
      </c>
      <c r="E1287" s="14" t="inlineStr">
        <is>
          <t>da 7 anni</t>
        </is>
      </c>
      <c r="F1287" s="14" t="inlineStr">
        <is>
          <t>Prime letture (6-8)</t>
        </is>
      </c>
      <c r="G1287" s="14" t="inlineStr">
        <is>
          <t>Divulgazione/Saggio</t>
        </is>
      </c>
      <c r="H1287" s="14" t="inlineStr">
        <is>
          <t>Migrazione e accoglienza</t>
        </is>
      </c>
      <c r="I1287" s="14" t="inlineStr">
        <is>
          <t>No</t>
        </is>
      </c>
      <c r="J1287" s="14" t="inlineStr">
        <is>
          <t>Verificata (IBS / editore)</t>
        </is>
      </c>
      <c r="K1287" s="14" t="inlineStr">
        <is>
          <t>prime letture</t>
        </is>
      </c>
      <c r="L1287" s="14" t="inlineStr">
        <is>
          <t>https://www.beccogiallo.it/categoria-prodotto/kids/criticalkids/</t>
        </is>
      </c>
      <c r="M1287" s="16" t="n">
        <v>13</v>
      </c>
      <c r="N1287" s="14" t="inlineStr">
        <is>
          <t>Sito BeccoGiallo (prezzo di listino)</t>
        </is>
      </c>
      <c r="O1287" s="16">
        <f>IF(ISNUMBER(M1287),ROUND(M1287*(1-Condizioni!$B$2),2),"")</f>
        <v/>
      </c>
      <c r="P1287" s="17" t="inlineStr">
        <is>
          <t>Sì</t>
        </is>
      </c>
    </row>
    <row r="1288">
      <c r="A1288" s="14" t="inlineStr">
        <is>
          <t>BeccoGiallo</t>
        </is>
      </c>
      <c r="B1288" s="14" t="inlineStr">
        <is>
          <t>Paleo Stories – Estinzione</t>
        </is>
      </c>
      <c r="C1288" s="14" t="inlineStr">
        <is>
          <t>Emanuele Apostolidis, Elena Ghezzo e Michela Peloso</t>
        </is>
      </c>
      <c r="D1288" s="14" t="inlineStr">
        <is>
          <t>Kids</t>
        </is>
      </c>
      <c r="E1288" s="14" t="inlineStr">
        <is>
          <t>da 6 anni</t>
        </is>
      </c>
      <c r="F1288" s="14" t="inlineStr">
        <is>
          <t>Prime letture (6-8)</t>
        </is>
      </c>
      <c r="G1288" s="14" t="inlineStr">
        <is>
          <t>Graphic novel/Fumetto</t>
        </is>
      </c>
      <c r="H1288" s="14" t="inlineStr">
        <is>
          <t>Scienza e paleontologia</t>
        </is>
      </c>
      <c r="I1288" s="14" t="inlineStr">
        <is>
          <t>No</t>
        </is>
      </c>
      <c r="J1288" s="14" t="inlineStr">
        <is>
          <t>Catalogo</t>
        </is>
      </c>
      <c r="K1288" s="14" t="inlineStr">
        <is>
          <t>prime letture</t>
        </is>
      </c>
      <c r="L1288" s="14" t="inlineStr">
        <is>
          <t>https://www.beccogiallo.it/categoria-prodotto/kids/</t>
        </is>
      </c>
      <c r="M1288" s="16" t="n">
        <v>13</v>
      </c>
      <c r="N1288" s="14" t="inlineStr">
        <is>
          <t>https://www.ibs.it/x/e/9788833143620</t>
        </is>
      </c>
      <c r="O1288" s="16">
        <f>IF(ISNUMBER(M1288),ROUND(M1288*(1-Condizioni!$B$2),2),"")</f>
        <v/>
      </c>
      <c r="P1288" s="17" t="inlineStr">
        <is>
          <t>Sì</t>
        </is>
      </c>
    </row>
    <row r="1289">
      <c r="A1289" s="14" t="inlineStr">
        <is>
          <t>BeccoGiallo</t>
        </is>
      </c>
      <c r="B1289" s="14" t="inlineStr">
        <is>
          <t>Adele Crudele (serie)</t>
        </is>
      </c>
      <c r="C1289" s="14" t="inlineStr">
        <is>
          <t>(vedi scheda)</t>
        </is>
      </c>
      <c r="D1289" s="14" t="inlineStr">
        <is>
          <t>Kids</t>
        </is>
      </c>
      <c r="E1289" s="14" t="inlineStr">
        <is>
          <t>n.d.</t>
        </is>
      </c>
      <c r="F1289" s="14" t="inlineStr">
        <is>
          <t>n.d. / tutte le età</t>
        </is>
      </c>
      <c r="G1289" s="14" t="inlineStr">
        <is>
          <t>Graphic novel/Fumetto</t>
        </is>
      </c>
      <c r="H1289" s="14" t="inlineStr"/>
      <c r="I1289" s="14" t="inlineStr">
        <is>
          <t>No</t>
        </is>
      </c>
      <c r="J1289" s="15" t="inlineStr">
        <is>
          <t>Da verificare</t>
        </is>
      </c>
      <c r="K1289" s="14" t="inlineStr"/>
      <c r="L1289" s="14" t="inlineStr">
        <is>
          <t>https://www.beccogiallo.it/categoria-prodotto/kids/</t>
        </is>
      </c>
      <c r="M1289" s="16" t="n">
        <v>14</v>
      </c>
      <c r="N1289" s="14" t="inlineStr">
        <is>
          <t>Sito BeccoGiallo (prezzo di listino)</t>
        </is>
      </c>
      <c r="O1289" s="16">
        <f>IF(ISNUMBER(M1289),ROUND(M1289*(1-Condizioni!$B$2),2),"")</f>
        <v/>
      </c>
      <c r="P1289" s="17" t="inlineStr">
        <is>
          <t>Sì</t>
        </is>
      </c>
    </row>
    <row r="1290">
      <c r="A1290" s="14" t="inlineStr">
        <is>
          <t>BeccoGiallo</t>
        </is>
      </c>
      <c r="B1290" s="14" t="inlineStr">
        <is>
          <t>Archeo Tales – Il mito del Minotauro</t>
        </is>
      </c>
      <c r="C1290" s="14" t="inlineStr">
        <is>
          <t>(vedi scheda)</t>
        </is>
      </c>
      <c r="D1290" s="14" t="inlineStr">
        <is>
          <t>Kids</t>
        </is>
      </c>
      <c r="E1290" s="14" t="inlineStr">
        <is>
          <t>da 7 anni</t>
        </is>
      </c>
      <c r="F1290" s="14" t="inlineStr">
        <is>
          <t>Prime letture (6-8)</t>
        </is>
      </c>
      <c r="G1290" s="14" t="inlineStr">
        <is>
          <t>Graphic novel/Fumetto</t>
        </is>
      </c>
      <c r="H1290" s="14" t="inlineStr"/>
      <c r="I1290" s="14" t="inlineStr">
        <is>
          <t>No</t>
        </is>
      </c>
      <c r="J1290" s="14" t="inlineStr">
        <is>
          <t>Verificata (IBS / editore)</t>
        </is>
      </c>
      <c r="K1290" s="14" t="inlineStr">
        <is>
          <t>prime letture</t>
        </is>
      </c>
      <c r="L1290" s="14" t="inlineStr">
        <is>
          <t>https://www.beccogiallo.it/categoria-prodotto/kids/</t>
        </is>
      </c>
      <c r="M1290" s="16" t="n">
        <v>15</v>
      </c>
      <c r="N1290" s="14" t="inlineStr">
        <is>
          <t>Sito BeccoGiallo (prezzo di listino)</t>
        </is>
      </c>
      <c r="O1290" s="16">
        <f>IF(ISNUMBER(M1290),ROUND(M1290*(1-Condizioni!$B$2),2),"")</f>
        <v/>
      </c>
      <c r="P1290" s="17" t="inlineStr">
        <is>
          <t>Sì</t>
        </is>
      </c>
    </row>
    <row r="1291">
      <c r="A1291" s="14" t="inlineStr">
        <is>
          <t>BeccoGiallo</t>
        </is>
      </c>
      <c r="B1291" s="14" t="inlineStr">
        <is>
          <t>Ariol (serie)</t>
        </is>
      </c>
      <c r="C1291" s="14" t="inlineStr">
        <is>
          <t>(vedi scheda)</t>
        </is>
      </c>
      <c r="D1291" s="14" t="inlineStr">
        <is>
          <t>Kids</t>
        </is>
      </c>
      <c r="E1291" s="14" t="inlineStr">
        <is>
          <t>n.d.</t>
        </is>
      </c>
      <c r="F1291" s="14" t="inlineStr">
        <is>
          <t>n.d. / tutte le età</t>
        </is>
      </c>
      <c r="G1291" s="14" t="inlineStr">
        <is>
          <t>Graphic novel/Fumetto</t>
        </is>
      </c>
      <c r="H1291" s="14" t="inlineStr"/>
      <c r="I1291" s="14" t="inlineStr">
        <is>
          <t>No</t>
        </is>
      </c>
      <c r="J1291" s="15" t="inlineStr">
        <is>
          <t>Da verificare</t>
        </is>
      </c>
      <c r="K1291" s="14" t="inlineStr"/>
      <c r="L1291" s="14" t="inlineStr">
        <is>
          <t>https://www.beccogiallo.it/categoria-prodotto/kids/</t>
        </is>
      </c>
      <c r="M1291" s="16" t="n">
        <v>15</v>
      </c>
      <c r="N1291" s="14" t="inlineStr">
        <is>
          <t>Sito BeccoGiallo (prezzo di listino)</t>
        </is>
      </c>
      <c r="O1291" s="16">
        <f>IF(ISNUMBER(M1291),ROUND(M1291*(1-Condizioni!$B$2),2),"")</f>
        <v/>
      </c>
      <c r="P1291" s="17" t="inlineStr">
        <is>
          <t>Sì</t>
        </is>
      </c>
    </row>
    <row r="1292">
      <c r="A1292" s="14" t="inlineStr">
        <is>
          <t>BeccoGiallo</t>
        </is>
      </c>
      <c r="B1292" s="14" t="inlineStr">
        <is>
          <t>Come l'acqua</t>
        </is>
      </c>
      <c r="C1292" s="14" t="inlineStr">
        <is>
          <t>(vedi scheda)</t>
        </is>
      </c>
      <c r="D1292" s="14" t="inlineStr">
        <is>
          <t>Kids</t>
        </is>
      </c>
      <c r="E1292" s="14" t="inlineStr">
        <is>
          <t>da 5 anni</t>
        </is>
      </c>
      <c r="F1292" s="14" t="inlineStr">
        <is>
          <t>3-6 anni</t>
        </is>
      </c>
      <c r="G1292" s="14" t="inlineStr">
        <is>
          <t>Graphic novel/Fumetto</t>
        </is>
      </c>
      <c r="H1292" s="14" t="inlineStr"/>
      <c r="I1292" s="14" t="inlineStr">
        <is>
          <t>No</t>
        </is>
      </c>
      <c r="J1292" s="14" t="inlineStr">
        <is>
          <t>Verificata (IBS / editore)</t>
        </is>
      </c>
      <c r="K1292" s="14" t="inlineStr">
        <is>
          <t>3-6 anni</t>
        </is>
      </c>
      <c r="L1292" s="14" t="inlineStr">
        <is>
          <t>https://www.beccogiallo.it/categoria-prodotto/kids/</t>
        </is>
      </c>
      <c r="M1292" s="16" t="n">
        <v>19</v>
      </c>
      <c r="N1292" s="14" t="inlineStr">
        <is>
          <t>https://www.ibs.it/x/e/9788833143750</t>
        </is>
      </c>
      <c r="O1292" s="16">
        <f>IF(ISNUMBER(M1292),ROUND(M1292*(1-Condizioni!$B$2),2),"")</f>
        <v/>
      </c>
      <c r="P1292" s="17" t="inlineStr">
        <is>
          <t>Sì</t>
        </is>
      </c>
    </row>
    <row r="1293">
      <c r="A1293" s="14" t="inlineStr">
        <is>
          <t>BeccoGiallo</t>
        </is>
      </c>
      <c r="B1293" s="14" t="inlineStr">
        <is>
          <t>Figli della foresta. Due vite africane rapite dal colonialismo italiano</t>
        </is>
      </c>
      <c r="C1293" s="14" t="inlineStr">
        <is>
          <t>Igiaba Scego; ill. Chiara Abastanotti</t>
        </is>
      </c>
      <c r="D1293" s="14" t="inlineStr">
        <is>
          <t>Kids / CriticalKids</t>
        </is>
      </c>
      <c r="E1293" s="14" t="inlineStr">
        <is>
          <t>da 12 anni</t>
        </is>
      </c>
      <c r="F1293" s="14" t="inlineStr">
        <is>
          <t>Scuola media (11-13)</t>
        </is>
      </c>
      <c r="G1293" s="14" t="inlineStr">
        <is>
          <t>Divulgazione/Saggio</t>
        </is>
      </c>
      <c r="H1293" s="14" t="inlineStr">
        <is>
          <t>Colonialismo e razzismo</t>
        </is>
      </c>
      <c r="I1293" s="14" t="inlineStr">
        <is>
          <t>No</t>
        </is>
      </c>
      <c r="J1293" s="14" t="inlineStr">
        <is>
          <t>Verificata (IBS / editore)</t>
        </is>
      </c>
      <c r="K1293" s="14" t="inlineStr">
        <is>
          <t>prima/seconda/terza media</t>
        </is>
      </c>
      <c r="L1293" s="14" t="inlineStr">
        <is>
          <t>https://www.beccogiallo.it/categoria-prodotto/kids/</t>
        </is>
      </c>
      <c r="M1293" s="16" t="n">
        <v>20</v>
      </c>
      <c r="N1293" s="14" t="inlineStr">
        <is>
          <t>https://www.beccogiallo.it/negozio/graphic-journalism/figli-della-foresta/</t>
        </is>
      </c>
      <c r="O1293" s="16">
        <f>IF(ISNUMBER(M1293),ROUND(M1293*(1-Condizioni!$B$2),2),"")</f>
        <v/>
      </c>
      <c r="P1293" s="17" t="inlineStr">
        <is>
          <t>Sì</t>
        </is>
      </c>
    </row>
    <row r="1294">
      <c r="A1294" s="14" t="inlineStr">
        <is>
          <t>BeccoGiallo</t>
        </is>
      </c>
      <c r="B1294" s="14" t="inlineStr">
        <is>
          <t>Il cinema spiegato ai bambini e alle bambine</t>
        </is>
      </c>
      <c r="C1294" s="14" t="inlineStr">
        <is>
          <t>(vedi scheda)</t>
        </is>
      </c>
      <c r="D1294" s="14" t="inlineStr">
        <is>
          <t>Kids / CriticalKids</t>
        </is>
      </c>
      <c r="E1294" s="14" t="inlineStr">
        <is>
          <t>da 4 anni</t>
        </is>
      </c>
      <c r="F1294" s="14" t="inlineStr">
        <is>
          <t>3-6 anni</t>
        </is>
      </c>
      <c r="G1294" s="14" t="inlineStr">
        <is>
          <t>Divulgazione/Saggio</t>
        </is>
      </c>
      <c r="H1294" s="14" t="inlineStr"/>
      <c r="I1294" s="14" t="inlineStr">
        <is>
          <t>No</t>
        </is>
      </c>
      <c r="J1294" s="14" t="inlineStr">
        <is>
          <t>Verificata (IBS / editore)</t>
        </is>
      </c>
      <c r="K1294" s="14" t="inlineStr">
        <is>
          <t>3-6 anni</t>
        </is>
      </c>
      <c r="L1294" s="14" t="inlineStr">
        <is>
          <t>https://www.beccogiallo.it/categoria-prodotto/kids/</t>
        </is>
      </c>
      <c r="M1294" s="16" t="n">
        <v>16</v>
      </c>
      <c r="N1294" s="14" t="inlineStr">
        <is>
          <t>https://www.ibs.it/x/e/9788833143552</t>
        </is>
      </c>
      <c r="O1294" s="16">
        <f>IF(ISNUMBER(M1294),ROUND(M1294*(1-Condizioni!$B$2),2),"")</f>
        <v/>
      </c>
      <c r="P1294" s="17" t="inlineStr">
        <is>
          <t>Sì</t>
        </is>
      </c>
    </row>
    <row r="1295">
      <c r="A1295" s="14" t="inlineStr">
        <is>
          <t>BeccoGiallo</t>
        </is>
      </c>
      <c r="B1295" s="14" t="inlineStr">
        <is>
          <t>Il mio corpo!</t>
        </is>
      </c>
      <c r="C1295" s="14" t="inlineStr">
        <is>
          <t>(vedi scheda)</t>
        </is>
      </c>
      <c r="D1295" s="14" t="inlineStr">
        <is>
          <t>Kids / CriticalKids</t>
        </is>
      </c>
      <c r="E1295" s="14" t="inlineStr">
        <is>
          <t>da 3 anni</t>
        </is>
      </c>
      <c r="F1295" s="14" t="inlineStr">
        <is>
          <t>3-6 anni</t>
        </is>
      </c>
      <c r="G1295" s="14" t="inlineStr">
        <is>
          <t>Divulgazione/Saggio</t>
        </is>
      </c>
      <c r="H1295" s="14" t="inlineStr">
        <is>
          <t>Corpo</t>
        </is>
      </c>
      <c r="I1295" s="14" t="inlineStr">
        <is>
          <t>No</t>
        </is>
      </c>
      <c r="J1295" s="14" t="inlineStr">
        <is>
          <t>Verificata (IBS / editore)</t>
        </is>
      </c>
      <c r="K1295" s="14" t="inlineStr">
        <is>
          <t>3-6 anni</t>
        </is>
      </c>
      <c r="L1295" s="14" t="inlineStr">
        <is>
          <t>https://www.beccogiallo.it/categoria-prodotto/kids/</t>
        </is>
      </c>
      <c r="M1295" s="16" t="n">
        <v>17.5</v>
      </c>
      <c r="N1295" s="14" t="inlineStr">
        <is>
          <t>https://www.beccogiallo.it/negozio/kids/illustrati/il-mio-corpo/</t>
        </is>
      </c>
      <c r="O1295" s="16">
        <f>IF(ISNUMBER(M1295),ROUND(M1295*(1-Condizioni!$B$2),2),"")</f>
        <v/>
      </c>
      <c r="P1295" s="17" t="inlineStr">
        <is>
          <t>Sì</t>
        </is>
      </c>
    </row>
    <row r="1296">
      <c r="A1296" s="14" t="inlineStr">
        <is>
          <t>BeccoGiallo</t>
        </is>
      </c>
      <c r="B1296" s="14" t="inlineStr">
        <is>
          <t>Il primo soccorso spiegato alle bambine e ai bambini</t>
        </is>
      </c>
      <c r="C1296" s="14" t="inlineStr">
        <is>
          <t>(vedi scheda)</t>
        </is>
      </c>
      <c r="D1296" s="14" t="inlineStr">
        <is>
          <t>Kids / CriticalKids</t>
        </is>
      </c>
      <c r="E1296" s="14" t="inlineStr">
        <is>
          <t>da 9 anni</t>
        </is>
      </c>
      <c r="F1296" s="14" t="inlineStr">
        <is>
          <t>9+</t>
        </is>
      </c>
      <c r="G1296" s="14" t="inlineStr">
        <is>
          <t>Divulgazione/Saggio</t>
        </is>
      </c>
      <c r="H1296" s="14" t="inlineStr"/>
      <c r="I1296" s="14" t="inlineStr">
        <is>
          <t>No</t>
        </is>
      </c>
      <c r="J1296" s="14" t="inlineStr">
        <is>
          <t>Verificata (IBS / editore)</t>
        </is>
      </c>
      <c r="K1296" s="14" t="inlineStr">
        <is>
          <t>9+</t>
        </is>
      </c>
      <c r="L1296" s="14" t="inlineStr">
        <is>
          <t>https://www.beccogiallo.it/categoria-prodotto/kids/</t>
        </is>
      </c>
      <c r="M1296" s="16" t="n">
        <v>16</v>
      </c>
      <c r="N1296" s="14" t="inlineStr">
        <is>
          <t>Sito BeccoGiallo (prezzo di listino)</t>
        </is>
      </c>
      <c r="O1296" s="16">
        <f>IF(ISNUMBER(M1296),ROUND(M1296*(1-Condizioni!$B$2),2),"")</f>
        <v/>
      </c>
      <c r="P1296" s="17" t="inlineStr">
        <is>
          <t>Sì</t>
        </is>
      </c>
    </row>
    <row r="1297">
      <c r="A1297" s="14" t="inlineStr">
        <is>
          <t>BeccoGiallo</t>
        </is>
      </c>
      <c r="B1297" s="14" t="inlineStr">
        <is>
          <t>La Costituzione spiegata ai bambini (Piero e Nilde)</t>
        </is>
      </c>
      <c r="C1297" s="14" t="inlineStr">
        <is>
          <t>Francesca Parmigiani; ill. Dora Creminati</t>
        </is>
      </c>
      <c r="D1297" s="14" t="inlineStr">
        <is>
          <t>Kids / CriticalKids</t>
        </is>
      </c>
      <c r="E1297" s="14" t="inlineStr">
        <is>
          <t>da 9 anni</t>
        </is>
      </c>
      <c r="F1297" s="14" t="inlineStr">
        <is>
          <t>9+</t>
        </is>
      </c>
      <c r="G1297" s="14" t="inlineStr">
        <is>
          <t>Divulgazione/Saggio</t>
        </is>
      </c>
      <c r="H1297" s="14" t="inlineStr">
        <is>
          <t>Diritti e cittadinanza</t>
        </is>
      </c>
      <c r="I1297" s="14" t="inlineStr">
        <is>
          <t>No</t>
        </is>
      </c>
      <c r="J1297" s="14" t="inlineStr">
        <is>
          <t>Verificata (IBS / editore)</t>
        </is>
      </c>
      <c r="K1297" s="14" t="inlineStr">
        <is>
          <t>9+</t>
        </is>
      </c>
      <c r="L1297" s="14" t="inlineStr">
        <is>
          <t>https://www.beccogiallo.it/categoria-prodotto/kids/</t>
        </is>
      </c>
      <c r="M1297" s="16" t="n">
        <v>14</v>
      </c>
      <c r="N1297" s="14" t="inlineStr">
        <is>
          <t>Sito BeccoGiallo (prezzo di listino)</t>
        </is>
      </c>
      <c r="O1297" s="16">
        <f>IF(ISNUMBER(M1297),ROUND(M1297*(1-Condizioni!$B$2),2),"")</f>
        <v/>
      </c>
      <c r="P1297" s="17" t="inlineStr">
        <is>
          <t>Sì</t>
        </is>
      </c>
    </row>
    <row r="1298">
      <c r="A1298" s="14" t="inlineStr">
        <is>
          <t>BeccoGiallo</t>
        </is>
      </c>
      <c r="B1298" s="14" t="inlineStr">
        <is>
          <t>La Resistenza spiegata ai bambini</t>
        </is>
      </c>
      <c r="C1298" s="14" t="inlineStr">
        <is>
          <t>Francesca Parmigiani</t>
        </is>
      </c>
      <c r="D1298" s="14" t="inlineStr">
        <is>
          <t>Kids / CriticalKids</t>
        </is>
      </c>
      <c r="E1298" s="14" t="inlineStr">
        <is>
          <t>da 9 anni</t>
        </is>
      </c>
      <c r="F1298" s="14" t="inlineStr">
        <is>
          <t>9+</t>
        </is>
      </c>
      <c r="G1298" s="14" t="inlineStr">
        <is>
          <t>Divulgazione/Saggio</t>
        </is>
      </c>
      <c r="H1298" s="14" t="inlineStr">
        <is>
          <t>Resistenza e libertà</t>
        </is>
      </c>
      <c r="I1298" s="14" t="inlineStr">
        <is>
          <t>No</t>
        </is>
      </c>
      <c r="J1298" s="14" t="inlineStr">
        <is>
          <t>Verificata (IBS / editore)</t>
        </is>
      </c>
      <c r="K1298" s="14" t="inlineStr">
        <is>
          <t>9+</t>
        </is>
      </c>
      <c r="L1298" s="14" t="inlineStr">
        <is>
          <t>https://www.beccogiallo.it/categoria-prodotto/kids/</t>
        </is>
      </c>
      <c r="M1298" s="16" t="n">
        <v>14</v>
      </c>
      <c r="N1298" s="14" t="inlineStr">
        <is>
          <t>Sito BeccoGiallo (prezzo di listino)</t>
        </is>
      </c>
      <c r="O1298" s="16">
        <f>IF(ISNUMBER(M1298),ROUND(M1298*(1-Condizioni!$B$2),2),"")</f>
        <v/>
      </c>
      <c r="P1298" s="17" t="inlineStr">
        <is>
          <t>Sì</t>
        </is>
      </c>
    </row>
    <row r="1299">
      <c r="A1299" s="14" t="inlineStr">
        <is>
          <t>BeccoGiallo</t>
        </is>
      </c>
      <c r="B1299" s="14" t="inlineStr">
        <is>
          <t>La disabilità spiegata ai bambini e alle bambine</t>
        </is>
      </c>
      <c r="C1299" s="14" t="inlineStr">
        <is>
          <t>(vedi scheda)</t>
        </is>
      </c>
      <c r="D1299" s="14" t="inlineStr">
        <is>
          <t>Kids / CriticalKids</t>
        </is>
      </c>
      <c r="E1299" s="14" t="inlineStr">
        <is>
          <t>da 6 anni</t>
        </is>
      </c>
      <c r="F1299" s="14" t="inlineStr">
        <is>
          <t>Prime letture (6-8)</t>
        </is>
      </c>
      <c r="G1299" s="14" t="inlineStr">
        <is>
          <t>Divulgazione/Saggio</t>
        </is>
      </c>
      <c r="H1299" s="14" t="inlineStr">
        <is>
          <t>Disabilità</t>
        </is>
      </c>
      <c r="I1299" s="14" t="inlineStr">
        <is>
          <t>No</t>
        </is>
      </c>
      <c r="J1299" s="14" t="inlineStr">
        <is>
          <t>Verificata (IBS / editore)</t>
        </is>
      </c>
      <c r="K1299" s="14" t="inlineStr">
        <is>
          <t>prime letture</t>
        </is>
      </c>
      <c r="L1299" s="14" t="inlineStr">
        <is>
          <t>https://www.beccogiallo.it/categoria-prodotto/kids/</t>
        </is>
      </c>
      <c r="M1299" s="16" t="n">
        <v>16</v>
      </c>
      <c r="N1299" s="14" t="inlineStr">
        <is>
          <t>Sito BeccoGiallo (prezzo di listino)</t>
        </is>
      </c>
      <c r="O1299" s="16">
        <f>IF(ISNUMBER(M1299),ROUND(M1299*(1-Condizioni!$B$2),2),"")</f>
        <v/>
      </c>
      <c r="P1299" s="17" t="inlineStr">
        <is>
          <t>Sì</t>
        </is>
      </c>
    </row>
    <row r="1300">
      <c r="A1300" s="14" t="inlineStr">
        <is>
          <t>BeccoGiallo</t>
        </is>
      </c>
      <c r="B1300" s="14" t="inlineStr">
        <is>
          <t>Le emozioni spiegate alle bambine e ai bambini</t>
        </is>
      </c>
      <c r="C1300" s="14" t="inlineStr">
        <is>
          <t>(vedi scheda)</t>
        </is>
      </c>
      <c r="D1300" s="14" t="inlineStr">
        <is>
          <t>Kids / CriticalKids</t>
        </is>
      </c>
      <c r="E1300" s="14" t="inlineStr">
        <is>
          <t>da 6 anni</t>
        </is>
      </c>
      <c r="F1300" s="14" t="inlineStr">
        <is>
          <t>Prime letture (6-8)</t>
        </is>
      </c>
      <c r="G1300" s="14" t="inlineStr">
        <is>
          <t>Divulgazione/Saggio</t>
        </is>
      </c>
      <c r="H1300" s="14" t="inlineStr">
        <is>
          <t>Emozioni</t>
        </is>
      </c>
      <c r="I1300" s="14" t="inlineStr">
        <is>
          <t>No</t>
        </is>
      </c>
      <c r="J1300" s="14" t="inlineStr">
        <is>
          <t>Verificata (IBS / editore)</t>
        </is>
      </c>
      <c r="K1300" s="14" t="inlineStr">
        <is>
          <t>prime letture</t>
        </is>
      </c>
      <c r="L1300" s="14" t="inlineStr">
        <is>
          <t>https://www.beccogiallo.it/categoria-prodotto/kids/</t>
        </is>
      </c>
      <c r="M1300" s="16" t="n">
        <v>16</v>
      </c>
      <c r="N1300" s="14" t="inlineStr">
        <is>
          <t>Sito BeccoGiallo (prezzo di listino)</t>
        </is>
      </c>
      <c r="O1300" s="16">
        <f>IF(ISNUMBER(M1300),ROUND(M1300*(1-Condizioni!$B$2),2),"")</f>
        <v/>
      </c>
      <c r="P1300" s="17" t="inlineStr">
        <is>
          <t>Sì</t>
        </is>
      </c>
    </row>
    <row r="1301">
      <c r="A1301" s="14" t="inlineStr">
        <is>
          <t>BeccoGiallo</t>
        </is>
      </c>
      <c r="B1301" s="14" t="inlineStr">
        <is>
          <t>Woman Power</t>
        </is>
      </c>
      <c r="C1301" s="14" t="inlineStr">
        <is>
          <t>(vedi scheda)</t>
        </is>
      </c>
      <c r="D1301" s="14" t="inlineStr">
        <is>
          <t>Kids / CriticalKids</t>
        </is>
      </c>
      <c r="E1301" s="14" t="inlineStr">
        <is>
          <t>da 6 anni</t>
        </is>
      </c>
      <c r="F1301" s="14" t="inlineStr">
        <is>
          <t>Prime letture (6-8)</t>
        </is>
      </c>
      <c r="G1301" s="14" t="inlineStr">
        <is>
          <t>Divulgazione/Saggio</t>
        </is>
      </c>
      <c r="H1301" s="14" t="inlineStr">
        <is>
          <t>Donne e parità</t>
        </is>
      </c>
      <c r="I1301" s="14" t="inlineStr">
        <is>
          <t>No</t>
        </is>
      </c>
      <c r="J1301" s="14" t="inlineStr">
        <is>
          <t>Verificata (IBS / editore)</t>
        </is>
      </c>
      <c r="K1301" s="14" t="inlineStr">
        <is>
          <t>prime letture</t>
        </is>
      </c>
      <c r="L1301" s="14" t="inlineStr">
        <is>
          <t>https://www.beccogiallo.it/categoria-prodotto/kids/</t>
        </is>
      </c>
      <c r="M1301" s="16" t="n">
        <v>19.5</v>
      </c>
      <c r="N1301" s="14" t="inlineStr">
        <is>
          <t>https://www.ibs.it/x/e/9788833143460</t>
        </is>
      </c>
      <c r="O1301" s="16">
        <f>IF(ISNUMBER(M1301),ROUND(M1301*(1-Condizioni!$B$2),2),"")</f>
        <v/>
      </c>
      <c r="P1301" s="17" t="inlineStr">
        <is>
          <t>Sì</t>
        </is>
      </c>
    </row>
  </sheetData>
  <autoFilter ref="A1:P130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Uovonero</t>
        </is>
      </c>
      <c r="B2" s="14" t="inlineStr">
        <is>
          <t>Biancaneve</t>
        </is>
      </c>
      <c r="C2" s="14" t="inlineStr">
        <is>
          <t>a cura di E. Crivelli; ill. T. D'Incalci</t>
        </is>
      </c>
      <c r="D2" s="14" t="inlineStr">
        <is>
          <t>Pesci parlanti</t>
        </is>
      </c>
      <c r="E2" s="14" t="inlineStr">
        <is>
          <t>0/3, 3/6</t>
        </is>
      </c>
      <c r="F2" s="14" t="inlineStr">
        <is>
          <t>0-3 anni</t>
        </is>
      </c>
      <c r="G2" s="14" t="inlineStr">
        <is>
          <t>Libro in simboli (CAA)</t>
        </is>
      </c>
      <c r="H2" s="14" t="inlineStr"/>
      <c r="I2" s="18" t="inlineStr">
        <is>
          <t>Sì</t>
        </is>
      </c>
      <c r="J2" s="14" t="inlineStr">
        <is>
          <t>Catalogo</t>
        </is>
      </c>
      <c r="K2" s="14" t="inlineStr">
        <is>
          <t>0-3 anni, CAA</t>
        </is>
      </c>
      <c r="L2" s="14" t="inlineStr">
        <is>
          <t>https://www.uovonero.com/libri</t>
        </is>
      </c>
      <c r="M2" s="19" t="n"/>
      <c r="N2" s="14" t="inlineStr"/>
      <c r="O2" s="16">
        <f>IF(ISNUMBER(M2),ROUND(M2*(1-Condizioni!$B$2),2),"")</f>
        <v/>
      </c>
      <c r="P2" s="17" t="inlineStr">
        <is>
          <t>Sì</t>
        </is>
      </c>
    </row>
    <row r="3">
      <c r="A3" s="14" t="inlineStr">
        <is>
          <t>Uovonero</t>
        </is>
      </c>
      <c r="B3" s="14" t="inlineStr">
        <is>
          <t>Che rabbia!</t>
        </is>
      </c>
      <c r="C3" s="14" t="inlineStr">
        <is>
          <t>Mireille D'Allancé</t>
        </is>
      </c>
      <c r="D3" s="14" t="inlineStr">
        <is>
          <t>I libri di Camilla</t>
        </is>
      </c>
      <c r="E3" s="14" t="inlineStr">
        <is>
          <t>0/3, 3/6</t>
        </is>
      </c>
      <c r="F3" s="14" t="inlineStr">
        <is>
          <t>0-3 anni</t>
        </is>
      </c>
      <c r="G3" s="14" t="inlineStr">
        <is>
          <t>Libro in simboli (CAA)</t>
        </is>
      </c>
      <c r="H3" s="14" t="inlineStr">
        <is>
          <t>Emozioni (rabbia)</t>
        </is>
      </c>
      <c r="I3" s="18" t="inlineStr">
        <is>
          <t>Sì</t>
        </is>
      </c>
      <c r="J3" s="14" t="inlineStr">
        <is>
          <t>Catalogo</t>
        </is>
      </c>
      <c r="K3" s="14" t="inlineStr">
        <is>
          <t>0-3 anni, CAA</t>
        </is>
      </c>
      <c r="L3" s="14" t="inlineStr">
        <is>
          <t>https://www.uovonero.com/libri</t>
        </is>
      </c>
      <c r="M3" s="16" t="n">
        <v>12</v>
      </c>
      <c r="N3" s="14" t="inlineStr">
        <is>
          <t>https://www.lafeltrinelli.it/libri/editori/uovonero</t>
        </is>
      </c>
      <c r="O3" s="16">
        <f>IF(ISNUMBER(M3),ROUND(M3*(1-Condizioni!$B$2),2),"")</f>
        <v/>
      </c>
      <c r="P3" s="17" t="inlineStr">
        <is>
          <t>Sì</t>
        </is>
      </c>
    </row>
    <row r="4">
      <c r="A4" s="14" t="inlineStr">
        <is>
          <t>Uovonero</t>
        </is>
      </c>
      <c r="B4" s="14" t="inlineStr">
        <is>
          <t>Domino gli aggettivi con i simboli</t>
        </is>
      </c>
      <c r="C4" s="14" t="inlineStr">
        <is>
          <t>E. Crivelli; ill. A. Manca</t>
        </is>
      </c>
      <c r="D4" s="14" t="inlineStr">
        <is>
          <t>Altrimenti (giochi)</t>
        </is>
      </c>
      <c r="E4" s="14" t="inlineStr">
        <is>
          <t>0/3, 3/6</t>
        </is>
      </c>
      <c r="F4" s="14" t="inlineStr">
        <is>
          <t>0-3 anni</t>
        </is>
      </c>
      <c r="G4" s="14" t="inlineStr">
        <is>
          <t>Gioco/Activity book</t>
        </is>
      </c>
      <c r="H4" s="14" t="inlineStr"/>
      <c r="I4" s="18" t="inlineStr">
        <is>
          <t>Sì</t>
        </is>
      </c>
      <c r="J4" s="14" t="inlineStr">
        <is>
          <t>Catalogo</t>
        </is>
      </c>
      <c r="K4" s="14" t="inlineStr">
        <is>
          <t>0-3 anni, CAA</t>
        </is>
      </c>
      <c r="L4" s="14" t="inlineStr">
        <is>
          <t>https://www.uovonero.com/libri</t>
        </is>
      </c>
      <c r="M4" s="19" t="n"/>
      <c r="N4" s="14" t="inlineStr"/>
      <c r="O4" s="16">
        <f>IF(ISNUMBER(M4),ROUND(M4*(1-Condizioni!$B$2),2),"")</f>
        <v/>
      </c>
      <c r="P4" s="17" t="inlineStr">
        <is>
          <t>Sì</t>
        </is>
      </c>
    </row>
    <row r="5">
      <c r="A5" s="14" t="inlineStr">
        <is>
          <t>Uovonero</t>
        </is>
      </c>
      <c r="B5" s="14" t="inlineStr">
        <is>
          <t>Domino i verbi con i simboli</t>
        </is>
      </c>
      <c r="C5" s="14" t="inlineStr">
        <is>
          <t>E. Crivelli; ill. A. Manca</t>
        </is>
      </c>
      <c r="D5" s="14" t="inlineStr">
        <is>
          <t>Altrimenti (giochi)</t>
        </is>
      </c>
      <c r="E5" s="14" t="inlineStr">
        <is>
          <t>0/3, 3/6</t>
        </is>
      </c>
      <c r="F5" s="14" t="inlineStr">
        <is>
          <t>0-3 anni</t>
        </is>
      </c>
      <c r="G5" s="14" t="inlineStr">
        <is>
          <t>Gioco/Activity book</t>
        </is>
      </c>
      <c r="H5" s="14" t="inlineStr"/>
      <c r="I5" s="18" t="inlineStr">
        <is>
          <t>Sì</t>
        </is>
      </c>
      <c r="J5" s="14" t="inlineStr">
        <is>
          <t>Catalogo</t>
        </is>
      </c>
      <c r="K5" s="14" t="inlineStr">
        <is>
          <t>0-3 anni, CAA</t>
        </is>
      </c>
      <c r="L5" s="14" t="inlineStr">
        <is>
          <t>https://www.uovonero.com/libri</t>
        </is>
      </c>
      <c r="M5" s="19" t="n"/>
      <c r="N5" s="14" t="inlineStr"/>
      <c r="O5" s="16">
        <f>IF(ISNUMBER(M5),ROUND(M5*(1-Condizioni!$B$2),2),"")</f>
        <v/>
      </c>
      <c r="P5" s="17" t="inlineStr">
        <is>
          <t>Sì</t>
        </is>
      </c>
    </row>
    <row r="6">
      <c r="A6" s="14" t="inlineStr">
        <is>
          <t>Uovonero</t>
        </is>
      </c>
      <c r="B6" s="14" t="inlineStr">
        <is>
          <t>I musicanti di Brema</t>
        </is>
      </c>
      <c r="C6" s="14" t="inlineStr">
        <is>
          <t>a cura di E. Crivelli; ill. A. Manca</t>
        </is>
      </c>
      <c r="D6" s="14" t="inlineStr">
        <is>
          <t>Pesci parlanti</t>
        </is>
      </c>
      <c r="E6" s="14" t="inlineStr">
        <is>
          <t>0/3, 3/6</t>
        </is>
      </c>
      <c r="F6" s="14" t="inlineStr">
        <is>
          <t>0-3 anni</t>
        </is>
      </c>
      <c r="G6" s="14" t="inlineStr">
        <is>
          <t>Libro in simboli (CAA)</t>
        </is>
      </c>
      <c r="H6" s="14" t="inlineStr">
        <is>
          <t>Cooperazione</t>
        </is>
      </c>
      <c r="I6" s="18" t="inlineStr">
        <is>
          <t>Sì</t>
        </is>
      </c>
      <c r="J6" s="14" t="inlineStr">
        <is>
          <t>Catalogo</t>
        </is>
      </c>
      <c r="K6" s="14" t="inlineStr">
        <is>
          <t>0-3 anni, CAA</t>
        </is>
      </c>
      <c r="L6" s="14" t="inlineStr">
        <is>
          <t>https://www.uovonero.com/libri</t>
        </is>
      </c>
      <c r="M6" s="19" t="n"/>
      <c r="N6" s="14" t="inlineStr"/>
      <c r="O6" s="16">
        <f>IF(ISNUMBER(M6),ROUND(M6*(1-Condizioni!$B$2),2),"")</f>
        <v/>
      </c>
      <c r="P6" s="17" t="inlineStr">
        <is>
          <t>Sì</t>
        </is>
      </c>
    </row>
    <row r="7">
      <c r="A7" s="14" t="inlineStr">
        <is>
          <t>Uovonero</t>
        </is>
      </c>
      <c r="B7" s="14" t="inlineStr">
        <is>
          <t>Il brutto anatroccolo</t>
        </is>
      </c>
      <c r="C7" s="14" t="inlineStr">
        <is>
          <t>a cura di E. Crivelli; ill. A. Papini</t>
        </is>
      </c>
      <c r="D7" s="14" t="inlineStr">
        <is>
          <t>Pesci parlanti</t>
        </is>
      </c>
      <c r="E7" s="14" t="inlineStr">
        <is>
          <t>0/3, 3/6</t>
        </is>
      </c>
      <c r="F7" s="14" t="inlineStr">
        <is>
          <t>0-3 anni</t>
        </is>
      </c>
      <c r="G7" s="14" t="inlineStr">
        <is>
          <t>Libro in simboli (CAA)</t>
        </is>
      </c>
      <c r="H7" s="14" t="inlineStr"/>
      <c r="I7" s="18" t="inlineStr">
        <is>
          <t>Sì</t>
        </is>
      </c>
      <c r="J7" s="14" t="inlineStr">
        <is>
          <t>Catalogo</t>
        </is>
      </c>
      <c r="K7" s="14" t="inlineStr">
        <is>
          <t>0-3 anni, CAA</t>
        </is>
      </c>
      <c r="L7" s="14" t="inlineStr">
        <is>
          <t>https://www.uovonero.com/libri</t>
        </is>
      </c>
      <c r="M7" s="19" t="n"/>
      <c r="N7" s="14" t="inlineStr"/>
      <c r="O7" s="16">
        <f>IF(ISNUMBER(M7),ROUND(M7*(1-Condizioni!$B$2),2),"")</f>
        <v/>
      </c>
      <c r="P7" s="17" t="inlineStr">
        <is>
          <t>Sì</t>
        </is>
      </c>
    </row>
    <row r="8">
      <c r="A8" s="14" t="inlineStr">
        <is>
          <t>Uovonero</t>
        </is>
      </c>
      <c r="B8" s="14" t="inlineStr">
        <is>
          <t>Il gatto con gli stivali</t>
        </is>
      </c>
      <c r="C8" s="14" t="inlineStr">
        <is>
          <t>a cura di E. Crivelli; ill. R. Angeletti</t>
        </is>
      </c>
      <c r="D8" s="14" t="inlineStr">
        <is>
          <t>Pesci parlanti</t>
        </is>
      </c>
      <c r="E8" s="14" t="inlineStr">
        <is>
          <t>0/3, 3/6</t>
        </is>
      </c>
      <c r="F8" s="14" t="inlineStr">
        <is>
          <t>0-3 anni</t>
        </is>
      </c>
      <c r="G8" s="14" t="inlineStr">
        <is>
          <t>Libro in simboli (CAA)</t>
        </is>
      </c>
      <c r="H8" s="14" t="inlineStr"/>
      <c r="I8" s="18" t="inlineStr">
        <is>
          <t>Sì</t>
        </is>
      </c>
      <c r="J8" s="14" t="inlineStr">
        <is>
          <t>Catalogo</t>
        </is>
      </c>
      <c r="K8" s="14" t="inlineStr">
        <is>
          <t>0-3 anni, CAA</t>
        </is>
      </c>
      <c r="L8" s="14" t="inlineStr">
        <is>
          <t>https://www.uovonero.com/libri</t>
        </is>
      </c>
      <c r="M8" s="19" t="n"/>
      <c r="N8" s="14" t="inlineStr"/>
      <c r="O8" s="16">
        <f>IF(ISNUMBER(M8),ROUND(M8*(1-Condizioni!$B$2),2),"")</f>
        <v/>
      </c>
      <c r="P8" s="17" t="inlineStr">
        <is>
          <t>Sì</t>
        </is>
      </c>
    </row>
    <row r="9">
      <c r="A9" s="14" t="inlineStr">
        <is>
          <t>Uovonero</t>
        </is>
      </c>
      <c r="B9" s="14" t="inlineStr">
        <is>
          <t>Il lupo e i sette capretti</t>
        </is>
      </c>
      <c r="C9" s="14" t="inlineStr">
        <is>
          <t>a cura di E. Crivelli; ill. A. Alemanno</t>
        </is>
      </c>
      <c r="D9" s="14" t="inlineStr">
        <is>
          <t>Pesci parlanti</t>
        </is>
      </c>
      <c r="E9" s="14" t="inlineStr">
        <is>
          <t>0/3, 3/6</t>
        </is>
      </c>
      <c r="F9" s="14" t="inlineStr">
        <is>
          <t>0-3 anni</t>
        </is>
      </c>
      <c r="G9" s="14" t="inlineStr">
        <is>
          <t>Libro in simboli (CAA)</t>
        </is>
      </c>
      <c r="H9" s="14" t="inlineStr"/>
      <c r="I9" s="18" t="inlineStr">
        <is>
          <t>Sì</t>
        </is>
      </c>
      <c r="J9" s="14" t="inlineStr">
        <is>
          <t>Catalogo</t>
        </is>
      </c>
      <c r="K9" s="14" t="inlineStr">
        <is>
          <t>0-3 anni, CAA</t>
        </is>
      </c>
      <c r="L9" s="14" t="inlineStr">
        <is>
          <t>https://www.uovonero.com/libri</t>
        </is>
      </c>
      <c r="M9" s="19" t="n"/>
      <c r="N9" s="14" t="inlineStr"/>
      <c r="O9" s="16">
        <f>IF(ISNUMBER(M9),ROUND(M9*(1-Condizioni!$B$2),2),"")</f>
        <v/>
      </c>
      <c r="P9" s="17" t="inlineStr">
        <is>
          <t>Sì</t>
        </is>
      </c>
    </row>
    <row r="10">
      <c r="A10" s="14" t="inlineStr">
        <is>
          <t>Uovonero</t>
        </is>
      </c>
      <c r="B10" s="14" t="inlineStr">
        <is>
          <t>Il piccolo coniglio bianco</t>
        </is>
      </c>
      <c r="C10" s="14" t="inlineStr">
        <is>
          <t>Xosé Ballesteros; ill. Óscar Villán</t>
        </is>
      </c>
      <c r="D10" s="14" t="inlineStr">
        <is>
          <t>I libri di Camilla</t>
        </is>
      </c>
      <c r="E10" s="14" t="inlineStr">
        <is>
          <t>0/3, 3/6</t>
        </is>
      </c>
      <c r="F10" s="14" t="inlineStr">
        <is>
          <t>0-3 anni</t>
        </is>
      </c>
      <c r="G10" s="14" t="inlineStr">
        <is>
          <t>Libro in simboli (CAA)</t>
        </is>
      </c>
      <c r="H10" s="14" t="inlineStr"/>
      <c r="I10" s="18" t="inlineStr">
        <is>
          <t>Sì</t>
        </is>
      </c>
      <c r="J10" s="14" t="inlineStr">
        <is>
          <t>Catalogo</t>
        </is>
      </c>
      <c r="K10" s="14" t="inlineStr">
        <is>
          <t>0-3 anni, CAA</t>
        </is>
      </c>
      <c r="L10" s="14" t="inlineStr">
        <is>
          <t>https://www.uovonero.com/libri</t>
        </is>
      </c>
      <c r="M10" s="19" t="n"/>
      <c r="N10" s="14" t="inlineStr"/>
      <c r="O10" s="16">
        <f>IF(ISNUMBER(M10),ROUND(M10*(1-Condizioni!$B$2),2),"")</f>
        <v/>
      </c>
      <c r="P10" s="17" t="inlineStr">
        <is>
          <t>Sì</t>
        </is>
      </c>
    </row>
    <row r="11">
      <c r="A11" s="14" t="inlineStr">
        <is>
          <t>Uovonero</t>
        </is>
      </c>
      <c r="B11" s="14" t="inlineStr">
        <is>
          <t>Lei ci sarà sempre</t>
        </is>
      </c>
      <c r="C11" s="14" t="inlineStr">
        <is>
          <t>Thierry Lenain; ill. Manon Gauthier</t>
        </is>
      </c>
      <c r="D11" s="14" t="inlineStr">
        <is>
          <t>I libri di Camilla</t>
        </is>
      </c>
      <c r="E11" s="14" t="inlineStr">
        <is>
          <t>0/3, 3/6</t>
        </is>
      </c>
      <c r="F11" s="14" t="inlineStr">
        <is>
          <t>0-3 anni</t>
        </is>
      </c>
      <c r="G11" s="14" t="inlineStr">
        <is>
          <t>Libro in simboli (CAA)</t>
        </is>
      </c>
      <c r="H11" s="14" t="inlineStr"/>
      <c r="I11" s="18" t="inlineStr">
        <is>
          <t>Sì</t>
        </is>
      </c>
      <c r="J11" s="14" t="inlineStr">
        <is>
          <t>Catalogo</t>
        </is>
      </c>
      <c r="K11" s="14" t="inlineStr">
        <is>
          <t>0-3 anni, CAA</t>
        </is>
      </c>
      <c r="L11" s="14" t="inlineStr">
        <is>
          <t>https://www.uovonero.com/libri</t>
        </is>
      </c>
      <c r="M11" s="19" t="n"/>
      <c r="N11" s="14" t="inlineStr"/>
      <c r="O11" s="16">
        <f>IF(ISNUMBER(M11),ROUND(M11*(1-Condizioni!$B$2),2),"")</f>
        <v/>
      </c>
      <c r="P11" s="17" t="inlineStr">
        <is>
          <t>Sì</t>
        </is>
      </c>
    </row>
    <row r="12">
      <c r="A12" s="14" t="inlineStr">
        <is>
          <t>Uovonero</t>
        </is>
      </c>
      <c r="B12" s="14" t="inlineStr">
        <is>
          <t>Lindo Porcello</t>
        </is>
      </c>
      <c r="C12" s="14" t="inlineStr">
        <is>
          <t>Eric Battut</t>
        </is>
      </c>
      <c r="D12" s="14" t="inlineStr">
        <is>
          <t>I libri di Camilla</t>
        </is>
      </c>
      <c r="E12" s="14" t="inlineStr">
        <is>
          <t>0/3</t>
        </is>
      </c>
      <c r="F12" s="14" t="inlineStr">
        <is>
          <t>0-3 anni</t>
        </is>
      </c>
      <c r="G12" s="14" t="inlineStr">
        <is>
          <t>Libro in simboli (CAA)</t>
        </is>
      </c>
      <c r="H12" s="14" t="inlineStr"/>
      <c r="I12" s="18" t="inlineStr">
        <is>
          <t>Sì</t>
        </is>
      </c>
      <c r="J12" s="14" t="inlineStr">
        <is>
          <t>Catalogo</t>
        </is>
      </c>
      <c r="K12" s="14" t="inlineStr">
        <is>
          <t>0-3 anni, CAA</t>
        </is>
      </c>
      <c r="L12" s="14" t="inlineStr">
        <is>
          <t>https://www.uovonero.com/libri</t>
        </is>
      </c>
      <c r="M12" s="19" t="n"/>
      <c r="N12" s="14" t="inlineStr"/>
      <c r="O12" s="16">
        <f>IF(ISNUMBER(M12),ROUND(M12*(1-Condizioni!$B$2),2),"")</f>
        <v/>
      </c>
      <c r="P12" s="17" t="inlineStr">
        <is>
          <t>Sì</t>
        </is>
      </c>
    </row>
    <row r="13">
      <c r="A13" s="14" t="inlineStr">
        <is>
          <t>Uovonero</t>
        </is>
      </c>
      <c r="B13" s="14" t="inlineStr">
        <is>
          <t>Ninna nanna per una pecorella</t>
        </is>
      </c>
      <c r="C13" s="14" t="inlineStr">
        <is>
          <t>E. Bellini, M. Caccia</t>
        </is>
      </c>
      <c r="D13" s="14" t="inlineStr">
        <is>
          <t>I libri di Camilla</t>
        </is>
      </c>
      <c r="E13" s="14" t="inlineStr">
        <is>
          <t>0/3, 3/6</t>
        </is>
      </c>
      <c r="F13" s="14" t="inlineStr">
        <is>
          <t>0-3 anni</t>
        </is>
      </c>
      <c r="G13" s="14" t="inlineStr">
        <is>
          <t>Libro in simboli (CAA)</t>
        </is>
      </c>
      <c r="H13" s="14" t="inlineStr"/>
      <c r="I13" s="18" t="inlineStr">
        <is>
          <t>Sì</t>
        </is>
      </c>
      <c r="J13" s="14" t="inlineStr">
        <is>
          <t>Catalogo</t>
        </is>
      </c>
      <c r="K13" s="14" t="inlineStr">
        <is>
          <t>0-3 anni, CAA</t>
        </is>
      </c>
      <c r="L13" s="14" t="inlineStr">
        <is>
          <t>https://www.uovonero.com/libri</t>
        </is>
      </c>
      <c r="M13" s="19" t="n"/>
      <c r="N13" s="14" t="inlineStr"/>
      <c r="O13" s="16">
        <f>IF(ISNUMBER(M13),ROUND(M13*(1-Condizioni!$B$2),2),"")</f>
        <v/>
      </c>
      <c r="P13" s="17" t="inlineStr">
        <is>
          <t>Sì</t>
        </is>
      </c>
    </row>
    <row r="14">
      <c r="A14" s="14" t="inlineStr">
        <is>
          <t>Uovonero</t>
        </is>
      </c>
      <c r="B14" s="14" t="inlineStr">
        <is>
          <t>Piccolo Uovo</t>
        </is>
      </c>
      <c r="C14" s="14" t="inlineStr">
        <is>
          <t>Francesca Pardi; ill. Altan</t>
        </is>
      </c>
      <c r="D14" s="14" t="inlineStr">
        <is>
          <t>I libri di Camilla</t>
        </is>
      </c>
      <c r="E14" s="14" t="inlineStr">
        <is>
          <t>0/3, 3/6</t>
        </is>
      </c>
      <c r="F14" s="14" t="inlineStr">
        <is>
          <t>0-3 anni</t>
        </is>
      </c>
      <c r="G14" s="14" t="inlineStr">
        <is>
          <t>Libro in simboli (CAA)</t>
        </is>
      </c>
      <c r="H14" s="14" t="inlineStr">
        <is>
          <t>Famiglie diverse (tema noto del libro, da verificare)</t>
        </is>
      </c>
      <c r="I14" s="18" t="inlineStr">
        <is>
          <t>Sì</t>
        </is>
      </c>
      <c r="J14" s="14" t="inlineStr">
        <is>
          <t>Catalogo</t>
        </is>
      </c>
      <c r="K14" s="14" t="inlineStr">
        <is>
          <t>0-3 anni, CAA</t>
        </is>
      </c>
      <c r="L14" s="14" t="inlineStr">
        <is>
          <t>https://www.uovonero.com/libri</t>
        </is>
      </c>
      <c r="M14" s="19" t="n"/>
      <c r="N14" s="14" t="inlineStr"/>
      <c r="O14" s="16">
        <f>IF(ISNUMBER(M14),ROUND(M14*(1-Condizioni!$B$2),2),"")</f>
        <v/>
      </c>
      <c r="P14" s="17" t="inlineStr">
        <is>
          <t>Sì</t>
        </is>
      </c>
    </row>
    <row r="15">
      <c r="A15" s="14" t="inlineStr">
        <is>
          <t>Uovonero</t>
        </is>
      </c>
      <c r="B15" s="14" t="inlineStr">
        <is>
          <t>Questo posso farlo</t>
        </is>
      </c>
      <c r="C15" s="14" t="inlineStr">
        <is>
          <t>Satoe Tone</t>
        </is>
      </c>
      <c r="D15" s="14" t="inlineStr">
        <is>
          <t>I libri di Camilla</t>
        </is>
      </c>
      <c r="E15" s="14" t="inlineStr">
        <is>
          <t>0/3, 3/6</t>
        </is>
      </c>
      <c r="F15" s="14" t="inlineStr">
        <is>
          <t>0-3 anni</t>
        </is>
      </c>
      <c r="G15" s="14" t="inlineStr">
        <is>
          <t>Libro in simboli (CAA)</t>
        </is>
      </c>
      <c r="H15" s="14" t="inlineStr">
        <is>
          <t>Disabilità</t>
        </is>
      </c>
      <c r="I15" s="18" t="inlineStr">
        <is>
          <t>Sì</t>
        </is>
      </c>
      <c r="J15" s="14" t="inlineStr">
        <is>
          <t>Catalogo</t>
        </is>
      </c>
      <c r="K15" s="14" t="inlineStr">
        <is>
          <t>0-3 anni, CAA</t>
        </is>
      </c>
      <c r="L15" s="14" t="inlineStr">
        <is>
          <t>https://www.uovonero.com/libri</t>
        </is>
      </c>
      <c r="M15" s="19" t="n"/>
      <c r="N15" s="14" t="inlineStr"/>
      <c r="O15" s="16">
        <f>IF(ISNUMBER(M15),ROUND(M15*(1-Condizioni!$B$2),2),"")</f>
        <v/>
      </c>
      <c r="P15" s="17" t="inlineStr">
        <is>
          <t>Sì</t>
        </is>
      </c>
    </row>
    <row r="16">
      <c r="A16" s="14" t="inlineStr">
        <is>
          <t>Uovonero</t>
        </is>
      </c>
      <c r="B16" s="14" t="inlineStr">
        <is>
          <t>Raperonzolo</t>
        </is>
      </c>
      <c r="C16" s="14" t="inlineStr">
        <is>
          <t>a cura di E. Crivelli; ill. A. Boffa</t>
        </is>
      </c>
      <c r="D16" s="14" t="inlineStr">
        <is>
          <t>Pesci parlanti</t>
        </is>
      </c>
      <c r="E16" s="14" t="inlineStr">
        <is>
          <t>0/3, 3/6</t>
        </is>
      </c>
      <c r="F16" s="14" t="inlineStr">
        <is>
          <t>0-3 anni</t>
        </is>
      </c>
      <c r="G16" s="14" t="inlineStr">
        <is>
          <t>Libro in simboli (CAA)</t>
        </is>
      </c>
      <c r="H16" s="14" t="inlineStr"/>
      <c r="I16" s="18" t="inlineStr">
        <is>
          <t>Sì</t>
        </is>
      </c>
      <c r="J16" s="14" t="inlineStr">
        <is>
          <t>Catalogo</t>
        </is>
      </c>
      <c r="K16" s="14" t="inlineStr">
        <is>
          <t>0-3 anni, CAA</t>
        </is>
      </c>
      <c r="L16" s="14" t="inlineStr">
        <is>
          <t>https://www.uovonero.com/libri</t>
        </is>
      </c>
      <c r="M16" s="19" t="n"/>
      <c r="N16" s="14" t="inlineStr"/>
      <c r="O16" s="16">
        <f>IF(ISNUMBER(M16),ROUND(M16*(1-Condizioni!$B$2),2),"")</f>
        <v/>
      </c>
      <c r="P16" s="17" t="inlineStr">
        <is>
          <t>Sì</t>
        </is>
      </c>
    </row>
    <row r="17">
      <c r="A17" s="14" t="inlineStr">
        <is>
          <t>Uovonero</t>
        </is>
      </c>
      <c r="B17" s="14" t="inlineStr">
        <is>
          <t>Una scatola gialla</t>
        </is>
      </c>
      <c r="C17" s="14" t="inlineStr">
        <is>
          <t>Pieter Gaudesaboos</t>
        </is>
      </c>
      <c r="D17" s="14" t="inlineStr">
        <is>
          <t>I libri di Camilla</t>
        </is>
      </c>
      <c r="E17" s="14" t="inlineStr">
        <is>
          <t>0/3, 3/6</t>
        </is>
      </c>
      <c r="F17" s="14" t="inlineStr">
        <is>
          <t>0-3 anni</t>
        </is>
      </c>
      <c r="G17" s="14" t="inlineStr">
        <is>
          <t>Libro in simboli (CAA)</t>
        </is>
      </c>
      <c r="H17" s="14" t="inlineStr"/>
      <c r="I17" s="18" t="inlineStr">
        <is>
          <t>Sì</t>
        </is>
      </c>
      <c r="J17" s="14" t="inlineStr">
        <is>
          <t>Catalogo</t>
        </is>
      </c>
      <c r="K17" s="14" t="inlineStr">
        <is>
          <t>0-3 anni, CAA</t>
        </is>
      </c>
      <c r="L17" s="14" t="inlineStr">
        <is>
          <t>https://www.uovonero.com/libri</t>
        </is>
      </c>
      <c r="M17" s="19" t="n"/>
      <c r="N17" s="14" t="inlineStr"/>
      <c r="O17" s="16">
        <f>IF(ISNUMBER(M17),ROUND(M17*(1-Condizioni!$B$2),2),"")</f>
        <v/>
      </c>
      <c r="P17" s="17" t="inlineStr">
        <is>
          <t>Sì</t>
        </is>
      </c>
    </row>
    <row r="18">
      <c r="A18" s="14" t="inlineStr">
        <is>
          <t>Uovonero</t>
        </is>
      </c>
      <c r="B18" s="14" t="inlineStr">
        <is>
          <t>I vestiti nuovi dell'imperatore</t>
        </is>
      </c>
      <c r="C18" s="14" t="inlineStr">
        <is>
          <t>a cura di E. Crivelli; ill. N. Corfini</t>
        </is>
      </c>
      <c r="D18" s="14" t="inlineStr">
        <is>
          <t>Pesci parlanti</t>
        </is>
      </c>
      <c r="E18" s="14" t="inlineStr">
        <is>
          <t>3/6</t>
        </is>
      </c>
      <c r="F18" s="14" t="inlineStr">
        <is>
          <t>3-6 anni</t>
        </is>
      </c>
      <c r="G18" s="14" t="inlineStr">
        <is>
          <t>Libro in simboli (CAA)</t>
        </is>
      </c>
      <c r="H18" s="14" t="inlineStr"/>
      <c r="I18" s="18" t="inlineStr">
        <is>
          <t>Sì</t>
        </is>
      </c>
      <c r="J18" s="14" t="inlineStr">
        <is>
          <t>Catalogo</t>
        </is>
      </c>
      <c r="K18" s="14" t="inlineStr">
        <is>
          <t>3-6 anni, CAA</t>
        </is>
      </c>
      <c r="L18" s="14" t="inlineStr">
        <is>
          <t>https://www.uovonero.com/libri</t>
        </is>
      </c>
      <c r="M18" s="19" t="n"/>
      <c r="N18" s="14" t="inlineStr"/>
      <c r="O18" s="16">
        <f>IF(ISNUMBER(M18),ROUND(M18*(1-Condizioni!$B$2),2),"")</f>
        <v/>
      </c>
      <c r="P18" s="17" t="inlineStr">
        <is>
          <t>Sì</t>
        </is>
      </c>
    </row>
    <row r="19">
      <c r="A19" s="14" t="inlineStr">
        <is>
          <t>Uovonero</t>
        </is>
      </c>
      <c r="B19" s="14" t="inlineStr">
        <is>
          <t>Le parole di Bianca sono farfalle</t>
        </is>
      </c>
      <c r="C19" s="14" t="inlineStr">
        <is>
          <t>Chiara Lorenzoni; ill. Sophie Fatus</t>
        </is>
      </c>
      <c r="D19" s="14" t="inlineStr">
        <is>
          <t>I libri di Camilla</t>
        </is>
      </c>
      <c r="E19" s="14" t="inlineStr">
        <is>
          <t>3/6, 6/9</t>
        </is>
      </c>
      <c r="F19" s="14" t="inlineStr">
        <is>
          <t>3-6 anni</t>
        </is>
      </c>
      <c r="G19" s="14" t="inlineStr">
        <is>
          <t>Libro in simboli (CAA)</t>
        </is>
      </c>
      <c r="H19" s="14" t="inlineStr">
        <is>
          <t>Disabilità / comunicazione</t>
        </is>
      </c>
      <c r="I19" s="18" t="inlineStr">
        <is>
          <t>Sì</t>
        </is>
      </c>
      <c r="J19" s="14" t="inlineStr">
        <is>
          <t>Catalogo</t>
        </is>
      </c>
      <c r="K19" s="14" t="inlineStr">
        <is>
          <t>3-6 anni, CAA</t>
        </is>
      </c>
      <c r="L19" s="14" t="inlineStr">
        <is>
          <t>https://www.uovonero.com/libri</t>
        </is>
      </c>
      <c r="M19" s="19" t="n"/>
      <c r="N19" s="14" t="inlineStr"/>
      <c r="O19" s="16">
        <f>IF(ISNUMBER(M19),ROUND(M19*(1-Condizioni!$B$2),2),"")</f>
        <v/>
      </c>
      <c r="P19" s="17" t="inlineStr">
        <is>
          <t>Sì</t>
        </is>
      </c>
    </row>
    <row r="20">
      <c r="A20" s="14" t="inlineStr">
        <is>
          <t>Uovonero</t>
        </is>
      </c>
      <c r="B20" s="14" t="inlineStr">
        <is>
          <t>I quaderni di #intantofaccioqualcosa 4 – Attività con la CAA</t>
        </is>
      </c>
      <c r="C20" s="14" t="inlineStr">
        <is>
          <t>a cura di Enza Crivelli</t>
        </is>
      </c>
      <c r="D20" s="14" t="inlineStr">
        <is>
          <t>I quaderni di #IFQ</t>
        </is>
      </c>
      <c r="E20" s="14" t="inlineStr">
        <is>
          <t>da 4 anni</t>
        </is>
      </c>
      <c r="F20" s="14" t="inlineStr">
        <is>
          <t>3-6 anni</t>
        </is>
      </c>
      <c r="G20" s="14" t="inlineStr">
        <is>
          <t>Gioco/Activity book</t>
        </is>
      </c>
      <c r="H20" s="14" t="inlineStr"/>
      <c r="I20" s="18" t="inlineStr">
        <is>
          <t>Sì</t>
        </is>
      </c>
      <c r="J20" s="14" t="inlineStr">
        <is>
          <t>Verificata (IBS / editore)</t>
        </is>
      </c>
      <c r="K20" s="14" t="inlineStr">
        <is>
          <t>3-6 anni, CAA</t>
        </is>
      </c>
      <c r="L20" s="14" t="inlineStr">
        <is>
          <t>https://www.uovonero.com/libri/i-quaderni</t>
        </is>
      </c>
      <c r="M20" s="16" t="n">
        <v>8.9</v>
      </c>
      <c r="N20" s="14" t="inlineStr">
        <is>
          <t>testo fornito da Bottegart (scheda Uovonero)</t>
        </is>
      </c>
      <c r="O20" s="16">
        <f>IF(ISNUMBER(M20),ROUND(M20*(1-Condizioni!$B$2),2),"")</f>
        <v/>
      </c>
      <c r="P20" s="17" t="inlineStr">
        <is>
          <t>Sì</t>
        </is>
      </c>
    </row>
    <row r="21">
      <c r="A21" s="14" t="inlineStr">
        <is>
          <t>Uovonero</t>
        </is>
      </c>
      <c r="B21" s="14" t="inlineStr">
        <is>
          <t>I quaderni di #intantofaccioqualcosa 6 – Attività con la CAA 2</t>
        </is>
      </c>
      <c r="C21" s="14" t="inlineStr">
        <is>
          <t>a cura di Enza Crivelli</t>
        </is>
      </c>
      <c r="D21" s="14" t="inlineStr">
        <is>
          <t>I quaderni di #IFQ</t>
        </is>
      </c>
      <c r="E21" s="14" t="inlineStr">
        <is>
          <t>da 4 anni</t>
        </is>
      </c>
      <c r="F21" s="14" t="inlineStr">
        <is>
          <t>3-6 anni</t>
        </is>
      </c>
      <c r="G21" s="14" t="inlineStr">
        <is>
          <t>Gioco/Activity book</t>
        </is>
      </c>
      <c r="H21" s="14" t="inlineStr"/>
      <c r="I21" s="18" t="inlineStr">
        <is>
          <t>Sì</t>
        </is>
      </c>
      <c r="J21" s="14" t="inlineStr">
        <is>
          <t>Verificata (IBS / editore)</t>
        </is>
      </c>
      <c r="K21" s="14" t="inlineStr">
        <is>
          <t>3-6 anni, CAA</t>
        </is>
      </c>
      <c r="L21" s="14" t="inlineStr">
        <is>
          <t>https://www.uovonero.com/libri/i-quaderni</t>
        </is>
      </c>
      <c r="M21" s="16" t="n">
        <v>8.9</v>
      </c>
      <c r="N21" s="14" t="inlineStr">
        <is>
          <t>https://www.uovonero.com/libri/i-quaderni</t>
        </is>
      </c>
      <c r="O21" s="16">
        <f>IF(ISNUMBER(M21),ROUND(M21*(1-Condizioni!$B$2),2),"")</f>
        <v/>
      </c>
      <c r="P21" s="17" t="inlineStr">
        <is>
          <t>Sì</t>
        </is>
      </c>
    </row>
    <row r="22">
      <c r="A22" s="14" t="inlineStr">
        <is>
          <t>Uovonero</t>
        </is>
      </c>
      <c r="B22" s="14" t="inlineStr">
        <is>
          <t>La principessa sul pisello</t>
        </is>
      </c>
      <c r="C22" s="14" t="inlineStr">
        <is>
          <t>a cura di E. Crivelli; ill. F. Corso</t>
        </is>
      </c>
      <c r="D22" s="14" t="inlineStr">
        <is>
          <t>Pesci parlanti</t>
        </is>
      </c>
      <c r="E22" s="14" t="inlineStr">
        <is>
          <t>da 4 anni</t>
        </is>
      </c>
      <c r="F22" s="14" t="inlineStr">
        <is>
          <t>3-6 anni</t>
        </is>
      </c>
      <c r="G22" s="14" t="inlineStr">
        <is>
          <t>Libro in simboli (CAA)</t>
        </is>
      </c>
      <c r="H22" s="14" t="inlineStr"/>
      <c r="I22" s="18" t="inlineStr">
        <is>
          <t>Sì</t>
        </is>
      </c>
      <c r="J22" s="14" t="inlineStr">
        <is>
          <t>Verificata (IBS / editore)</t>
        </is>
      </c>
      <c r="K22" s="14" t="inlineStr">
        <is>
          <t>3-6 anni, CAA</t>
        </is>
      </c>
      <c r="L22" s="14" t="inlineStr">
        <is>
          <t>https://www.uovonero.com/libri</t>
        </is>
      </c>
      <c r="M22" s="19" t="n"/>
      <c r="N22" s="14" t="inlineStr"/>
      <c r="O22" s="16">
        <f>IF(ISNUMBER(M22),ROUND(M22*(1-Condizioni!$B$2),2),"")</f>
        <v/>
      </c>
      <c r="P22" s="17" t="inlineStr">
        <is>
          <t>Sì</t>
        </is>
      </c>
    </row>
    <row r="23">
      <c r="A23" s="14" t="inlineStr">
        <is>
          <t>La Meridiana</t>
        </is>
      </c>
      <c r="B23" s="14" t="inlineStr">
        <is>
          <t>Cinque racconti brevi con protagonisti adolescenti (collana Parimenti)</t>
        </is>
      </c>
      <c r="C23" s="14" t="inlineStr">
        <is>
          <t>AA.VV.</t>
        </is>
      </c>
      <c r="D23" s="14" t="inlineStr">
        <is>
          <t>Parimenti. Proprio perché cresco</t>
        </is>
      </c>
      <c r="E23" s="14" t="inlineStr">
        <is>
          <t>adolescenti / giovani-adulti</t>
        </is>
      </c>
      <c r="F23" s="14" t="inlineStr">
        <is>
          <t>Adolescenza (14+)</t>
        </is>
      </c>
      <c r="G23" s="14" t="inlineStr">
        <is>
          <t>Narrativa</t>
        </is>
      </c>
      <c r="H23" s="14" t="inlineStr">
        <is>
          <t>Inclusione: lettura per disabilità cognitive e linguistiche</t>
        </is>
      </c>
      <c r="I23" s="18" t="inlineStr">
        <is>
          <t>Sì</t>
        </is>
      </c>
      <c r="J23" s="14" t="inlineStr">
        <is>
          <t>Tolto: è lo stesso libro di “A Said piaceva il mare” (cinque storie di adolescenti, collana Parimenti)</t>
        </is>
      </c>
      <c r="K23" s="14" t="inlineStr">
        <is>
          <t>adolescenza, narrativa, CAA</t>
        </is>
      </c>
      <c r="L23" s="14" t="inlineStr">
        <is>
          <t>https://www.lameridiana.it/blog/post/cs-09112021/</t>
        </is>
      </c>
      <c r="M23" s="19" t="n"/>
      <c r="N23" s="14" t="inlineStr"/>
      <c r="O23" s="16">
        <f>IF(ISNUMBER(M23),ROUND(M23*(1-Condizioni!$B$2),2),"")</f>
        <v/>
      </c>
      <c r="P23" s="17" t="inlineStr">
        <is>
          <t>No</t>
        </is>
      </c>
    </row>
    <row r="24">
      <c r="A24" s="14" t="inlineStr">
        <is>
          <t>La Meridiana</t>
        </is>
      </c>
      <c r="B24" s="14" t="inlineStr">
        <is>
          <t>Dracula</t>
        </is>
      </c>
      <c r="C24" s="14" t="inlineStr">
        <is>
          <t>Bram Stoker</t>
        </is>
      </c>
      <c r="D24" s="14" t="inlineStr">
        <is>
          <t>Libri accessibili in CAA e in simboli (anche Parimenti. Proprio perché cresco)</t>
        </is>
      </c>
      <c r="E24" s="14" t="inlineStr">
        <is>
          <t>n.d. (collana Parimenti per giovani-adulti)</t>
        </is>
      </c>
      <c r="F24" s="14" t="inlineStr">
        <is>
          <t>Adolescenza (14+)</t>
        </is>
      </c>
      <c r="G24" s="14" t="inlineStr">
        <is>
          <t>Classico illustrato</t>
        </is>
      </c>
      <c r="H24" s="14" t="inlineStr"/>
      <c r="I24" s="18" t="inlineStr">
        <is>
          <t>Sì</t>
        </is>
      </c>
      <c r="J24" s="15" t="inlineStr">
        <is>
          <t>Da verificare</t>
        </is>
      </c>
      <c r="K24" s="14" t="inlineStr">
        <is>
          <t>adolescenza, CAA</t>
        </is>
      </c>
      <c r="L24" s="14" t="inlineStr">
        <is>
          <t>https://www.lameridiana.it/categorie/libri-per-una-cultura-accessibile/libri-accessibili.html</t>
        </is>
      </c>
      <c r="M24" s="16" t="n">
        <v>12.34</v>
      </c>
      <c r="N24" s="14" t="inlineStr">
        <is>
          <t>https://www.lameridiana.it/categorie/libri-per-una-cultura-accessibile/libri-accessibili.html (prezzo 'da' indicato sul sito, formato non specificato: verificare)</t>
        </is>
      </c>
      <c r="O24" s="16">
        <f>IF(ISNUMBER(M24),ROUND(M24*(1-Condizioni!$B$2),2),"")</f>
        <v/>
      </c>
      <c r="P24" s="17" t="inlineStr">
        <is>
          <t>Sì</t>
        </is>
      </c>
    </row>
    <row r="25">
      <c r="A25" s="14" t="inlineStr">
        <is>
          <t>La Meridiana</t>
        </is>
      </c>
      <c r="B25" s="14" t="inlineStr">
        <is>
          <t>Il diario di Anna Frank</t>
        </is>
      </c>
      <c r="C25" s="14" t="inlineStr">
        <is>
          <t>Anna Frank</t>
        </is>
      </c>
      <c r="D25" s="14" t="inlineStr">
        <is>
          <t>Libri accessibili in CAA e in simboli (anche Parimenti. Proprio perché cresco)</t>
        </is>
      </c>
      <c r="E25" s="14" t="inlineStr">
        <is>
          <t>n.d. (collana Parimenti per giovani-adulti)</t>
        </is>
      </c>
      <c r="F25" s="14" t="inlineStr">
        <is>
          <t>Adolescenza (14+)</t>
        </is>
      </c>
      <c r="G25" s="14" t="inlineStr">
        <is>
          <t>Narrativa</t>
        </is>
      </c>
      <c r="H25" s="14" t="inlineStr">
        <is>
          <t>Memoria della Shoah</t>
        </is>
      </c>
      <c r="I25" s="18" t="inlineStr">
        <is>
          <t>Sì</t>
        </is>
      </c>
      <c r="J25" s="15" t="inlineStr">
        <is>
          <t>Da verificare</t>
        </is>
      </c>
      <c r="K25" s="14" t="inlineStr">
        <is>
          <t>adolescenza, narrativa, CAA</t>
        </is>
      </c>
      <c r="L25" s="14" t="inlineStr">
        <is>
          <t>https://www.lameridiana.it/categorie/libri-per-una-cultura-accessibile/libri-accessibili.html</t>
        </is>
      </c>
      <c r="M25" s="16" t="n">
        <v>12.34</v>
      </c>
      <c r="N25" s="14" t="inlineStr">
        <is>
          <t>https://www.lameridiana.it/categorie/libri-per-una-cultura-accessibile/libri-accessibili.html (prezzo 'da' indicato sul sito, formato non specificato: verificare)</t>
        </is>
      </c>
      <c r="O25" s="16">
        <f>IF(ISNUMBER(M25),ROUND(M25*(1-Condizioni!$B$2),2),"")</f>
        <v/>
      </c>
      <c r="P25" s="17" t="inlineStr">
        <is>
          <t>Sì</t>
        </is>
      </c>
    </row>
    <row r="26">
      <c r="A26" s="14" t="inlineStr">
        <is>
          <t>La Meridiana</t>
        </is>
      </c>
      <c r="B26" s="14" t="inlineStr">
        <is>
          <t>Piccole donne</t>
        </is>
      </c>
      <c r="C26" s="14" t="inlineStr">
        <is>
          <t>Louisa May Alcott</t>
        </is>
      </c>
      <c r="D26" s="14" t="inlineStr">
        <is>
          <t>Libri accessibili in CAA e in simboli (anche Parimenti. Proprio perché cresco)</t>
        </is>
      </c>
      <c r="E26" s="14" t="inlineStr">
        <is>
          <t>n.d. (collana Parimenti per giovani-adulti)</t>
        </is>
      </c>
      <c r="F26" s="14" t="inlineStr">
        <is>
          <t>Adolescenza (14+)</t>
        </is>
      </c>
      <c r="G26" s="14" t="inlineStr">
        <is>
          <t>Classico illustrato</t>
        </is>
      </c>
      <c r="H26" s="14" t="inlineStr"/>
      <c r="I26" s="18" t="inlineStr">
        <is>
          <t>Sì</t>
        </is>
      </c>
      <c r="J26" s="15" t="inlineStr">
        <is>
          <t>Da verificare</t>
        </is>
      </c>
      <c r="K26" s="14" t="inlineStr">
        <is>
          <t>adolescenza, CAA</t>
        </is>
      </c>
      <c r="L26" s="14" t="inlineStr">
        <is>
          <t>https://www.lameridiana.it/categorie/libri-per-una-cultura-accessibile/libri-accessibili.html</t>
        </is>
      </c>
      <c r="M26" s="16" t="n">
        <v>16</v>
      </c>
      <c r="N26" s="14" t="inlineStr">
        <is>
          <t>https://www.ibs.it/x/e/9791256260539</t>
        </is>
      </c>
      <c r="O26" s="16">
        <f>IF(ISNUMBER(M26),ROUND(M26*(1-Condizioni!$B$2),2),"")</f>
        <v/>
      </c>
      <c r="P26" s="17" t="inlineStr">
        <is>
          <t>Sì</t>
        </is>
      </c>
    </row>
    <row r="27">
      <c r="A27" s="14" t="inlineStr">
        <is>
          <t>La Meridiana</t>
        </is>
      </c>
      <c r="B27" s="14" t="inlineStr">
        <is>
          <t>A Said piaceva il mare</t>
        </is>
      </c>
      <c r="C27" s="14" t="inlineStr">
        <is>
          <t>n.d.</t>
        </is>
      </c>
      <c r="D27" s="14" t="inlineStr">
        <is>
          <t>Libri accessibili in CAA e in simboli (anche Parimenti. Proprio perché cresco)</t>
        </is>
      </c>
      <c r="E27" s="14" t="inlineStr">
        <is>
          <t>n.d. (collana Parimenti per giovani-adulti)</t>
        </is>
      </c>
      <c r="F27" s="14" t="inlineStr">
        <is>
          <t>10+</t>
        </is>
      </c>
      <c r="G27" s="14" t="inlineStr">
        <is>
          <t>Narrativa</t>
        </is>
      </c>
      <c r="H27" s="14" t="inlineStr">
        <is>
          <t>Migrazione / accoglienza (da verificare)</t>
        </is>
      </c>
      <c r="I27" s="18" t="inlineStr">
        <is>
          <t>Sì</t>
        </is>
      </c>
      <c r="J27" s="15" t="inlineStr">
        <is>
          <t>Da verificare</t>
        </is>
      </c>
      <c r="K27" s="14" t="inlineStr">
        <is>
          <t>10+, narrativa, CAA</t>
        </is>
      </c>
      <c r="L27" s="14" t="inlineStr">
        <is>
          <t>https://www.lameridiana.it/categorie/libri-per-una-cultura-accessibile/libri-accessibili.html</t>
        </is>
      </c>
      <c r="M27" s="16" t="n">
        <v>12.34</v>
      </c>
      <c r="N27" s="14" t="inlineStr">
        <is>
          <t>https://www.lameridiana.it/categorie/libri-per-una-cultura-accessibile/libri-accessibili.html (prezzo 'da' indicato sul sito, formato non specificato: verificare)</t>
        </is>
      </c>
      <c r="O27" s="16">
        <f>IF(ISNUMBER(M27),ROUND(M27*(1-Condizioni!$B$2),2),"")</f>
        <v/>
      </c>
      <c r="P27" s="17" t="inlineStr">
        <is>
          <t>Sì</t>
        </is>
      </c>
    </row>
    <row r="28">
      <c r="A28" s="14" t="inlineStr">
        <is>
          <t>La Meridiana</t>
        </is>
      </c>
      <c r="B28" s="14" t="inlineStr">
        <is>
          <t>Canto di Natale</t>
        </is>
      </c>
      <c r="C28" s="14" t="inlineStr">
        <is>
          <t>Charles Dickens</t>
        </is>
      </c>
      <c r="D28" s="14" t="inlineStr">
        <is>
          <t>Libri accessibili in CAA e in simboli (anche Parimenti. Proprio perché cresco)</t>
        </is>
      </c>
      <c r="E28" s="14" t="inlineStr">
        <is>
          <t>n.d. (collana Parimenti per giovani-adulti)</t>
        </is>
      </c>
      <c r="F28" s="14" t="inlineStr">
        <is>
          <t>8+</t>
        </is>
      </c>
      <c r="G28" s="14" t="inlineStr">
        <is>
          <t>Classico illustrato</t>
        </is>
      </c>
      <c r="H28" s="14" t="inlineStr"/>
      <c r="I28" s="18" t="inlineStr">
        <is>
          <t>Sì</t>
        </is>
      </c>
      <c r="J28" s="15" t="inlineStr">
        <is>
          <t>Da verificare</t>
        </is>
      </c>
      <c r="K28" s="14" t="inlineStr">
        <is>
          <t>8+, CAA</t>
        </is>
      </c>
      <c r="L28" s="14" t="inlineStr">
        <is>
          <t>https://www.lameridiana.it/categorie/libri-per-una-cultura-accessibile/libri-accessibili.html</t>
        </is>
      </c>
      <c r="M28" s="16" t="n">
        <v>12.34</v>
      </c>
      <c r="N28" s="14" t="inlineStr">
        <is>
          <t>https://www.lameridiana.it/categorie/libri-per-una-cultura-accessibile/libri-accessibili.html (prezzo 'da' indicato sul sito, formato non specificato: verificare)</t>
        </is>
      </c>
      <c r="O28" s="16">
        <f>IF(ISNUMBER(M28),ROUND(M28*(1-Condizioni!$B$2),2),"")</f>
        <v/>
      </c>
      <c r="P28" s="17" t="inlineStr">
        <is>
          <t>Sì</t>
        </is>
      </c>
    </row>
    <row r="29">
      <c r="A29" s="14" t="inlineStr">
        <is>
          <t>La Meridiana</t>
        </is>
      </c>
      <c r="B29" s="14" t="inlineStr">
        <is>
          <t>Frida Kahlo pittrice coraggiosa</t>
        </is>
      </c>
      <c r="C29" s="14" t="inlineStr">
        <is>
          <t>Teresa Righetti</t>
        </is>
      </c>
      <c r="D29" s="14" t="inlineStr">
        <is>
          <t>Libri accessibili in CAA e in simboli (anche Parimenti. Proprio perché cresco)</t>
        </is>
      </c>
      <c r="E29" s="14" t="inlineStr">
        <is>
          <t>n.d. (collana Parimenti per giovani-adulti)</t>
        </is>
      </c>
      <c r="F29" s="14" t="inlineStr">
        <is>
          <t>8+</t>
        </is>
      </c>
      <c r="G29" s="14" t="inlineStr">
        <is>
          <t>Divulgazione/Saggio</t>
        </is>
      </c>
      <c r="H29" s="14" t="inlineStr">
        <is>
          <t>Disabilità e coraggio (da verificare)</t>
        </is>
      </c>
      <c r="I29" s="18" t="inlineStr">
        <is>
          <t>Sì</t>
        </is>
      </c>
      <c r="J29" s="15" t="inlineStr">
        <is>
          <t>Da verificare</t>
        </is>
      </c>
      <c r="K29" s="14" t="inlineStr">
        <is>
          <t>8+, CAA</t>
        </is>
      </c>
      <c r="L29" s="14" t="inlineStr">
        <is>
          <t>https://www.lameridiana.it/categorie/libri-per-una-cultura-accessibile/libri-accessibili.html</t>
        </is>
      </c>
      <c r="M29" s="16" t="n">
        <v>14.73</v>
      </c>
      <c r="N29" s="14" t="inlineStr">
        <is>
          <t>https://www.lameridiana.it/categorie/libri-per-una-cultura-accessibile/libri-accessibili.html (prezzo 'da' indicato sul sito, formato non specificato: verificare)</t>
        </is>
      </c>
      <c r="O29" s="16">
        <f>IF(ISNUMBER(M29),ROUND(M29*(1-Condizioni!$B$2),2),"")</f>
        <v/>
      </c>
      <c r="P29" s="17" t="inlineStr">
        <is>
          <t>Sì</t>
        </is>
      </c>
    </row>
    <row r="30">
      <c r="A30" s="14" t="inlineStr">
        <is>
          <t>La Meridiana</t>
        </is>
      </c>
      <c r="B30" s="14" t="inlineStr">
        <is>
          <t>Giacomo di cristallo e altre storie</t>
        </is>
      </c>
      <c r="C30" s="14" t="inlineStr">
        <is>
          <t>Gianni Rodari</t>
        </is>
      </c>
      <c r="D30" s="14" t="inlineStr">
        <is>
          <t>Libri accessibili in CAA e in simboli (anche Parimenti. Proprio perché cresco)</t>
        </is>
      </c>
      <c r="E30" s="14" t="inlineStr">
        <is>
          <t>n.d. (collana Parimenti per giovani-adulti)</t>
        </is>
      </c>
      <c r="F30" s="14" t="inlineStr">
        <is>
          <t>Prime letture (6-8)</t>
        </is>
      </c>
      <c r="G30" s="14" t="inlineStr">
        <is>
          <t>Classico illustrato</t>
        </is>
      </c>
      <c r="H30" s="14" t="inlineStr"/>
      <c r="I30" s="18" t="inlineStr">
        <is>
          <t>Sì</t>
        </is>
      </c>
      <c r="J30" s="15" t="inlineStr">
        <is>
          <t>Da verificare</t>
        </is>
      </c>
      <c r="K30" s="14" t="inlineStr">
        <is>
          <t>prime letture, CAA</t>
        </is>
      </c>
      <c r="L30" s="14" t="inlineStr">
        <is>
          <t>https://www.lameridiana.it/categorie/libri-per-una-cultura-accessibile/libri-accessibili.html</t>
        </is>
      </c>
      <c r="M30" s="16" t="n">
        <v>12.34</v>
      </c>
      <c r="N30" s="14" t="inlineStr">
        <is>
          <t>https://www.lameridiana.it/categorie/libri-per-una-cultura-accessibile/libri-accessibili.html (prezzo 'da' indicato sul sito, formato non specificato: verificare)</t>
        </is>
      </c>
      <c r="O30" s="16">
        <f>IF(ISNUMBER(M30),ROUND(M30*(1-Condizioni!$B$2),2),"")</f>
        <v/>
      </c>
      <c r="P30" s="17" t="inlineStr">
        <is>
          <t>Sì</t>
        </is>
      </c>
    </row>
    <row r="31">
      <c r="A31" s="14" t="inlineStr">
        <is>
          <t>La Meridiana</t>
        </is>
      </c>
      <c r="B31" s="14" t="inlineStr">
        <is>
          <t>Il mio Afghanistan (CAA)</t>
        </is>
      </c>
      <c r="C31" s="14" t="inlineStr">
        <is>
          <t>n.d.</t>
        </is>
      </c>
      <c r="D31" s="14" t="inlineStr">
        <is>
          <t>Libri accessibili in CAA e in simboli (anche Parimenti. Proprio perché cresco)</t>
        </is>
      </c>
      <c r="E31" s="14" t="inlineStr">
        <is>
          <t>da 12 anni</t>
        </is>
      </c>
      <c r="F31" s="14" t="inlineStr">
        <is>
          <t>Scuola media (11-13)</t>
        </is>
      </c>
      <c r="G31" s="14" t="inlineStr">
        <is>
          <t>Narrativa</t>
        </is>
      </c>
      <c r="H31" s="14" t="inlineStr">
        <is>
          <t>Migrazione / culture (da verificare)</t>
        </is>
      </c>
      <c r="I31" s="18" t="inlineStr">
        <is>
          <t>Sì</t>
        </is>
      </c>
      <c r="J31" s="14" t="inlineStr">
        <is>
          <t>Verificata (Bottegart)</t>
        </is>
      </c>
      <c r="K31" s="14" t="inlineStr">
        <is>
          <t>prima/seconda/terza media, narrativa, CAA</t>
        </is>
      </c>
      <c r="L31" s="14" t="inlineStr">
        <is>
          <t>https://www.lameridiana.it/categorie/libri-per-una-cultura-accessibile/libri-accessibili.html</t>
        </is>
      </c>
      <c r="M31" s="16" t="n">
        <v>12.34</v>
      </c>
      <c r="N31" s="14" t="inlineStr">
        <is>
          <t>https://www.lameridiana.it/categorie/libri-per-una-cultura-accessibile/libri-accessibili.html (prezzo 'da' indicato sul sito, formato non specificato: verificare)</t>
        </is>
      </c>
      <c r="O31" s="16">
        <f>IF(ISNUMBER(M31),ROUND(M31*(1-Condizioni!$B$2),2),"")</f>
        <v/>
      </c>
      <c r="P31" s="17" t="inlineStr">
        <is>
          <t>Sì</t>
        </is>
      </c>
    </row>
    <row r="32">
      <c r="A32" s="14" t="inlineStr">
        <is>
          <t>La Meridiana</t>
        </is>
      </c>
      <c r="B32" s="14" t="inlineStr">
        <is>
          <t>L'albero del riccio</t>
        </is>
      </c>
      <c r="C32" s="14" t="inlineStr">
        <is>
          <t>n.d.</t>
        </is>
      </c>
      <c r="D32" s="14" t="inlineStr">
        <is>
          <t>Libri accessibili in CAA e in simboli (anche Parimenti. Proprio perché cresco)</t>
        </is>
      </c>
      <c r="E32" s="14" t="inlineStr">
        <is>
          <t>n.d. (collana Parimenti per giovani-adulti)</t>
        </is>
      </c>
      <c r="F32" s="14" t="inlineStr">
        <is>
          <t>10+</t>
        </is>
      </c>
      <c r="G32" s="14" t="inlineStr">
        <is>
          <t>Albo illustrato</t>
        </is>
      </c>
      <c r="H32" s="14" t="inlineStr"/>
      <c r="I32" s="18" t="inlineStr">
        <is>
          <t>Sì</t>
        </is>
      </c>
      <c r="J32" s="15" t="inlineStr">
        <is>
          <t>Da verificare</t>
        </is>
      </c>
      <c r="K32" s="14" t="inlineStr">
        <is>
          <t>10+, CAA</t>
        </is>
      </c>
      <c r="L32" s="14" t="inlineStr">
        <is>
          <t>https://www.lameridiana.it/categorie/libri-per-una-cultura-accessibile/libri-accessibili.html</t>
        </is>
      </c>
      <c r="M32" s="16" t="n">
        <v>15.2</v>
      </c>
      <c r="N32" s="14" t="inlineStr">
        <is>
          <t>https://www.lameridiana.it/categorie/libri-per-una-cultura-accessibile/libri-accessibili.html (prezzo 'da' indicato sul sito, formato non specificato: verificare)</t>
        </is>
      </c>
      <c r="O32" s="16">
        <f>IF(ISNUMBER(M32),ROUND(M32*(1-Condizioni!$B$2),2),"")</f>
        <v/>
      </c>
      <c r="P32" s="17" t="inlineStr">
        <is>
          <t>Sì</t>
        </is>
      </c>
    </row>
    <row r="33">
      <c r="A33" s="14" t="inlineStr">
        <is>
          <t>La Meridiana</t>
        </is>
      </c>
      <c r="B33" s="14" t="inlineStr">
        <is>
          <t>La Puglia è una favola</t>
        </is>
      </c>
      <c r="C33" s="14" t="inlineStr">
        <is>
          <t>n.d.</t>
        </is>
      </c>
      <c r="D33" s="14" t="inlineStr">
        <is>
          <t>Libri accessibili in CAA e in simboli (anche Parimenti. Proprio perché cresco)</t>
        </is>
      </c>
      <c r="E33" s="14" t="inlineStr">
        <is>
          <t>n.d. (collana Parimenti per giovani-adulti)</t>
        </is>
      </c>
      <c r="F33" s="14" t="inlineStr">
        <is>
          <t>Prime letture (6-8)</t>
        </is>
      </c>
      <c r="G33" s="14" t="inlineStr">
        <is>
          <t>Albo illustrato</t>
        </is>
      </c>
      <c r="H33" s="14" t="inlineStr"/>
      <c r="I33" s="18" t="inlineStr">
        <is>
          <t>Sì</t>
        </is>
      </c>
      <c r="J33" s="15" t="inlineStr">
        <is>
          <t>Da verificare</t>
        </is>
      </c>
      <c r="K33" s="14" t="inlineStr">
        <is>
          <t>prime letture, CAA</t>
        </is>
      </c>
      <c r="L33" s="14" t="inlineStr">
        <is>
          <t>https://www.lameridiana.it/categorie/libri-per-una-cultura-accessibile/libri-accessibili.html</t>
        </is>
      </c>
      <c r="M33" s="16" t="n">
        <v>17.1</v>
      </c>
      <c r="N33" s="14" t="inlineStr">
        <is>
          <t>https://www.lameridiana.it/categorie/libri-per-una-cultura-accessibile/libri-accessibili.html (prezzo 'da' indicato sul sito, formato non specificato: verificare)</t>
        </is>
      </c>
      <c r="O33" s="16">
        <f>IF(ISNUMBER(M33),ROUND(M33*(1-Condizioni!$B$2),2),"")</f>
        <v/>
      </c>
      <c r="P33" s="17" t="inlineStr">
        <is>
          <t>Sì</t>
        </is>
      </c>
    </row>
    <row r="34">
      <c r="A34" s="14" t="inlineStr">
        <is>
          <t>La Meridiana</t>
        </is>
      </c>
      <c r="B34" s="14" t="inlineStr">
        <is>
          <t>Milagro in CAA</t>
        </is>
      </c>
      <c r="C34" s="14" t="inlineStr">
        <is>
          <t>n.d.</t>
        </is>
      </c>
      <c r="D34" s="14" t="inlineStr">
        <is>
          <t>Libri accessibili in CAA e in simboli (anche Parimenti. Proprio perché cresco)</t>
        </is>
      </c>
      <c r="E34" s="14" t="inlineStr">
        <is>
          <t>dai 12-14 anni in su</t>
        </is>
      </c>
      <c r="F34" s="14" t="inlineStr">
        <is>
          <t>Scuola media (11-13)</t>
        </is>
      </c>
      <c r="G34" s="14" t="inlineStr">
        <is>
          <t>Narrativa</t>
        </is>
      </c>
      <c r="H34" s="14" t="inlineStr"/>
      <c r="I34" s="18" t="inlineStr">
        <is>
          <t>Sì</t>
        </is>
      </c>
      <c r="J34" s="14" t="inlineStr">
        <is>
          <t>Verificata (Bottegart)</t>
        </is>
      </c>
      <c r="K34" s="14" t="inlineStr">
        <is>
          <t>prima/seconda/terza media, narrativa, CAA</t>
        </is>
      </c>
      <c r="L34" s="14" t="inlineStr">
        <is>
          <t>https://www.lameridiana.it/categorie/libri-per-una-cultura-accessibile/libri-accessibili.html</t>
        </is>
      </c>
      <c r="M34" s="16" t="n">
        <v>15.2</v>
      </c>
      <c r="N34" s="14" t="inlineStr">
        <is>
          <t>https://www.lameridiana.it/categorie/libri-per-una-cultura-accessibile/libri-accessibili.html (prezzo 'da' indicato sul sito, formato non specificato: verificare)</t>
        </is>
      </c>
      <c r="O34" s="16">
        <f>IF(ISNUMBER(M34),ROUND(M34*(1-Condizioni!$B$2),2),"")</f>
        <v/>
      </c>
      <c r="P34" s="17" t="inlineStr">
        <is>
          <t>Sì</t>
        </is>
      </c>
    </row>
    <row r="35">
      <c r="A35" s="14" t="inlineStr">
        <is>
          <t>La Meridiana</t>
        </is>
      </c>
      <c r="B35" s="14" t="inlineStr">
        <is>
          <t>Paul Klee pittore musicista</t>
        </is>
      </c>
      <c r="C35" s="14" t="inlineStr">
        <is>
          <t>Teresa Righetti</t>
        </is>
      </c>
      <c r="D35" s="14" t="inlineStr">
        <is>
          <t>Libri accessibili in CAA e in simboli (anche Parimenti. Proprio perché cresco)</t>
        </is>
      </c>
      <c r="E35" s="14" t="inlineStr">
        <is>
          <t>n.d. (collana Parimenti per giovani-adulti)</t>
        </is>
      </c>
      <c r="F35" s="14" t="inlineStr">
        <is>
          <t>8+</t>
        </is>
      </c>
      <c r="G35" s="14" t="inlineStr">
        <is>
          <t>Divulgazione/Saggio</t>
        </is>
      </c>
      <c r="H35" s="14" t="inlineStr"/>
      <c r="I35" s="18" t="inlineStr">
        <is>
          <t>Sì</t>
        </is>
      </c>
      <c r="J35" s="15" t="inlineStr">
        <is>
          <t>Da verificare</t>
        </is>
      </c>
      <c r="K35" s="14" t="inlineStr">
        <is>
          <t>8+, CAA</t>
        </is>
      </c>
      <c r="L35" s="14" t="inlineStr">
        <is>
          <t>https://www.lameridiana.it/categorie/libri-per-una-cultura-accessibile/libri-accessibili.html</t>
        </is>
      </c>
      <c r="M35" s="16" t="n">
        <v>14.73</v>
      </c>
      <c r="N35" s="14" t="inlineStr">
        <is>
          <t>https://www.lameridiana.it/categorie/libri-per-una-cultura-accessibile/libri-accessibili.html (prezzo 'da' indicato sul sito, formato non specificato: verificare)</t>
        </is>
      </c>
      <c r="O35" s="16">
        <f>IF(ISNUMBER(M35),ROUND(M35*(1-Condizioni!$B$2),2),"")</f>
        <v/>
      </c>
      <c r="P35" s="17" t="inlineStr">
        <is>
          <t>Sì</t>
        </is>
      </c>
    </row>
    <row r="36">
      <c r="A36" s="14" t="inlineStr">
        <is>
          <t>Momo Edizioni</t>
        </is>
      </c>
      <c r="B36" s="14" t="inlineStr">
        <is>
          <t>Bollicina</t>
        </is>
      </c>
      <c r="C36" s="14" t="inlineStr">
        <is>
          <t>Ciampacavallo; copertina di Zerocalcare</t>
        </is>
      </c>
      <c r="D36" s="14" t="inlineStr">
        <is>
          <t>Libri Monelli – CiampaLibri</t>
        </is>
      </c>
      <c r="E36" s="14" t="inlineStr">
        <is>
          <t>24 pp.; età n.d.</t>
        </is>
      </c>
      <c r="F36" s="14" t="inlineStr">
        <is>
          <t>3-6 anni</t>
        </is>
      </c>
      <c r="G36" s="14" t="inlineStr">
        <is>
          <t>Libro in simboli (CAA)</t>
        </is>
      </c>
      <c r="H36" s="14" t="inlineStr">
        <is>
          <t>Disabilità e inclusione (storia scritta da persone con disabilità)</t>
        </is>
      </c>
      <c r="I36" s="18" t="inlineStr">
        <is>
          <t>Sì</t>
        </is>
      </c>
      <c r="J36" s="15" t="inlineStr">
        <is>
          <t>Da verificare</t>
        </is>
      </c>
      <c r="K36" s="14" t="inlineStr">
        <is>
          <t>3-6 anni, CAA</t>
        </is>
      </c>
      <c r="L36" s="14" t="inlineStr">
        <is>
          <t>https://momoedizioni.it/catalogo/bollicina/</t>
        </is>
      </c>
      <c r="M36" s="16" t="n">
        <v>15</v>
      </c>
      <c r="N36" s="14" t="inlineStr">
        <is>
          <t>Sito Momo Edizioni</t>
        </is>
      </c>
      <c r="O36" s="16">
        <f>IF(ISNUMBER(M36),ROUND(M36*(1-Condizioni!$B$2),2),"")</f>
        <v/>
      </c>
      <c r="P36" s="17" t="inlineStr">
        <is>
          <t>Sì</t>
        </is>
      </c>
    </row>
    <row r="37">
      <c r="A37" s="14" t="inlineStr">
        <is>
          <t>Edizioni Corsare</t>
        </is>
      </c>
      <c r="B37" s="14" t="inlineStr">
        <is>
          <t>Brava Chiocciolina! – versione InBook con simboli (CAA)</t>
        </is>
      </c>
      <c r="C37" s="14" t="inlineStr">
        <is>
          <t>Silvia Vecchini; ill. Carla Manea</t>
        </is>
      </c>
      <c r="D37" s="14" t="inlineStr">
        <is>
          <t>Area ragazzi (albi illustrati)</t>
        </is>
      </c>
      <c r="E37" s="14" t="inlineStr">
        <is>
          <t>da 3 anni</t>
        </is>
      </c>
      <c r="F37" s="14" t="inlineStr">
        <is>
          <t>3-6 anni</t>
        </is>
      </c>
      <c r="G37" s="14" t="inlineStr">
        <is>
          <t>Libro in simboli (CAA)</t>
        </is>
      </c>
      <c r="H37" s="14" t="inlineStr">
        <is>
          <t>Fiducia in sé stessi e inclusione</t>
        </is>
      </c>
      <c r="I37" s="18" t="inlineStr">
        <is>
          <t>Sì</t>
        </is>
      </c>
      <c r="J37" s="14" t="inlineStr">
        <is>
          <t>Catalogo</t>
        </is>
      </c>
      <c r="K37" s="14" t="inlineStr">
        <is>
          <t>3-6 anni, CAA</t>
        </is>
      </c>
      <c r="L37" s="14" t="inlineStr">
        <is>
          <t>Catalogo Edizioni Corsare Primavera 2026</t>
        </is>
      </c>
      <c r="M37" s="16" t="n">
        <v>16</v>
      </c>
      <c r="N37" s="14" t="inlineStr">
        <is>
          <t>Catalogo Edizioni Corsare Primavera 2026</t>
        </is>
      </c>
      <c r="O37" s="16">
        <f>IF(ISNUMBER(M37),ROUND(M37*(1-Condizioni!$B$2),2),"")</f>
        <v/>
      </c>
      <c r="P37" s="17" t="inlineStr">
        <is>
          <t>Sì</t>
        </is>
      </c>
    </row>
    <row r="38">
      <c r="A38" s="14" t="inlineStr">
        <is>
          <t>Minibombo</t>
        </is>
      </c>
      <c r="B38" s="14" t="inlineStr">
        <is>
          <t>Affamato come un lupo – versione in simboli (InBook)</t>
        </is>
      </c>
      <c r="C38" s="14" t="inlineStr">
        <is>
          <t>traduzione in simboli a cura di reti di biblioteche</t>
        </is>
      </c>
      <c r="D38" s="14" t="inlineStr">
        <is>
          <t>InBook (non edizione Minibombo)</t>
        </is>
      </c>
      <c r="E38" s="14" t="inlineStr">
        <is>
          <t>n.d.</t>
        </is>
      </c>
      <c r="F38" s="14" t="inlineStr">
        <is>
          <t>3-6 anni</t>
        </is>
      </c>
      <c r="G38" s="14" t="inlineStr">
        <is>
          <t>Libro in simboli (CAA)</t>
        </is>
      </c>
      <c r="H38" s="14" t="inlineStr">
        <is>
          <t>Inclusione: libro in simboli</t>
        </is>
      </c>
      <c r="I38" s="18" t="inlineStr">
        <is>
          <t>Sì</t>
        </is>
      </c>
      <c r="J38" s="14" t="inlineStr">
        <is>
          <t>Tolto: versione in simboli InBook, non in vendita</t>
        </is>
      </c>
      <c r="K38" s="14" t="inlineStr">
        <is>
          <t>3-6 anni, CAA</t>
        </is>
      </c>
      <c r="L38" s="14" t="inlineStr">
        <is>
          <t>https://www.055firenze.it/art/216489/libri-in-simboli-nasce-la-prima-Rete-Operativa-Toscana-delle-Biblioteche-Inbook-libri-in-simboli</t>
        </is>
      </c>
      <c r="M38" s="19" t="n"/>
      <c r="N38" s="14" t="inlineStr"/>
      <c r="O38" s="16">
        <f>IF(ISNUMBER(M38),ROUND(M38*(1-Condizioni!$B$2),2),"")</f>
        <v/>
      </c>
      <c r="P38" s="17" t="inlineStr">
        <is>
          <t>No</t>
        </is>
      </c>
    </row>
    <row r="39">
      <c r="A39" s="14" t="inlineStr">
        <is>
          <t>Minibombo</t>
        </is>
      </c>
      <c r="B39" s="14" t="inlineStr">
        <is>
          <t>Il libro gatto – versione in simboli (InBook)</t>
        </is>
      </c>
      <c r="C39" s="14" t="inlineStr">
        <is>
          <t>traduzione in simboli a cura di reti di biblioteche</t>
        </is>
      </c>
      <c r="D39" s="14" t="inlineStr">
        <is>
          <t>InBook (non edizione Minibombo)</t>
        </is>
      </c>
      <c r="E39" s="14" t="inlineStr">
        <is>
          <t>n.d.</t>
        </is>
      </c>
      <c r="F39" s="14" t="inlineStr">
        <is>
          <t>3-6 anni</t>
        </is>
      </c>
      <c r="G39" s="14" t="inlineStr">
        <is>
          <t>Libro in simboli (CAA)</t>
        </is>
      </c>
      <c r="H39" s="14" t="inlineStr">
        <is>
          <t>Inclusione: libro in simboli</t>
        </is>
      </c>
      <c r="I39" s="18" t="inlineStr">
        <is>
          <t>Sì</t>
        </is>
      </c>
      <c r="J39" s="14" t="inlineStr">
        <is>
          <t>Tolto: versione in simboli InBook, non in vendita</t>
        </is>
      </c>
      <c r="K39" s="14" t="inlineStr">
        <is>
          <t>3-6 anni, CAA</t>
        </is>
      </c>
      <c r="L39" s="14" t="inlineStr">
        <is>
          <t>https://www.055firenze.it/art/216489/libri-in-simboli-nasce-la-prima-Rete-Operativa-Toscana-delle-Biblioteche-Inbook-libri-in-simboli</t>
        </is>
      </c>
      <c r="M39" s="19" t="n"/>
      <c r="N39" s="14" t="inlineStr"/>
      <c r="O39" s="16">
        <f>IF(ISNUMBER(M39),ROUND(M39*(1-Condizioni!$B$2),2),"")</f>
        <v/>
      </c>
      <c r="P39" s="17" t="inlineStr">
        <is>
          <t>No</t>
        </is>
      </c>
    </row>
    <row r="40">
      <c r="A40" s="14" t="inlineStr">
        <is>
          <t>Minibombo</t>
        </is>
      </c>
      <c r="B40" s="14" t="inlineStr">
        <is>
          <t>Orso, buco! – versione in simboli (InBook)</t>
        </is>
      </c>
      <c r="C40" s="14" t="inlineStr">
        <is>
          <t>traduzione in simboli a cura di reti di biblioteche</t>
        </is>
      </c>
      <c r="D40" s="14" t="inlineStr">
        <is>
          <t>InBook (non edizione Minibombo)</t>
        </is>
      </c>
      <c r="E40" s="14" t="inlineStr">
        <is>
          <t>n.d.</t>
        </is>
      </c>
      <c r="F40" s="14" t="inlineStr">
        <is>
          <t>3-6 anni</t>
        </is>
      </c>
      <c r="G40" s="14" t="inlineStr">
        <is>
          <t>Libro in simboli (CAA)</t>
        </is>
      </c>
      <c r="H40" s="14" t="inlineStr">
        <is>
          <t>Inclusione: libro in simboli</t>
        </is>
      </c>
      <c r="I40" s="18" t="inlineStr">
        <is>
          <t>Sì</t>
        </is>
      </c>
      <c r="J40" s="14" t="inlineStr">
        <is>
          <t>Tolto: versione in simboli InBook, non in vendita</t>
        </is>
      </c>
      <c r="K40" s="14" t="inlineStr">
        <is>
          <t>3-6 anni, CAA</t>
        </is>
      </c>
      <c r="L40" s="14" t="inlineStr">
        <is>
          <t>https://www.055firenze.it/art/216489/libri-in-simboli-nasce-la-prima-Rete-Operativa-Toscana-delle-Biblioteche-Inbook-libri-in-simboli</t>
        </is>
      </c>
      <c r="M40" s="19" t="n"/>
      <c r="N40" s="14" t="inlineStr"/>
      <c r="O40" s="16">
        <f>IF(ISNUMBER(M40),ROUND(M40*(1-Condizioni!$B$2),2),"")</f>
        <v/>
      </c>
      <c r="P40" s="17" t="inlineStr">
        <is>
          <t>No</t>
        </is>
      </c>
    </row>
    <row r="41">
      <c r="A41" s="14" t="inlineStr">
        <is>
          <t>Lapis</t>
        </is>
      </c>
      <c r="B41" s="14" t="inlineStr">
        <is>
          <t>Foto di gruppo (versione in simboli InBook)</t>
        </is>
      </c>
      <c r="C41" s="14" t="inlineStr">
        <is>
          <t>Gek Tessaro</t>
        </is>
      </c>
      <c r="D41" s="14" t="inlineStr">
        <is>
          <t>InBook (traduzione di rete bibliotecaria)</t>
        </is>
      </c>
      <c r="E41" s="14" t="inlineStr">
        <is>
          <t>n.d.</t>
        </is>
      </c>
      <c r="F41" s="14" t="inlineStr">
        <is>
          <t>3-6 anni</t>
        </is>
      </c>
      <c r="G41" s="14" t="inlineStr">
        <is>
          <t>Libro in simboli (CAA)</t>
        </is>
      </c>
      <c r="H41" s="14" t="inlineStr">
        <is>
          <t>Inclusione: libro in simboli</t>
        </is>
      </c>
      <c r="I41" s="18" t="inlineStr">
        <is>
          <t>Sì</t>
        </is>
      </c>
      <c r="J41" s="14" t="inlineStr">
        <is>
          <t>Tolto: versione in simboli InBook, non in vendita</t>
        </is>
      </c>
      <c r="K41" s="14" t="inlineStr">
        <is>
          <t>3-6 anni, CAA</t>
        </is>
      </c>
      <c r="L41" s="14" t="inlineStr">
        <is>
          <t>https://www.055firenze.it/art/216489/libri-in-simboli-nasce-la-prima-Rete-Operativa-Toscana-delle-Biblioteche-Inbook-libri-in-simboli</t>
        </is>
      </c>
      <c r="M41" s="19" t="n"/>
      <c r="N41" s="14" t="inlineStr"/>
      <c r="O41" s="16">
        <f>IF(ISNUMBER(M41),ROUND(M41*(1-Condizioni!$B$2),2),"")</f>
        <v/>
      </c>
      <c r="P41" s="17" t="inlineStr">
        <is>
          <t>No</t>
        </is>
      </c>
    </row>
  </sheetData>
  <autoFilter ref="A1:P4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2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Camelozampa</t>
        </is>
      </c>
      <c r="B2" s="14" t="inlineStr">
        <is>
          <t>Senza titolo</t>
        </is>
      </c>
      <c r="C2" s="14" t="inlineStr">
        <is>
          <t>(vedi scheda)</t>
        </is>
      </c>
      <c r="D2" s="14" t="inlineStr">
        <is>
          <t>Narrativa / Gruppi di lettura</t>
        </is>
      </c>
      <c r="E2" s="14" t="inlineStr">
        <is>
          <t>14-18 anni</t>
        </is>
      </c>
      <c r="F2" s="14" t="inlineStr">
        <is>
          <t>Adolescenza (14+)</t>
        </is>
      </c>
      <c r="G2" s="14" t="inlineStr">
        <is>
          <t>Romanzo</t>
        </is>
      </c>
      <c r="H2" s="14" t="inlineStr">
        <is>
          <t>Adolescenza</t>
        </is>
      </c>
      <c r="I2" s="14" t="inlineStr">
        <is>
          <t>No</t>
        </is>
      </c>
      <c r="J2" s="14" t="inlineStr">
        <is>
          <t>Catalogo</t>
        </is>
      </c>
      <c r="K2" s="14" t="inlineStr">
        <is>
          <t>adolescenza, romanzo, narrativa</t>
        </is>
      </c>
      <c r="L2" s="14" t="inlineStr">
        <is>
          <t>https://www.camelozampa.com/gruppi-di-lettura/</t>
        </is>
      </c>
      <c r="M2" s="16" t="n">
        <v>18.9</v>
      </c>
      <c r="N2" s="14" t="inlineStr">
        <is>
          <t>Catalogo Camelozampa 2026</t>
        </is>
      </c>
      <c r="O2" s="16">
        <f>IF(ISNUMBER(M2),ROUND(M2*(1-Condizioni!$B$2),2),"")</f>
        <v/>
      </c>
      <c r="P2" s="17" t="inlineStr">
        <is>
          <t>Sì</t>
        </is>
      </c>
    </row>
    <row r="3">
      <c r="A3" s="14" t="inlineStr">
        <is>
          <t>Neo Edizioni</t>
        </is>
      </c>
      <c r="B3" s="14" t="inlineStr">
        <is>
          <t>GAP – Grottesco Adolescenziale Periferico</t>
        </is>
      </c>
      <c r="C3" s="14" t="inlineStr">
        <is>
          <t>Placido Di Stefano</t>
        </is>
      </c>
      <c r="D3" s="14" t="inlineStr">
        <is>
          <t>Dry / narrativa</t>
        </is>
      </c>
      <c r="E3" s="14" t="inlineStr">
        <is>
          <t>adulti (tema adolescenza)</t>
        </is>
      </c>
      <c r="F3" s="14" t="inlineStr">
        <is>
          <t>Adolescenza (14+)</t>
        </is>
      </c>
      <c r="G3" s="14" t="inlineStr">
        <is>
          <t>Romanzo</t>
        </is>
      </c>
      <c r="H3" s="14" t="inlineStr">
        <is>
          <t>Adolescenza ai margini</t>
        </is>
      </c>
      <c r="I3" s="14" t="inlineStr">
        <is>
          <t>No</t>
        </is>
      </c>
      <c r="J3" s="15" t="inlineStr">
        <is>
          <t>Da verificare</t>
        </is>
      </c>
      <c r="K3" s="14" t="inlineStr">
        <is>
          <t>adolescenza, romanzo, narrativa</t>
        </is>
      </c>
      <c r="L3" s="14" t="inlineStr">
        <is>
          <t>https://www.neoedizioni.it/neo/</t>
        </is>
      </c>
      <c r="M3" s="19" t="n"/>
      <c r="N3" s="14" t="inlineStr"/>
      <c r="O3" s="16">
        <f>IF(ISNUMBER(M3),ROUND(M3*(1-Condizioni!$B$2),2),"")</f>
        <v/>
      </c>
      <c r="P3" s="17" t="inlineStr">
        <is>
          <t>Sì</t>
        </is>
      </c>
    </row>
    <row r="4">
      <c r="A4" s="14" t="inlineStr">
        <is>
          <t>Dalia Edizioni</t>
        </is>
      </c>
      <c r="B4" s="14" t="inlineStr">
        <is>
          <t>UVA. Una Vita Altrove</t>
        </is>
      </c>
      <c r="C4" s="14" t="inlineStr">
        <is>
          <t>Giovanni Capotombolo</t>
        </is>
      </c>
      <c r="D4" s="14" t="inlineStr">
        <is>
          <t>Dalia Narrativa</t>
        </is>
      </c>
      <c r="E4" s="14" t="inlineStr">
        <is>
          <t>adolescenti</t>
        </is>
      </c>
      <c r="F4" s="14" t="inlineStr">
        <is>
          <t>Adolescenza (14+)</t>
        </is>
      </c>
      <c r="G4" s="14" t="inlineStr">
        <is>
          <t>Romanzo</t>
        </is>
      </c>
      <c r="H4" s="14" t="inlineStr">
        <is>
          <t>Adolescenza e futuro</t>
        </is>
      </c>
      <c r="I4" s="14" t="inlineStr">
        <is>
          <t>No</t>
        </is>
      </c>
      <c r="J4" s="15" t="inlineStr">
        <is>
          <t>Da verificare</t>
        </is>
      </c>
      <c r="K4" s="14" t="inlineStr">
        <is>
          <t>adolescenza, romanzo, narrativa</t>
        </is>
      </c>
      <c r="L4" s="14" t="inlineStr">
        <is>
          <t>https://www.librerie.coop/editori/dalia-edizioni/</t>
        </is>
      </c>
      <c r="M4" s="16" t="n">
        <v>15</v>
      </c>
      <c r="N4" s="14" t="inlineStr">
        <is>
          <t>https://www.ibs.it/x/e/9788899207632</t>
        </is>
      </c>
      <c r="O4" s="16">
        <f>IF(ISNUMBER(M4),ROUND(M4*(1-Condizioni!$B$2),2),"")</f>
        <v/>
      </c>
      <c r="P4" s="17" t="inlineStr">
        <is>
          <t>Sì</t>
        </is>
      </c>
    </row>
    <row r="5">
      <c r="A5" s="14" t="inlineStr">
        <is>
          <t>Edizioni Corsare</t>
        </is>
      </c>
      <c r="B5" s="14" t="inlineStr">
        <is>
          <t>Ryunio. La bambina-drago</t>
        </is>
      </c>
      <c r="C5" s="14" t="inlineStr">
        <is>
          <t>Roberta Calandra</t>
        </is>
      </c>
      <c r="D5" s="14" t="inlineStr">
        <is>
          <t>Storie corsare</t>
        </is>
      </c>
      <c r="E5" s="14" t="inlineStr">
        <is>
          <t>da 9 anni</t>
        </is>
      </c>
      <c r="F5" s="14" t="inlineStr">
        <is>
          <t>9+</t>
        </is>
      </c>
      <c r="G5" s="14" t="inlineStr">
        <is>
          <t>Romanzo</t>
        </is>
      </c>
      <c r="H5" s="14" t="inlineStr">
        <is>
          <t>Adozione e accoglienza</t>
        </is>
      </c>
      <c r="I5" s="14" t="inlineStr">
        <is>
          <t>No</t>
        </is>
      </c>
      <c r="J5" s="14" t="inlineStr">
        <is>
          <t>Catalogo</t>
        </is>
      </c>
      <c r="K5" s="14" t="inlineStr">
        <is>
          <t>9+, romanzo, narrativa</t>
        </is>
      </c>
      <c r="L5" s="14" t="inlineStr">
        <is>
          <t>https://www.edizionicorsare.it/categoria-prodotto/collane/storie-corsare/</t>
        </is>
      </c>
      <c r="M5" s="16" t="n">
        <v>10.5</v>
      </c>
      <c r="N5" s="14" t="inlineStr">
        <is>
          <t>Catalogo Edizioni Corsare Primavera 2026</t>
        </is>
      </c>
      <c r="O5" s="16">
        <f>IF(ISNUMBER(M5),ROUND(M5*(1-Condizioni!$B$2),2),"")</f>
        <v/>
      </c>
      <c r="P5" s="17" t="inlineStr">
        <is>
          <t>Sì</t>
        </is>
      </c>
    </row>
    <row r="6">
      <c r="A6" s="14" t="inlineStr">
        <is>
          <t>Pelledoca</t>
        </is>
      </c>
      <c r="B6" s="14" t="inlineStr">
        <is>
          <t>Il Gemello Maledetto</t>
        </is>
      </c>
      <c r="C6" s="14" t="inlineStr">
        <is>
          <t>Fulvia Degl'Innocenti</t>
        </is>
      </c>
      <c r="D6" s="14" t="inlineStr">
        <is>
          <t>NeroInchiostro</t>
        </is>
      </c>
      <c r="E6" s="14" t="inlineStr">
        <is>
          <t>Dagli 11 anni</t>
        </is>
      </c>
      <c r="F6" s="14" t="inlineStr">
        <is>
          <t>Scuola media (11-13)</t>
        </is>
      </c>
      <c r="G6" s="14" t="inlineStr">
        <is>
          <t>Romanzo</t>
        </is>
      </c>
      <c r="H6" s="14" t="inlineStr">
        <is>
          <t>Affido</t>
        </is>
      </c>
      <c r="I6" s="14" t="inlineStr">
        <is>
          <t>No</t>
        </is>
      </c>
      <c r="J6" s="14" t="inlineStr">
        <is>
          <t>Catalogo</t>
        </is>
      </c>
      <c r="K6" s="14" t="inlineStr">
        <is>
          <t>prima/seconda/terza media, romanzo, narrativa</t>
        </is>
      </c>
      <c r="L6" s="14" t="inlineStr">
        <is>
          <t>Catalogo Pelledoca 2025 (ISBN 9788832790535)</t>
        </is>
      </c>
      <c r="M6" s="16" t="n">
        <v>16</v>
      </c>
      <c r="N6" s="14" t="inlineStr">
        <is>
          <t>Catalogo Pelledoca 2025</t>
        </is>
      </c>
      <c r="O6" s="16">
        <f>IF(ISNUMBER(M6),ROUND(M6*(1-Condizioni!$B$2),2),"")</f>
        <v/>
      </c>
      <c r="P6" s="17" t="inlineStr">
        <is>
          <t>No</t>
        </is>
      </c>
    </row>
    <row r="7">
      <c r="A7" s="14" t="inlineStr">
        <is>
          <t>Edizioni Corsare</t>
        </is>
      </c>
      <c r="B7" s="14" t="inlineStr">
        <is>
          <t>Diana e il segreto dei lupasky</t>
        </is>
      </c>
      <c r="C7" s="14" t="inlineStr">
        <is>
          <t>Giuliana Fanti</t>
        </is>
      </c>
      <c r="D7" s="14" t="inlineStr">
        <is>
          <t>Narrativa YA / Border</t>
        </is>
      </c>
      <c r="E7" s="14" t="inlineStr">
        <is>
          <t>14+</t>
        </is>
      </c>
      <c r="F7" s="14" t="inlineStr">
        <is>
          <t>Adolescenza (14+)</t>
        </is>
      </c>
      <c r="G7" s="14" t="inlineStr">
        <is>
          <t>Romanzo</t>
        </is>
      </c>
      <c r="H7" s="14" t="inlineStr">
        <is>
          <t>Ambiente e alleanza con gli animali</t>
        </is>
      </c>
      <c r="I7" s="14" t="inlineStr">
        <is>
          <t>No</t>
        </is>
      </c>
      <c r="J7" s="14" t="inlineStr">
        <is>
          <t>Catalogo</t>
        </is>
      </c>
      <c r="K7" s="14" t="inlineStr">
        <is>
          <t>adolescenza, romanzo, narrativa</t>
        </is>
      </c>
      <c r="L7" s="14" t="inlineStr">
        <is>
          <t>https://www.edizionicorsare.it/categoria-prodotto/collane/border-young-adult/</t>
        </is>
      </c>
      <c r="M7" s="16" t="n">
        <v>13</v>
      </c>
      <c r="N7" s="14" t="inlineStr">
        <is>
          <t>Catalogo Edizioni Corsare Primavera 2026</t>
        </is>
      </c>
      <c r="O7" s="16">
        <f>IF(ISNUMBER(M7),ROUND(M7*(1-Condizioni!$B$2),2),"")</f>
        <v/>
      </c>
      <c r="P7" s="17" t="inlineStr">
        <is>
          <t>Sì</t>
        </is>
      </c>
    </row>
    <row r="8">
      <c r="A8" s="14" t="inlineStr">
        <is>
          <t>Edizioni Corsare</t>
        </is>
      </c>
      <c r="B8" s="14" t="inlineStr">
        <is>
          <t>Bradi va in città</t>
        </is>
      </c>
      <c r="C8" s="14" t="inlineStr">
        <is>
          <t>Fabrizio Silei</t>
        </is>
      </c>
      <c r="D8" s="14" t="inlineStr">
        <is>
          <t>Storie corsare</t>
        </is>
      </c>
      <c r="E8" s="14" t="inlineStr">
        <is>
          <t>da 8 anni</t>
        </is>
      </c>
      <c r="F8" s="14" t="inlineStr">
        <is>
          <t>8+</t>
        </is>
      </c>
      <c r="G8" s="14" t="inlineStr">
        <is>
          <t>Romanzo</t>
        </is>
      </c>
      <c r="H8" s="14" t="inlineStr">
        <is>
          <t>Ambiente e amicizia</t>
        </is>
      </c>
      <c r="I8" s="14" t="inlineStr">
        <is>
          <t>No</t>
        </is>
      </c>
      <c r="J8" s="14" t="inlineStr">
        <is>
          <t>Catalogo</t>
        </is>
      </c>
      <c r="K8" s="14" t="inlineStr">
        <is>
          <t>8+, romanzo, narrativa</t>
        </is>
      </c>
      <c r="L8" s="14" t="inlineStr">
        <is>
          <t>https://www.edizionicorsare.it/categoria-prodotto/collane/storie-corsare/</t>
        </is>
      </c>
      <c r="M8" s="16" t="n">
        <v>15</v>
      </c>
      <c r="N8" s="14" t="inlineStr">
        <is>
          <t>Catalogo Edizioni Corsare Primavera 2026</t>
        </is>
      </c>
      <c r="O8" s="16">
        <f>IF(ISNUMBER(M8),ROUND(M8*(1-Condizioni!$B$2),2),"")</f>
        <v/>
      </c>
      <c r="P8" s="17" t="inlineStr">
        <is>
          <t>Sì</t>
        </is>
      </c>
    </row>
    <row r="9">
      <c r="A9" s="14" t="inlineStr">
        <is>
          <t>Dalia Edizioni</t>
        </is>
      </c>
      <c r="B9" s="14" t="inlineStr">
        <is>
          <t>Loris Wood e il mistero delle api scomparse</t>
        </is>
      </c>
      <c r="C9" s="14" t="inlineStr">
        <is>
          <t>Iride Bartolucci</t>
        </is>
      </c>
      <c r="D9" s="14" t="inlineStr">
        <is>
          <t>Gli spericolati</t>
        </is>
      </c>
      <c r="E9" s="14" t="inlineStr">
        <is>
          <t>n.d.</t>
        </is>
      </c>
      <c r="F9" s="14" t="inlineStr">
        <is>
          <t>n.d. / tutte le età</t>
        </is>
      </c>
      <c r="G9" s="14" t="inlineStr">
        <is>
          <t>Narrativa</t>
        </is>
      </c>
      <c r="H9" s="14" t="inlineStr">
        <is>
          <t>Ambiente e api</t>
        </is>
      </c>
      <c r="I9" s="14" t="inlineStr">
        <is>
          <t>No</t>
        </is>
      </c>
      <c r="J9" s="15" t="inlineStr">
        <is>
          <t>Da verificare</t>
        </is>
      </c>
      <c r="K9" s="14" t="inlineStr">
        <is>
          <t>narrativa</t>
        </is>
      </c>
      <c r="L9" s="14" t="inlineStr">
        <is>
          <t>https://www.daliaedizioni.it/categoria-prodotto/illustrati-kids/</t>
        </is>
      </c>
      <c r="M9" s="16" t="n">
        <v>13.5</v>
      </c>
      <c r="N9" s="14" t="inlineStr">
        <is>
          <t>Sito Dalia Edizioni</t>
        </is>
      </c>
      <c r="O9" s="16">
        <f>IF(ISNUMBER(M9),ROUND(M9*(1-Condizioni!$B$2),2),"")</f>
        <v/>
      </c>
      <c r="P9" s="17" t="inlineStr">
        <is>
          <t>No</t>
        </is>
      </c>
    </row>
    <row r="10">
      <c r="A10" s="14" t="inlineStr">
        <is>
          <t>Settenove</t>
        </is>
      </c>
      <c r="B10" s="14" t="inlineStr">
        <is>
          <t>Greta e le altre. Un pianeta da salvare</t>
        </is>
      </c>
      <c r="C10" s="14" t="inlineStr">
        <is>
          <t>F. Degl'Innocenti; ill. F. Rizzato</t>
        </is>
      </c>
      <c r="D10" s="14" t="inlineStr">
        <is>
          <t>Albi illustrati / Narrativa / Educazione al genere</t>
        </is>
      </c>
      <c r="E10" s="14" t="inlineStr">
        <is>
          <t>da 6 anni</t>
        </is>
      </c>
      <c r="F10" s="14" t="inlineStr">
        <is>
          <t>Prime letture (6-8)</t>
        </is>
      </c>
      <c r="G10" s="14" t="inlineStr">
        <is>
          <t>Albo illustrato</t>
        </is>
      </c>
      <c r="H10" s="14" t="inlineStr">
        <is>
          <t>Ambiente e attivismo giovanile</t>
        </is>
      </c>
      <c r="I10" s="14" t="inlineStr">
        <is>
          <t>No</t>
        </is>
      </c>
      <c r="J10" s="14" t="inlineStr">
        <is>
          <t>Catalogo</t>
        </is>
      </c>
      <c r="K10" s="14" t="inlineStr">
        <is>
          <t>prime letture</t>
        </is>
      </c>
      <c r="L10" s="14" t="inlineStr">
        <is>
          <t>https://www.settenove.it/catalogo/narrativa/5</t>
        </is>
      </c>
      <c r="M10" s="16" t="n">
        <v>12</v>
      </c>
      <c r="N10" s="14" t="inlineStr">
        <is>
          <t>Sito Settenove (prezzo di copertina)</t>
        </is>
      </c>
      <c r="O10" s="16">
        <f>IF(ISNUMBER(M10),ROUND(M10*(1-Condizioni!$B$2),2),"")</f>
        <v/>
      </c>
      <c r="P10" s="17" t="inlineStr">
        <is>
          <t>Sì</t>
        </is>
      </c>
    </row>
    <row r="11">
      <c r="A11" s="14" t="inlineStr">
        <is>
          <t>BeccoGiallo</t>
        </is>
      </c>
      <c r="B11" s="14" t="inlineStr">
        <is>
          <t>La biodiversità spiegata alle bambine e ai bambini</t>
        </is>
      </c>
      <c r="C11" s="14" t="inlineStr">
        <is>
          <t>(vedi scheda)</t>
        </is>
      </c>
      <c r="D11" s="14" t="inlineStr">
        <is>
          <t>Kids / CriticalKids</t>
        </is>
      </c>
      <c r="E11" s="14" t="inlineStr">
        <is>
          <t>da 5 anni</t>
        </is>
      </c>
      <c r="F11" s="14" t="inlineStr">
        <is>
          <t>3-6 anni</t>
        </is>
      </c>
      <c r="G11" s="14" t="inlineStr">
        <is>
          <t>Divulgazione/Saggio</t>
        </is>
      </c>
      <c r="H11" s="14" t="inlineStr">
        <is>
          <t>Ambiente e biodiversità</t>
        </is>
      </c>
      <c r="I11" s="14" t="inlineStr">
        <is>
          <t>No</t>
        </is>
      </c>
      <c r="J11" s="14" t="inlineStr">
        <is>
          <t>Collana</t>
        </is>
      </c>
      <c r="K11" s="14" t="inlineStr">
        <is>
          <t>3-6 anni</t>
        </is>
      </c>
      <c r="L11" s="14" t="inlineStr">
        <is>
          <t>https://www.beccogiallo.it/categoria-prodotto/kids/criticalkids/</t>
        </is>
      </c>
      <c r="M11" s="16" t="n">
        <v>15</v>
      </c>
      <c r="N11" s="14" t="inlineStr">
        <is>
          <t>Sito BeccoGiallo (prezzo di listino)</t>
        </is>
      </c>
      <c r="O11" s="16">
        <f>IF(ISNUMBER(M11),ROUND(M11*(1-Condizioni!$B$2),2),"")</f>
        <v/>
      </c>
      <c r="P11" s="17" t="inlineStr">
        <is>
          <t>Sì</t>
        </is>
      </c>
    </row>
    <row r="12">
      <c r="A12" s="14" t="inlineStr">
        <is>
          <t>Momo Edizioni</t>
        </is>
      </c>
      <c r="B12" s="14" t="inlineStr">
        <is>
          <t>SOS Oceano. Impariamo a difendere il mare</t>
        </is>
      </c>
      <c r="C12" s="14" t="inlineStr">
        <is>
          <t>Ernesto Azzurro ed Emanuela Fanelli; ill. Bruna e Martina Troise</t>
        </is>
      </c>
      <c r="D12" s="14" t="inlineStr">
        <is>
          <t>Libri Monelli</t>
        </is>
      </c>
      <c r="E12" s="14" t="inlineStr">
        <is>
          <t>da 6 anni</t>
        </is>
      </c>
      <c r="F12" s="14" t="inlineStr">
        <is>
          <t>Prime letture (6-8)</t>
        </is>
      </c>
      <c r="G12" s="14" t="inlineStr">
        <is>
          <t>Divulgazione/Saggio</t>
        </is>
      </c>
      <c r="H12" s="14" t="inlineStr">
        <is>
          <t>Ambiente, inquinamento e tutela del mare</t>
        </is>
      </c>
      <c r="I12" s="14" t="inlineStr">
        <is>
          <t>No</t>
        </is>
      </c>
      <c r="J12" s="14" t="inlineStr">
        <is>
          <t>Catalogo</t>
        </is>
      </c>
      <c r="K12" s="14" t="inlineStr">
        <is>
          <t>prime letture</t>
        </is>
      </c>
      <c r="L12" s="14" t="inlineStr">
        <is>
          <t>https://momoedizioni.it/categoria/libri/libri-monelli/</t>
        </is>
      </c>
      <c r="M12" s="16" t="n">
        <v>15</v>
      </c>
      <c r="N12" s="14" t="inlineStr">
        <is>
          <t>Sito Momo Edizioni</t>
        </is>
      </c>
      <c r="O12" s="16">
        <f>IF(ISNUMBER(M12),ROUND(M12*(1-Condizioni!$B$2),2),"")</f>
        <v/>
      </c>
      <c r="P12" s="17" t="inlineStr">
        <is>
          <t>Sì</t>
        </is>
      </c>
    </row>
    <row r="13">
      <c r="A13" s="14" t="inlineStr">
        <is>
          <t>Momo Edizioni</t>
        </is>
      </c>
      <c r="B13" s="14" t="inlineStr">
        <is>
          <t>Portami al mare. Un viaggio nel Mediterraneo per piccoli scienziati</t>
        </is>
      </c>
      <c r="C13" s="14" t="inlineStr">
        <is>
          <t>Ernesto Azzurro ed Emanuela Fanelli; ill. Martina Troise</t>
        </is>
      </c>
      <c r="D13" s="14" t="inlineStr">
        <is>
          <t>Libri Monelli</t>
        </is>
      </c>
      <c r="E13" s="14" t="inlineStr">
        <is>
          <t>6-99 anni</t>
        </is>
      </c>
      <c r="F13" s="14" t="inlineStr">
        <is>
          <t>Prime letture (6-8)</t>
        </is>
      </c>
      <c r="G13" s="14" t="inlineStr">
        <is>
          <t>Divulgazione/Saggio</t>
        </is>
      </c>
      <c r="H13" s="14" t="inlineStr">
        <is>
          <t>Ambiente, mare e biodiversità</t>
        </is>
      </c>
      <c r="I13" s="14" t="inlineStr">
        <is>
          <t>No</t>
        </is>
      </c>
      <c r="J13" s="14" t="inlineStr">
        <is>
          <t>Catalogo</t>
        </is>
      </c>
      <c r="K13" s="14" t="inlineStr">
        <is>
          <t>prime letture</t>
        </is>
      </c>
      <c r="L13" s="14" t="inlineStr">
        <is>
          <t>https://momoedizioni.it/categoria/libri/libri-monelli/</t>
        </is>
      </c>
      <c r="M13" s="16" t="n">
        <v>15</v>
      </c>
      <c r="N13" s="14" t="inlineStr">
        <is>
          <t>Sito Momo Edizioni</t>
        </is>
      </c>
      <c r="O13" s="16">
        <f>IF(ISNUMBER(M13),ROUND(M13*(1-Condizioni!$B$2),2),"")</f>
        <v/>
      </c>
      <c r="P13" s="17" t="inlineStr">
        <is>
          <t>Sì</t>
        </is>
      </c>
    </row>
    <row r="14">
      <c r="A14" s="14" t="inlineStr">
        <is>
          <t>Momo Edizioni</t>
        </is>
      </c>
      <c r="B14" s="14" t="inlineStr">
        <is>
          <t>Il lago che combatte</t>
        </is>
      </c>
      <c r="C14" s="14" t="inlineStr">
        <is>
          <t>Militant A (Assalti Frontali); ill. Chiara Fazi</t>
        </is>
      </c>
      <c r="D14" s="14" t="inlineStr">
        <is>
          <t>Libri Monelli</t>
        </is>
      </c>
      <c r="E14" s="14" t="inlineStr">
        <is>
          <t>6-99 anni</t>
        </is>
      </c>
      <c r="F14" s="14" t="inlineStr">
        <is>
          <t>Prime letture (6-8)</t>
        </is>
      </c>
      <c r="G14" s="14" t="inlineStr">
        <is>
          <t>Narrativa</t>
        </is>
      </c>
      <c r="H14" s="14" t="inlineStr">
        <is>
          <t>Ambiente, natura e partecipazione dei cittadini</t>
        </is>
      </c>
      <c r="I14" s="14" t="inlineStr">
        <is>
          <t>No</t>
        </is>
      </c>
      <c r="J14" s="14" t="inlineStr">
        <is>
          <t>Catalogo</t>
        </is>
      </c>
      <c r="K14" s="14" t="inlineStr">
        <is>
          <t>prime letture, narrativa</t>
        </is>
      </c>
      <c r="L14" s="14" t="inlineStr">
        <is>
          <t>https://momoedizioni.it/categoria/libri/libri-monelli/</t>
        </is>
      </c>
      <c r="M14" s="16" t="n">
        <v>18</v>
      </c>
      <c r="N14" s="14" t="inlineStr">
        <is>
          <t>Sito Momo Edizioni</t>
        </is>
      </c>
      <c r="O14" s="16">
        <f>IF(ISNUMBER(M14),ROUND(M14*(1-Condizioni!$B$2),2),"")</f>
        <v/>
      </c>
      <c r="P14" s="17" t="inlineStr">
        <is>
          <t>Sì</t>
        </is>
      </c>
    </row>
    <row r="15">
      <c r="A15" s="14" t="inlineStr">
        <is>
          <t>Momo Edizioni</t>
        </is>
      </c>
      <c r="B15" s="14" t="inlineStr">
        <is>
          <t>Gli adulti fanno schifo</t>
        </is>
      </c>
      <c r="C15" s="14" t="inlineStr">
        <is>
          <t>Gina; ill. Alessio Spataro</t>
        </is>
      </c>
      <c r="D15" s="14" t="inlineStr">
        <is>
          <t>Libri Monelli</t>
        </is>
      </c>
      <c r="E15" s="14" t="inlineStr">
        <is>
          <t>7-99 anni</t>
        </is>
      </c>
      <c r="F15" s="14" t="inlineStr">
        <is>
          <t>Prime letture (6-8)</t>
        </is>
      </c>
      <c r="G15" s="14" t="inlineStr">
        <is>
          <t>Narrativa</t>
        </is>
      </c>
      <c r="H15" s="14" t="inlineStr">
        <is>
          <t>Ambiente, pace e protagonismo dei ragazzi</t>
        </is>
      </c>
      <c r="I15" s="14" t="inlineStr">
        <is>
          <t>No</t>
        </is>
      </c>
      <c r="J15" s="14" t="inlineStr">
        <is>
          <t>Catalogo</t>
        </is>
      </c>
      <c r="K15" s="14" t="inlineStr">
        <is>
          <t>prime letture, narrativa</t>
        </is>
      </c>
      <c r="L15" s="14" t="inlineStr">
        <is>
          <t>https://momoedizioni.it/categoria/libri/libri-monelli/</t>
        </is>
      </c>
      <c r="M15" s="16" t="n">
        <v>10</v>
      </c>
      <c r="N15" s="14" t="inlineStr">
        <is>
          <t>Sito Momo Edizioni</t>
        </is>
      </c>
      <c r="O15" s="16">
        <f>IF(ISNUMBER(M15),ROUND(M15*(1-Condizioni!$B$2),2),"")</f>
        <v/>
      </c>
      <c r="P15" s="17" t="inlineStr">
        <is>
          <t>Sì</t>
        </is>
      </c>
    </row>
    <row r="16">
      <c r="A16" s="14" t="inlineStr">
        <is>
          <t>Camelozampa</t>
        </is>
      </c>
      <c r="B16" s="14" t="inlineStr">
        <is>
          <t>Furia Mascherata</t>
        </is>
      </c>
      <c r="C16" s="14" t="inlineStr">
        <is>
          <t>(vedi scheda)</t>
        </is>
      </c>
      <c r="D16" s="14" t="inlineStr">
        <is>
          <t>Narrativa / Gruppi di lettura</t>
        </is>
      </c>
      <c r="E16" s="14" t="inlineStr">
        <is>
          <t>8-11 anni</t>
        </is>
      </c>
      <c r="F16" s="14" t="inlineStr">
        <is>
          <t>8+</t>
        </is>
      </c>
      <c r="G16" s="14" t="inlineStr">
        <is>
          <t>Avventura</t>
        </is>
      </c>
      <c r="H16" s="14" t="inlineStr">
        <is>
          <t>Amicizia</t>
        </is>
      </c>
      <c r="I16" s="14" t="inlineStr">
        <is>
          <t>No</t>
        </is>
      </c>
      <c r="J16" s="14" t="inlineStr">
        <is>
          <t>Catalogo</t>
        </is>
      </c>
      <c r="K16" s="14" t="inlineStr">
        <is>
          <t>8+, avventura, narrativa</t>
        </is>
      </c>
      <c r="L16" s="14" t="inlineStr">
        <is>
          <t>https://www.camelozampa.com/gruppi-di-lettura/</t>
        </is>
      </c>
      <c r="M16" s="16" t="n">
        <v>15.9</v>
      </c>
      <c r="N16" s="14" t="inlineStr">
        <is>
          <t>Catalogo Camelozampa 2026</t>
        </is>
      </c>
      <c r="O16" s="16">
        <f>IF(ISNUMBER(M16),ROUND(M16*(1-Condizioni!$B$2),2),"")</f>
        <v/>
      </c>
      <c r="P16" s="17" t="inlineStr">
        <is>
          <t>Sì</t>
        </is>
      </c>
    </row>
    <row r="17">
      <c r="A17" s="14" t="inlineStr">
        <is>
          <t>Edizioni Corsare</t>
        </is>
      </c>
      <c r="B17" s="14" t="inlineStr">
        <is>
          <t>Amici?</t>
        </is>
      </c>
      <c r="C17" s="14" t="inlineStr">
        <is>
          <t>Brunella Baldi</t>
        </is>
      </c>
      <c r="D17" s="14" t="inlineStr">
        <is>
          <t>Area ragazzi (albi illustrati)</t>
        </is>
      </c>
      <c r="E17" s="14" t="inlineStr">
        <is>
          <t>da 2 anni</t>
        </is>
      </c>
      <c r="F17" s="14" t="inlineStr">
        <is>
          <t>0-3 anni</t>
        </is>
      </c>
      <c r="G17" s="14" t="inlineStr">
        <is>
          <t>Silent book</t>
        </is>
      </c>
      <c r="H17" s="14" t="inlineStr">
        <is>
          <t>Amicizia</t>
        </is>
      </c>
      <c r="I17" s="14" t="inlineStr">
        <is>
          <t>No</t>
        </is>
      </c>
      <c r="J17" s="14" t="inlineStr">
        <is>
          <t>Catalogo</t>
        </is>
      </c>
      <c r="K17" s="14" t="inlineStr">
        <is>
          <t>0-3 anni</t>
        </is>
      </c>
      <c r="L17" s="14" t="inlineStr">
        <is>
          <t>Catalogo Edizioni Corsare Primavera 2026</t>
        </is>
      </c>
      <c r="M17" s="16" t="n">
        <v>15</v>
      </c>
      <c r="N17" s="14" t="inlineStr">
        <is>
          <t>Catalogo Edizioni Corsare Primavera 2026</t>
        </is>
      </c>
      <c r="O17" s="16">
        <f>IF(ISNUMBER(M17),ROUND(M17*(1-Condizioni!$B$2),2),"")</f>
        <v/>
      </c>
      <c r="P17" s="17" t="inlineStr">
        <is>
          <t>Sì</t>
        </is>
      </c>
    </row>
    <row r="18">
      <c r="A18" s="14" t="inlineStr">
        <is>
          <t>Dalia Edizioni</t>
        </is>
      </c>
      <c r="B18" s="14" t="inlineStr">
        <is>
          <t>Damian e la Lupa</t>
        </is>
      </c>
      <c r="C18" s="14" t="inlineStr">
        <is>
          <t>Paola Roela; ill. Andrea Camič</t>
        </is>
      </c>
      <c r="D18" s="14" t="inlineStr">
        <is>
          <t>Dalia Ragazzi</t>
        </is>
      </c>
      <c r="E18" s="14" t="inlineStr">
        <is>
          <t>5+</t>
        </is>
      </c>
      <c r="F18" s="14" t="inlineStr">
        <is>
          <t>3-6 anni</t>
        </is>
      </c>
      <c r="G18" s="14" t="inlineStr">
        <is>
          <t>Narrativa</t>
        </is>
      </c>
      <c r="H18" s="14" t="inlineStr">
        <is>
          <t>Amicizia e aiuto reciproco</t>
        </is>
      </c>
      <c r="I18" s="14" t="inlineStr">
        <is>
          <t>No</t>
        </is>
      </c>
      <c r="J18" s="14" t="inlineStr">
        <is>
          <t>Catalogo</t>
        </is>
      </c>
      <c r="K18" s="14" t="inlineStr">
        <is>
          <t>3-6 anni, narrativa</t>
        </is>
      </c>
      <c r="L18" s="14" t="inlineStr">
        <is>
          <t>https://www.daliaedizioni.it/categoria-prodotto/illustrati-kids/</t>
        </is>
      </c>
      <c r="M18" s="16" t="n">
        <v>12.9</v>
      </c>
      <c r="N18" s="14" t="inlineStr">
        <is>
          <t>Sito Dalia Edizioni</t>
        </is>
      </c>
      <c r="O18" s="16">
        <f>IF(ISNUMBER(M18),ROUND(M18*(1-Condizioni!$B$2),2),"")</f>
        <v/>
      </c>
      <c r="P18" s="17" t="inlineStr">
        <is>
          <t>Sì</t>
        </is>
      </c>
    </row>
    <row r="19">
      <c r="A19" s="14" t="inlineStr">
        <is>
          <t>Camelozampa</t>
        </is>
      </c>
      <c r="B19" s="14" t="inlineStr">
        <is>
          <t>La sorpresa della volpe</t>
        </is>
      </c>
      <c r="C19" s="14" t="inlineStr">
        <is>
          <t>(vedi scheda)</t>
        </is>
      </c>
      <c r="D19" s="14" t="inlineStr">
        <is>
          <t>Le Piume (albi illustrati)</t>
        </is>
      </c>
      <c r="E19" s="14" t="inlineStr">
        <is>
          <t>collana prevalentemente da 4 anni</t>
        </is>
      </c>
      <c r="F19" s="14" t="inlineStr">
        <is>
          <t>3-6 anni</t>
        </is>
      </c>
      <c r="G19" s="14" t="inlineStr">
        <is>
          <t>Albo illustrato</t>
        </is>
      </c>
      <c r="H19" s="14" t="inlineStr">
        <is>
          <t>Amicizia e pregiudizi</t>
        </is>
      </c>
      <c r="I19" s="14" t="inlineStr">
        <is>
          <t>No</t>
        </is>
      </c>
      <c r="J19" s="15" t="inlineStr">
        <is>
          <t>Da verificare</t>
        </is>
      </c>
      <c r="K19" s="14" t="inlineStr">
        <is>
          <t>3-6 anni</t>
        </is>
      </c>
      <c r="L19" s="14" t="inlineStr">
        <is>
          <t>https://www.camelozampa.com/shop/categoria/collane/le-piume-albi-illustrati/</t>
        </is>
      </c>
      <c r="M19" s="16" t="n">
        <v>15</v>
      </c>
      <c r="N19" s="14" t="inlineStr">
        <is>
          <t>Catalogo Camelozampa 2026</t>
        </is>
      </c>
      <c r="O19" s="16">
        <f>IF(ISNUMBER(M19),ROUND(M19*(1-Condizioni!$B$2),2),"")</f>
        <v/>
      </c>
      <c r="P19" s="17" t="inlineStr">
        <is>
          <t>Sì</t>
        </is>
      </c>
    </row>
    <row r="20">
      <c r="A20" s="14" t="inlineStr">
        <is>
          <t>Dalia Edizioni</t>
        </is>
      </c>
      <c r="B20" s="14" t="inlineStr">
        <is>
          <t>Arturo e Nadir</t>
        </is>
      </c>
      <c r="C20" s="14" t="inlineStr">
        <is>
          <t>Roberta Argenti; ill. Andrea Camič</t>
        </is>
      </c>
      <c r="D20" s="14" t="inlineStr">
        <is>
          <t>Dalia Ragazzi</t>
        </is>
      </c>
      <c r="E20" s="14" t="inlineStr">
        <is>
          <t>5+</t>
        </is>
      </c>
      <c r="F20" s="14" t="inlineStr">
        <is>
          <t>3-6 anni</t>
        </is>
      </c>
      <c r="G20" s="14" t="inlineStr">
        <is>
          <t>Narrativa</t>
        </is>
      </c>
      <c r="H20" s="14" t="inlineStr">
        <is>
          <t>Amicizia, multicultura e pace</t>
        </is>
      </c>
      <c r="I20" s="14" t="inlineStr">
        <is>
          <t>No</t>
        </is>
      </c>
      <c r="J20" s="14" t="inlineStr">
        <is>
          <t>Catalogo</t>
        </is>
      </c>
      <c r="K20" s="14" t="inlineStr">
        <is>
          <t>3-6 anni, narrativa</t>
        </is>
      </c>
      <c r="L20" s="14" t="inlineStr">
        <is>
          <t>https://www.daliaedizioni.it/categoria-prodotto/illustrati-kids/</t>
        </is>
      </c>
      <c r="M20" s="16" t="n">
        <v>12.9</v>
      </c>
      <c r="N20" s="14" t="inlineStr">
        <is>
          <t>Sito Dalia Edizioni</t>
        </is>
      </c>
      <c r="O20" s="16">
        <f>IF(ISNUMBER(M20),ROUND(M20*(1-Condizioni!$B$2),2),"")</f>
        <v/>
      </c>
      <c r="P20" s="17" t="inlineStr">
        <is>
          <t>Sì</t>
        </is>
      </c>
    </row>
    <row r="21">
      <c r="A21" s="14" t="inlineStr">
        <is>
          <t>Camelozampa</t>
        </is>
      </c>
      <c r="B21" s="14" t="inlineStr">
        <is>
          <t>70 trucchi per non fare il bagno</t>
        </is>
      </c>
      <c r="C21" s="14" t="inlineStr">
        <is>
          <t>(vedi scheda)</t>
        </is>
      </c>
      <c r="D21" s="14" t="inlineStr">
        <is>
          <t>Narrativa / Gruppi di lettura</t>
        </is>
      </c>
      <c r="E21" s="14" t="inlineStr">
        <is>
          <t>da 7 anni</t>
        </is>
      </c>
      <c r="F21" s="14" t="inlineStr">
        <is>
          <t>Prime letture (6-8)</t>
        </is>
      </c>
      <c r="G21" s="14" t="inlineStr">
        <is>
          <t>Romanzo</t>
        </is>
      </c>
      <c r="H21" s="14" t="inlineStr">
        <is>
          <t>Ansia da prestazione</t>
        </is>
      </c>
      <c r="I21" s="14" t="inlineStr">
        <is>
          <t>No</t>
        </is>
      </c>
      <c r="J21" s="14" t="inlineStr">
        <is>
          <t>Catalogo</t>
        </is>
      </c>
      <c r="K21" s="14" t="inlineStr">
        <is>
          <t>prime letture, romanzo, narrativa</t>
        </is>
      </c>
      <c r="L21" s="14" t="inlineStr">
        <is>
          <t>https://www.camelozampa.com/gruppi-di-lettura/</t>
        </is>
      </c>
      <c r="M21" s="16" t="n">
        <v>15.9</v>
      </c>
      <c r="N21" s="14" t="inlineStr">
        <is>
          <t>Catalogo Camelozampa 2026</t>
        </is>
      </c>
      <c r="O21" s="16">
        <f>IF(ISNUMBER(M21),ROUND(M21*(1-Condizioni!$B$2),2),"")</f>
        <v/>
      </c>
      <c r="P21" s="17" t="inlineStr">
        <is>
          <t>Sì</t>
        </is>
      </c>
    </row>
    <row r="22">
      <c r="A22" s="14" t="inlineStr">
        <is>
          <t>People</t>
        </is>
      </c>
      <c r="B22" s="14" t="inlineStr">
        <is>
          <t>Non esistono piccoli antifascisti</t>
        </is>
      </c>
      <c r="C22" s="14" t="inlineStr">
        <is>
          <t>Johannes Bückler</t>
        </is>
      </c>
      <c r="D22" s="14" t="inlineStr">
        <is>
          <t>Kids / Immaginazione</t>
        </is>
      </c>
      <c r="E22" s="14" t="inlineStr">
        <is>
          <t>da 12 anni</t>
        </is>
      </c>
      <c r="F22" s="14" t="inlineStr">
        <is>
          <t>Scuola media (11-13)</t>
        </is>
      </c>
      <c r="G22" s="14" t="inlineStr">
        <is>
          <t>Narrativa</t>
        </is>
      </c>
      <c r="H22" s="14" t="inlineStr">
        <is>
          <t>Antifascismo</t>
        </is>
      </c>
      <c r="I22" s="14" t="inlineStr">
        <is>
          <t>No</t>
        </is>
      </c>
      <c r="J22" s="14" t="inlineStr">
        <is>
          <t>Verificata (Bottegart)</t>
        </is>
      </c>
      <c r="K22" s="14" t="inlineStr">
        <is>
          <t>prima/seconda/terza media, narrativa</t>
        </is>
      </c>
      <c r="L22" s="14" t="inlineStr">
        <is>
          <t>https://www.libreriauniversitaria.it/libri-editore_People-people.htm</t>
        </is>
      </c>
      <c r="M22" s="16" t="n">
        <v>16</v>
      </c>
      <c r="N22" s="14" t="inlineStr">
        <is>
          <t>https://www.ibs.it/x/e/9791259792822</t>
        </is>
      </c>
      <c r="O22" s="16">
        <f>IF(ISNUMBER(M22),ROUND(M22*(1-Condizioni!$B$2),2),"")</f>
        <v/>
      </c>
      <c r="P22" s="17" t="inlineStr">
        <is>
          <t>Sì</t>
        </is>
      </c>
    </row>
    <row r="23">
      <c r="A23" s="14" t="inlineStr">
        <is>
          <t>Momo Edizioni</t>
        </is>
      </c>
      <c r="B23" s="14" t="inlineStr">
        <is>
          <t>Essere tempesta. Vita e morte di Giacomo Matteotti</t>
        </is>
      </c>
      <c r="C23" s="14" t="inlineStr">
        <is>
          <t>Valerio Renzi; ill. Toni Bruno</t>
        </is>
      </c>
      <c r="D23" s="14" t="inlineStr">
        <is>
          <t>Libri Monelli</t>
        </is>
      </c>
      <c r="E23" s="14" t="inlineStr">
        <is>
          <t>da 10 anni</t>
        </is>
      </c>
      <c r="F23" s="14" t="inlineStr">
        <is>
          <t>10+</t>
        </is>
      </c>
      <c r="G23" s="14" t="inlineStr">
        <is>
          <t>Narrativa</t>
        </is>
      </c>
      <c r="H23" s="14" t="inlineStr">
        <is>
          <t>Antifascismo, memoria e giustizia sociale</t>
        </is>
      </c>
      <c r="I23" s="14" t="inlineStr">
        <is>
          <t>No</t>
        </is>
      </c>
      <c r="J23" s="14" t="inlineStr">
        <is>
          <t>Verificata (IBS / editore)</t>
        </is>
      </c>
      <c r="K23" s="14" t="inlineStr">
        <is>
          <t>10+, narrativa</t>
        </is>
      </c>
      <c r="L23" s="14" t="inlineStr">
        <is>
          <t>https://momoedizioni.it/categoria/libri/libri-monelli/</t>
        </is>
      </c>
      <c r="M23" s="16" t="n">
        <v>15</v>
      </c>
      <c r="N23" s="14" t="inlineStr">
        <is>
          <t>Sito Momo Edizioni</t>
        </is>
      </c>
      <c r="O23" s="16">
        <f>IF(ISNUMBER(M23),ROUND(M23*(1-Condizioni!$B$2),2),"")</f>
        <v/>
      </c>
      <c r="P23" s="17" t="inlineStr">
        <is>
          <t>Sì</t>
        </is>
      </c>
    </row>
    <row r="24">
      <c r="A24" s="14" t="inlineStr">
        <is>
          <t>Edizioni Corsare</t>
        </is>
      </c>
      <c r="B24" s="14" t="inlineStr">
        <is>
          <t>Virginia e il tesoro perduto di Michelangelo</t>
        </is>
      </c>
      <c r="C24" s="14" t="inlineStr">
        <is>
          <t>Valentina Salerno; ill. Martina Distefano</t>
        </is>
      </c>
      <c r="D24" s="14" t="inlineStr">
        <is>
          <t>Storie corsare</t>
        </is>
      </c>
      <c r="E24" s="14" t="inlineStr">
        <is>
          <t>da 9 anni</t>
        </is>
      </c>
      <c r="F24" s="14" t="inlineStr">
        <is>
          <t>9+</t>
        </is>
      </c>
      <c r="G24" s="14" t="inlineStr">
        <is>
          <t>Avventura</t>
        </is>
      </c>
      <c r="H24" s="14" t="inlineStr">
        <is>
          <t>Arte e storia</t>
        </is>
      </c>
      <c r="I24" s="14" t="inlineStr">
        <is>
          <t>No</t>
        </is>
      </c>
      <c r="J24" s="14" t="inlineStr">
        <is>
          <t>Catalogo</t>
        </is>
      </c>
      <c r="K24" s="14" t="inlineStr">
        <is>
          <t>9+, avventura, narrativa</t>
        </is>
      </c>
      <c r="L24" s="14" t="inlineStr">
        <is>
          <t>https://www.edizionicorsare.it/categoria-prodotto/collane/storie-corsare/</t>
        </is>
      </c>
      <c r="M24" s="16" t="n">
        <v>15</v>
      </c>
      <c r="N24" s="14" t="inlineStr">
        <is>
          <t>Catalogo Edizioni Corsare Primavera 2026</t>
        </is>
      </c>
      <c r="O24" s="16">
        <f>IF(ISNUMBER(M24),ROUND(M24*(1-Condizioni!$B$2),2),"")</f>
        <v/>
      </c>
      <c r="P24" s="17" t="inlineStr">
        <is>
          <t>Sì</t>
        </is>
      </c>
    </row>
    <row r="25">
      <c r="A25" s="14" t="inlineStr">
        <is>
          <t>Uovonero</t>
        </is>
      </c>
      <c r="B25" s="14" t="inlineStr">
        <is>
          <t>Ad abbracciar nessuno</t>
        </is>
      </c>
      <c r="C25" s="14" t="inlineStr">
        <is>
          <t>Arianna Papini</t>
        </is>
      </c>
      <c r="D25" s="14" t="inlineStr">
        <is>
          <t>I Geodi</t>
        </is>
      </c>
      <c r="E25" s="14" t="inlineStr">
        <is>
          <t>3/6</t>
        </is>
      </c>
      <c r="F25" s="14" t="inlineStr">
        <is>
          <t>3-6 anni</t>
        </is>
      </c>
      <c r="G25" s="14" t="inlineStr">
        <is>
          <t>Albo illustrato</t>
        </is>
      </c>
      <c r="H25" s="14" t="inlineStr">
        <is>
          <t>Autismo</t>
        </is>
      </c>
      <c r="I25" s="14" t="inlineStr">
        <is>
          <t>No</t>
        </is>
      </c>
      <c r="J25" s="14" t="inlineStr">
        <is>
          <t>Catalogo</t>
        </is>
      </c>
      <c r="K25" s="14" t="inlineStr">
        <is>
          <t>3-6 anni</t>
        </is>
      </c>
      <c r="L25" s="14" t="inlineStr">
        <is>
          <t>https://www.uovonero.com/libri</t>
        </is>
      </c>
      <c r="M25" s="16" t="n">
        <v>16</v>
      </c>
      <c r="N25" s="14" t="inlineStr">
        <is>
          <t>Catalogo Uovonero per librai</t>
        </is>
      </c>
      <c r="O25" s="16">
        <f>IF(ISNUMBER(M25),ROUND(M25*(1-Condizioni!$B$2),2),"")</f>
        <v/>
      </c>
      <c r="P25" s="17" t="inlineStr">
        <is>
          <t>Sì</t>
        </is>
      </c>
    </row>
    <row r="26">
      <c r="A26" s="14" t="inlineStr">
        <is>
          <t>Uovonero</t>
        </is>
      </c>
      <c r="B26" s="14" t="inlineStr">
        <is>
          <t>Dove sei, piccolo Giulio?</t>
        </is>
      </c>
      <c r="C26" s="14" t="inlineStr">
        <is>
          <t>Giovanni Colaneri</t>
        </is>
      </c>
      <c r="D26" s="14" t="inlineStr">
        <is>
          <t>I Geodi</t>
        </is>
      </c>
      <c r="E26" s="14" t="inlineStr">
        <is>
          <t>3/6, 6/9</t>
        </is>
      </c>
      <c r="F26" s="14" t="inlineStr">
        <is>
          <t>3-6 anni</t>
        </is>
      </c>
      <c r="G26" s="14" t="inlineStr">
        <is>
          <t>Albo illustrato</t>
        </is>
      </c>
      <c r="H26" s="14" t="inlineStr">
        <is>
          <t>Autismo</t>
        </is>
      </c>
      <c r="I26" s="14" t="inlineStr">
        <is>
          <t>No</t>
        </is>
      </c>
      <c r="J26" s="14" t="inlineStr">
        <is>
          <t>Catalogo</t>
        </is>
      </c>
      <c r="K26" s="14" t="inlineStr">
        <is>
          <t>3-6 anni</t>
        </is>
      </c>
      <c r="L26" s="14" t="inlineStr">
        <is>
          <t>https://www.uovonero.com/libri</t>
        </is>
      </c>
      <c r="M26" s="16" t="n">
        <v>18</v>
      </c>
      <c r="N26" s="14" t="inlineStr">
        <is>
          <t>Catalogo Uovonero per librai</t>
        </is>
      </c>
      <c r="O26" s="16">
        <f>IF(ISNUMBER(M26),ROUND(M26*(1-Condizioni!$B$2),2),"")</f>
        <v/>
      </c>
      <c r="P26" s="17" t="inlineStr">
        <is>
          <t>Sì</t>
        </is>
      </c>
    </row>
    <row r="27">
      <c r="A27" s="14" t="inlineStr">
        <is>
          <t>Uovonero</t>
        </is>
      </c>
      <c r="B27" s="14" t="inlineStr">
        <is>
          <t>La distanza dei pesci</t>
        </is>
      </c>
      <c r="C27" s="14" t="inlineStr">
        <is>
          <t>C. Lorenzoni, G. Conoscenti</t>
        </is>
      </c>
      <c r="D27" s="14" t="inlineStr">
        <is>
          <t>I Geodi</t>
        </is>
      </c>
      <c r="E27" s="14" t="inlineStr">
        <is>
          <t>3/6, 6/9</t>
        </is>
      </c>
      <c r="F27" s="14" t="inlineStr">
        <is>
          <t>3-6 anni</t>
        </is>
      </c>
      <c r="G27" s="14" t="inlineStr">
        <is>
          <t>Albo illustrato</t>
        </is>
      </c>
      <c r="H27" s="14" t="inlineStr">
        <is>
          <t>Autismo</t>
        </is>
      </c>
      <c r="I27" s="14" t="inlineStr">
        <is>
          <t>No</t>
        </is>
      </c>
      <c r="J27" s="14" t="inlineStr">
        <is>
          <t>Catalogo</t>
        </is>
      </c>
      <c r="K27" s="14" t="inlineStr">
        <is>
          <t>3-6 anni</t>
        </is>
      </c>
      <c r="L27" s="14" t="inlineStr">
        <is>
          <t>https://www.uovonero.com/libri</t>
        </is>
      </c>
      <c r="M27" s="16" t="n">
        <v>16</v>
      </c>
      <c r="N27" s="14" t="inlineStr">
        <is>
          <t>Catalogo Uovonero per librai</t>
        </is>
      </c>
      <c r="O27" s="16">
        <f>IF(ISNUMBER(M27),ROUND(M27*(1-Condizioni!$B$2),2),"")</f>
        <v/>
      </c>
      <c r="P27" s="17" t="inlineStr">
        <is>
          <t>Sì</t>
        </is>
      </c>
    </row>
    <row r="28">
      <c r="A28" s="14" t="inlineStr">
        <is>
          <t>Uovonero</t>
        </is>
      </c>
      <c r="B28" s="14" t="inlineStr">
        <is>
          <t>30 giorni per capire l'autismo</t>
        </is>
      </c>
      <c r="C28" s="14" t="inlineStr">
        <is>
          <t>Babe, Baroukh, Dunana (cura E. Crivelli)</t>
        </is>
      </c>
      <c r="D28" s="14" t="inlineStr">
        <is>
          <t>Altrimenti</t>
        </is>
      </c>
      <c r="E28" s="14" t="inlineStr">
        <is>
          <t>9/12, 12+, 14+</t>
        </is>
      </c>
      <c r="F28" s="14" t="inlineStr">
        <is>
          <t>9+</t>
        </is>
      </c>
      <c r="G28" s="14" t="inlineStr">
        <is>
          <t>Divulgazione/Saggio</t>
        </is>
      </c>
      <c r="H28" s="14" t="inlineStr">
        <is>
          <t>Autismo</t>
        </is>
      </c>
      <c r="I28" s="14" t="inlineStr">
        <is>
          <t>No</t>
        </is>
      </c>
      <c r="J28" s="14" t="inlineStr">
        <is>
          <t>Catalogo</t>
        </is>
      </c>
      <c r="K28" s="14" t="inlineStr">
        <is>
          <t>9+</t>
        </is>
      </c>
      <c r="L28" s="14" t="inlineStr">
        <is>
          <t>https://www.uovonero.com/libri</t>
        </is>
      </c>
      <c r="M28" s="16" t="n">
        <v>16</v>
      </c>
      <c r="N28" s="14" t="inlineStr">
        <is>
          <t>https://www.satellitelibri.it/schedaeditore.php?maschera=editori&amp;chiave=00047&amp;pintOperazione=2&amp;tab=</t>
        </is>
      </c>
      <c r="O28" s="16">
        <f>IF(ISNUMBER(M28),ROUND(M28*(1-Condizioni!$B$2),2),"")</f>
        <v/>
      </c>
      <c r="P28" s="17" t="inlineStr">
        <is>
          <t>Sì</t>
        </is>
      </c>
    </row>
    <row r="29">
      <c r="A29" s="14" t="inlineStr">
        <is>
          <t>Uovonero</t>
        </is>
      </c>
      <c r="B29" s="14" t="inlineStr">
        <is>
          <t>Castelli di fiammiferi</t>
        </is>
      </c>
      <c r="C29" s="14" t="inlineStr">
        <is>
          <t>Bettina Obrecht</t>
        </is>
      </c>
      <c r="D29" s="14" t="inlineStr">
        <is>
          <t>I Geodi</t>
        </is>
      </c>
      <c r="E29" s="14" t="inlineStr">
        <is>
          <t>9/12, 12+</t>
        </is>
      </c>
      <c r="F29" s="14" t="inlineStr">
        <is>
          <t>9+</t>
        </is>
      </c>
      <c r="G29" s="14" t="inlineStr">
        <is>
          <t>Romanzo</t>
        </is>
      </c>
      <c r="H29" s="14" t="inlineStr">
        <is>
          <t>Autismo</t>
        </is>
      </c>
      <c r="I29" s="14" t="inlineStr">
        <is>
          <t>No</t>
        </is>
      </c>
      <c r="J29" s="14" t="inlineStr">
        <is>
          <t>Catalogo</t>
        </is>
      </c>
      <c r="K29" s="14" t="inlineStr">
        <is>
          <t>9+, romanzo, narrativa</t>
        </is>
      </c>
      <c r="L29" s="14" t="inlineStr">
        <is>
          <t>https://www.uovonero.com/libri</t>
        </is>
      </c>
      <c r="M29" s="16" t="n">
        <v>12.5</v>
      </c>
      <c r="N29" s="14" t="inlineStr">
        <is>
          <t>https://www.ibs.it/x/e/9788896918142</t>
        </is>
      </c>
      <c r="O29" s="16">
        <f>IF(ISNUMBER(M29),ROUND(M29*(1-Condizioni!$B$2),2),"")</f>
        <v/>
      </c>
      <c r="P29" s="17" t="inlineStr">
        <is>
          <t>Sì</t>
        </is>
      </c>
    </row>
    <row r="30">
      <c r="A30" s="14" t="inlineStr">
        <is>
          <t>Uovonero</t>
        </is>
      </c>
      <c r="B30" s="14" t="inlineStr">
        <is>
          <t>Dacca toxic</t>
        </is>
      </c>
      <c r="C30" s="14" t="inlineStr">
        <is>
          <t>Catherine Fradier</t>
        </is>
      </c>
      <c r="D30" s="14" t="inlineStr">
        <is>
          <t>I Geodi</t>
        </is>
      </c>
      <c r="E30" s="14" t="inlineStr">
        <is>
          <t>12+</t>
        </is>
      </c>
      <c r="F30" s="14" t="inlineStr">
        <is>
          <t>Scuola media (11-13)</t>
        </is>
      </c>
      <c r="G30" s="14" t="inlineStr">
        <is>
          <t>Avventura</t>
        </is>
      </c>
      <c r="H30" s="14" t="inlineStr">
        <is>
          <t>Autismo</t>
        </is>
      </c>
      <c r="I30" s="14" t="inlineStr">
        <is>
          <t>No</t>
        </is>
      </c>
      <c r="J30" s="14" t="inlineStr">
        <is>
          <t>Catalogo</t>
        </is>
      </c>
      <c r="K30" s="14" t="inlineStr">
        <is>
          <t>prima/seconda/terza media, avventura, narrativa</t>
        </is>
      </c>
      <c r="L30" s="14" t="inlineStr">
        <is>
          <t>https://www.uovonero.com/libri</t>
        </is>
      </c>
      <c r="M30" s="16" t="n">
        <v>15</v>
      </c>
      <c r="N30" s="14" t="inlineStr">
        <is>
          <t>Catalogo Uovonero per librai</t>
        </is>
      </c>
      <c r="O30" s="16">
        <f>IF(ISNUMBER(M30),ROUND(M30*(1-Condizioni!$B$2),2),"")</f>
        <v/>
      </c>
      <c r="P30" s="17" t="inlineStr">
        <is>
          <t>Sì</t>
        </is>
      </c>
    </row>
    <row r="31">
      <c r="A31" s="14" t="inlineStr">
        <is>
          <t>Uovonero</t>
        </is>
      </c>
      <c r="B31" s="14" t="inlineStr">
        <is>
          <t>Gabbie</t>
        </is>
      </c>
      <c r="C31" s="14" t="inlineStr">
        <is>
          <t>A. Vivarelli, G. Quarzo</t>
        </is>
      </c>
      <c r="D31" s="14" t="inlineStr">
        <is>
          <t>I Geodi</t>
        </is>
      </c>
      <c r="E31" s="14" t="inlineStr">
        <is>
          <t>12+, 14+</t>
        </is>
      </c>
      <c r="F31" s="14" t="inlineStr">
        <is>
          <t>Scuola media (11-13)</t>
        </is>
      </c>
      <c r="G31" s="14" t="inlineStr">
        <is>
          <t>Giallo/Mistero</t>
        </is>
      </c>
      <c r="H31" s="14" t="inlineStr">
        <is>
          <t>Autismo</t>
        </is>
      </c>
      <c r="I31" s="14" t="inlineStr">
        <is>
          <t>No</t>
        </is>
      </c>
      <c r="J31" s="14" t="inlineStr">
        <is>
          <t>Catalogo</t>
        </is>
      </c>
      <c r="K31" s="14" t="inlineStr">
        <is>
          <t>prima/seconda/terza media, narrativa</t>
        </is>
      </c>
      <c r="L31" s="14" t="inlineStr">
        <is>
          <t>https://www.uovonero.com/libri</t>
        </is>
      </c>
      <c r="M31" s="16" t="n">
        <v>16</v>
      </c>
      <c r="N31" s="14" t="inlineStr">
        <is>
          <t>Catalogo Uovonero per librai</t>
        </is>
      </c>
      <c r="O31" s="16">
        <f>IF(ISNUMBER(M31),ROUND(M31*(1-Condizioni!$B$2),2),"")</f>
        <v/>
      </c>
      <c r="P31" s="17" t="inlineStr">
        <is>
          <t>Sì</t>
        </is>
      </c>
    </row>
    <row r="32">
      <c r="A32" s="14" t="inlineStr">
        <is>
          <t>Uovonero</t>
        </is>
      </c>
      <c r="B32" s="14" t="inlineStr">
        <is>
          <t>Il mistero del Guggenheim</t>
        </is>
      </c>
      <c r="C32" s="14" t="inlineStr">
        <is>
          <t>Robin Stevens (idea di S. Dowd)</t>
        </is>
      </c>
      <c r="D32" s="14" t="inlineStr">
        <is>
          <t>I Geodi</t>
        </is>
      </c>
      <c r="E32" s="14" t="inlineStr">
        <is>
          <t>12+, 14+</t>
        </is>
      </c>
      <c r="F32" s="14" t="inlineStr">
        <is>
          <t>Scuola media (11-13)</t>
        </is>
      </c>
      <c r="G32" s="14" t="inlineStr">
        <is>
          <t>Giallo/Mistero</t>
        </is>
      </c>
      <c r="H32" s="14" t="inlineStr">
        <is>
          <t>Autismo</t>
        </is>
      </c>
      <c r="I32" s="14" t="inlineStr">
        <is>
          <t>No</t>
        </is>
      </c>
      <c r="J32" s="14" t="inlineStr">
        <is>
          <t>Catalogo</t>
        </is>
      </c>
      <c r="K32" s="14" t="inlineStr">
        <is>
          <t>prima/seconda/terza media, narrativa</t>
        </is>
      </c>
      <c r="L32" s="14" t="inlineStr">
        <is>
          <t>https://www.uovonero.com/libri</t>
        </is>
      </c>
      <c r="M32" s="16" t="n">
        <v>16</v>
      </c>
      <c r="N32" s="14" t="inlineStr">
        <is>
          <t>Catalogo Uovonero per librai</t>
        </is>
      </c>
      <c r="O32" s="16">
        <f>IF(ISNUMBER(M32),ROUND(M32*(1-Condizioni!$B$2),2),"")</f>
        <v/>
      </c>
      <c r="P32" s="17" t="inlineStr">
        <is>
          <t>Sì</t>
        </is>
      </c>
    </row>
    <row r="33">
      <c r="A33" s="14" t="inlineStr">
        <is>
          <t>Uovonero</t>
        </is>
      </c>
      <c r="B33" s="14" t="inlineStr">
        <is>
          <t>Keedie</t>
        </is>
      </c>
      <c r="C33" s="14" t="inlineStr">
        <is>
          <t>Elle McNicoll</t>
        </is>
      </c>
      <c r="D33" s="14" t="inlineStr">
        <is>
          <t>I Geodi</t>
        </is>
      </c>
      <c r="E33" s="14" t="inlineStr">
        <is>
          <t>12+</t>
        </is>
      </c>
      <c r="F33" s="14" t="inlineStr">
        <is>
          <t>Scuola media (11-13)</t>
        </is>
      </c>
      <c r="G33" s="14" t="inlineStr">
        <is>
          <t>Romanzo</t>
        </is>
      </c>
      <c r="H33" s="14" t="inlineStr">
        <is>
          <t>Autismo</t>
        </is>
      </c>
      <c r="I33" s="14" t="inlineStr">
        <is>
          <t>No</t>
        </is>
      </c>
      <c r="J33" s="14" t="inlineStr">
        <is>
          <t>Catalogo</t>
        </is>
      </c>
      <c r="K33" s="14" t="inlineStr">
        <is>
          <t>prima/seconda/terza media, romanzo, narrativa</t>
        </is>
      </c>
      <c r="L33" s="14" t="inlineStr">
        <is>
          <t>https://www.uovonero.com/libri</t>
        </is>
      </c>
      <c r="M33" s="16" t="n">
        <v>16</v>
      </c>
      <c r="N33" s="14" t="inlineStr">
        <is>
          <t>Catalogo Uovonero per librai</t>
        </is>
      </c>
      <c r="O33" s="16">
        <f>IF(ISNUMBER(M33),ROUND(M33*(1-Condizioni!$B$2),2),"")</f>
        <v/>
      </c>
      <c r="P33" s="17" t="inlineStr">
        <is>
          <t>Sì</t>
        </is>
      </c>
    </row>
    <row r="34">
      <c r="A34" s="14" t="inlineStr">
        <is>
          <t>Uovonero</t>
        </is>
      </c>
      <c r="B34" s="14" t="inlineStr">
        <is>
          <t>La fisica degli abbracci</t>
        </is>
      </c>
      <c r="C34" s="14" t="inlineStr">
        <is>
          <t>Anna Vivarelli</t>
        </is>
      </c>
      <c r="D34" s="14" t="inlineStr">
        <is>
          <t>I Geodi</t>
        </is>
      </c>
      <c r="E34" s="14" t="inlineStr">
        <is>
          <t>12+, 14+</t>
        </is>
      </c>
      <c r="F34" s="14" t="inlineStr">
        <is>
          <t>Scuola media (11-13)</t>
        </is>
      </c>
      <c r="G34" s="14" t="inlineStr">
        <is>
          <t>Romanzo</t>
        </is>
      </c>
      <c r="H34" s="14" t="inlineStr">
        <is>
          <t>Autismo</t>
        </is>
      </c>
      <c r="I34" s="14" t="inlineStr">
        <is>
          <t>No</t>
        </is>
      </c>
      <c r="J34" s="14" t="inlineStr">
        <is>
          <t>Catalogo</t>
        </is>
      </c>
      <c r="K34" s="14" t="inlineStr">
        <is>
          <t>prima/seconda/terza media, romanzo, narrativa</t>
        </is>
      </c>
      <c r="L34" s="14" t="inlineStr">
        <is>
          <t>https://www.uovonero.com/libri</t>
        </is>
      </c>
      <c r="M34" s="16" t="n">
        <v>15</v>
      </c>
      <c r="N34" s="14" t="inlineStr">
        <is>
          <t>Catalogo Uovonero per librai</t>
        </is>
      </c>
      <c r="O34" s="16">
        <f>IF(ISNUMBER(M34),ROUND(M34*(1-Condizioni!$B$2),2),"")</f>
        <v/>
      </c>
      <c r="P34" s="17" t="inlineStr">
        <is>
          <t>Sì</t>
        </is>
      </c>
    </row>
    <row r="35">
      <c r="A35" s="14" t="inlineStr">
        <is>
          <t>Uovonero</t>
        </is>
      </c>
      <c r="B35" s="14" t="inlineStr">
        <is>
          <t>Mio fratello è un Custode</t>
        </is>
      </c>
      <c r="C35" s="14" t="inlineStr">
        <is>
          <t>Marine Carteron</t>
        </is>
      </c>
      <c r="D35" s="14" t="inlineStr">
        <is>
          <t>I Geodi</t>
        </is>
      </c>
      <c r="E35" s="14" t="inlineStr">
        <is>
          <t>12+, 14+</t>
        </is>
      </c>
      <c r="F35" s="14" t="inlineStr">
        <is>
          <t>Scuola media (11-13)</t>
        </is>
      </c>
      <c r="G35" s="14" t="inlineStr">
        <is>
          <t>Avventura</t>
        </is>
      </c>
      <c r="H35" s="14" t="inlineStr">
        <is>
          <t>Autismo</t>
        </is>
      </c>
      <c r="I35" s="14" t="inlineStr">
        <is>
          <t>No</t>
        </is>
      </c>
      <c r="J35" s="14" t="inlineStr">
        <is>
          <t>Catalogo</t>
        </is>
      </c>
      <c r="K35" s="14" t="inlineStr">
        <is>
          <t>prima/seconda/terza media, avventura, narrativa</t>
        </is>
      </c>
      <c r="L35" s="14" t="inlineStr">
        <is>
          <t>https://www.uovonero.com/libri</t>
        </is>
      </c>
      <c r="M35" s="16" t="n">
        <v>15</v>
      </c>
      <c r="N35" s="14" t="inlineStr">
        <is>
          <t>Catalogo Uovonero per librai</t>
        </is>
      </c>
      <c r="O35" s="16">
        <f>IF(ISNUMBER(M35),ROUND(M35*(1-Condizioni!$B$2),2),"")</f>
        <v/>
      </c>
      <c r="P35" s="17" t="inlineStr">
        <is>
          <t>Sì</t>
        </is>
      </c>
    </row>
    <row r="36">
      <c r="A36" s="14" t="inlineStr">
        <is>
          <t>Uovonero</t>
        </is>
      </c>
      <c r="B36" s="14" t="inlineStr">
        <is>
          <t>Mostraci chi sei</t>
        </is>
      </c>
      <c r="C36" s="14" t="inlineStr">
        <is>
          <t>Elle McNicoll</t>
        </is>
      </c>
      <c r="D36" s="14" t="inlineStr">
        <is>
          <t>I Geodi</t>
        </is>
      </c>
      <c r="E36" s="14" t="inlineStr">
        <is>
          <t>12+, 14+</t>
        </is>
      </c>
      <c r="F36" s="14" t="inlineStr">
        <is>
          <t>Scuola media (11-13)</t>
        </is>
      </c>
      <c r="G36" s="14" t="inlineStr">
        <is>
          <t>Romanzo</t>
        </is>
      </c>
      <c r="H36" s="14" t="inlineStr">
        <is>
          <t>Autismo</t>
        </is>
      </c>
      <c r="I36" s="14" t="inlineStr">
        <is>
          <t>No</t>
        </is>
      </c>
      <c r="J36" s="14" t="inlineStr">
        <is>
          <t>Catalogo</t>
        </is>
      </c>
      <c r="K36" s="14" t="inlineStr">
        <is>
          <t>prima/seconda/terza media, romanzo, narrativa</t>
        </is>
      </c>
      <c r="L36" s="14" t="inlineStr">
        <is>
          <t>https://www.uovonero.com/libri</t>
        </is>
      </c>
      <c r="M36" s="16" t="n">
        <v>16</v>
      </c>
      <c r="N36" s="14" t="inlineStr">
        <is>
          <t>Catalogo Uovonero per librai</t>
        </is>
      </c>
      <c r="O36" s="16">
        <f>IF(ISNUMBER(M36),ROUND(M36*(1-Condizioni!$B$2),2),"")</f>
        <v/>
      </c>
      <c r="P36" s="17" t="inlineStr">
        <is>
          <t>Sì</t>
        </is>
      </c>
    </row>
    <row r="37">
      <c r="A37" s="14" t="inlineStr">
        <is>
          <t>Uovonero</t>
        </is>
      </c>
      <c r="B37" s="14" t="inlineStr">
        <is>
          <t>Tutt'altro che tipico</t>
        </is>
      </c>
      <c r="C37" s="14" t="inlineStr">
        <is>
          <t>Nora Raleigh Baskin</t>
        </is>
      </c>
      <c r="D37" s="14" t="inlineStr">
        <is>
          <t>I Geodi</t>
        </is>
      </c>
      <c r="E37" s="14" t="inlineStr">
        <is>
          <t>12+</t>
        </is>
      </c>
      <c r="F37" s="14" t="inlineStr">
        <is>
          <t>Scuola media (11-13)</t>
        </is>
      </c>
      <c r="G37" s="14" t="inlineStr">
        <is>
          <t>Romanzo</t>
        </is>
      </c>
      <c r="H37" s="14" t="inlineStr">
        <is>
          <t>Autismo</t>
        </is>
      </c>
      <c r="I37" s="14" t="inlineStr">
        <is>
          <t>No</t>
        </is>
      </c>
      <c r="J37" s="14" t="inlineStr">
        <is>
          <t>Catalogo</t>
        </is>
      </c>
      <c r="K37" s="14" t="inlineStr">
        <is>
          <t>prima/seconda/terza media, romanzo, narrativa</t>
        </is>
      </c>
      <c r="L37" s="14" t="inlineStr">
        <is>
          <t>https://www.uovonero.com/libri</t>
        </is>
      </c>
      <c r="M37" s="16" t="n">
        <v>14</v>
      </c>
      <c r="N37" s="14" t="inlineStr">
        <is>
          <t>Catalogo Uovonero per librai</t>
        </is>
      </c>
      <c r="O37" s="16">
        <f>IF(ISNUMBER(M37),ROUND(M37*(1-Condizioni!$B$2),2),"")</f>
        <v/>
      </c>
      <c r="P37" s="17" t="inlineStr">
        <is>
          <t>Sì</t>
        </is>
      </c>
    </row>
    <row r="38">
      <c r="A38" s="14" t="inlineStr">
        <is>
          <t>Uovonero</t>
        </is>
      </c>
      <c r="B38" s="14" t="inlineStr">
        <is>
          <t>Una piccola cosa senza importanza</t>
        </is>
      </c>
      <c r="C38" s="14" t="inlineStr">
        <is>
          <t>Catherine Fradier</t>
        </is>
      </c>
      <c r="D38" s="14" t="inlineStr">
        <is>
          <t>I Geodi</t>
        </is>
      </c>
      <c r="E38" s="14" t="inlineStr">
        <is>
          <t>12+, 14+</t>
        </is>
      </c>
      <c r="F38" s="14" t="inlineStr">
        <is>
          <t>Scuola media (11-13)</t>
        </is>
      </c>
      <c r="G38" s="14" t="inlineStr">
        <is>
          <t>Avventura</t>
        </is>
      </c>
      <c r="H38" s="14" t="inlineStr">
        <is>
          <t>Autismo</t>
        </is>
      </c>
      <c r="I38" s="14" t="inlineStr">
        <is>
          <t>No</t>
        </is>
      </c>
      <c r="J38" s="14" t="inlineStr">
        <is>
          <t>Catalogo</t>
        </is>
      </c>
      <c r="K38" s="14" t="inlineStr">
        <is>
          <t>prima/seconda/terza media, avventura, narrativa</t>
        </is>
      </c>
      <c r="L38" s="14" t="inlineStr">
        <is>
          <t>https://www.uovonero.com/libri</t>
        </is>
      </c>
      <c r="M38" s="16" t="n">
        <v>15</v>
      </c>
      <c r="N38" s="14" t="inlineStr">
        <is>
          <t>Catalogo Uovonero per librai</t>
        </is>
      </c>
      <c r="O38" s="16">
        <f>IF(ISNUMBER(M38),ROUND(M38*(1-Condizioni!$B$2),2),"")</f>
        <v/>
      </c>
      <c r="P38" s="17" t="inlineStr">
        <is>
          <t>Sì</t>
        </is>
      </c>
    </row>
    <row r="39">
      <c r="A39" s="14" t="inlineStr">
        <is>
          <t>Pelledoca</t>
        </is>
      </c>
      <c r="B39" s="14" t="inlineStr">
        <is>
          <t>Uscita di Sicurezza</t>
        </is>
      </c>
      <c r="C39" s="14" t="inlineStr">
        <is>
          <t>Carla Anzile</t>
        </is>
      </c>
      <c r="D39" s="14" t="inlineStr">
        <is>
          <t>NeroInchiostro</t>
        </is>
      </c>
      <c r="E39" s="14" t="inlineStr">
        <is>
          <t>Dai 10 anni</t>
        </is>
      </c>
      <c r="F39" s="14" t="inlineStr">
        <is>
          <t>10+</t>
        </is>
      </c>
      <c r="G39" s="14" t="inlineStr">
        <is>
          <t>Romanzo</t>
        </is>
      </c>
      <c r="H39" s="14" t="inlineStr">
        <is>
          <t>Autismo</t>
        </is>
      </c>
      <c r="I39" s="14" t="inlineStr">
        <is>
          <t>No</t>
        </is>
      </c>
      <c r="J39" s="14" t="inlineStr">
        <is>
          <t>Catalogo</t>
        </is>
      </c>
      <c r="K39" s="14" t="inlineStr">
        <is>
          <t>10+, romanzo, narrativa</t>
        </is>
      </c>
      <c r="L39" s="14" t="inlineStr">
        <is>
          <t>Catalogo Pelledoca 2025 (ISBN 9788832790238)</t>
        </is>
      </c>
      <c r="M39" s="16" t="n">
        <v>16</v>
      </c>
      <c r="N39" s="14" t="inlineStr">
        <is>
          <t>Catalogo Pelledoca 2025</t>
        </is>
      </c>
      <c r="O39" s="16">
        <f>IF(ISNUMBER(M39),ROUND(M39*(1-Condizioni!$B$2),2),"")</f>
        <v/>
      </c>
      <c r="P39" s="17" t="inlineStr">
        <is>
          <t>Sì</t>
        </is>
      </c>
    </row>
    <row r="40">
      <c r="A40" s="14" t="inlineStr">
        <is>
          <t>Settenove</t>
        </is>
      </c>
      <c r="B40" s="14" t="inlineStr">
        <is>
          <t>Ada al contrario</t>
        </is>
      </c>
      <c r="C40" s="14" t="inlineStr">
        <is>
          <t>Guia Risari; ill. Francesca Buonanno</t>
        </is>
      </c>
      <c r="D40" s="14" t="inlineStr">
        <is>
          <t>Albi illustrati / Narrativa / Educazione al genere</t>
        </is>
      </c>
      <c r="E40" s="14" t="inlineStr">
        <is>
          <t>da 4 anni</t>
        </is>
      </c>
      <c r="F40" s="14" t="inlineStr">
        <is>
          <t>3-6 anni</t>
        </is>
      </c>
      <c r="G40" s="14" t="inlineStr">
        <is>
          <t>Albo illustrato</t>
        </is>
      </c>
      <c r="H40" s="14" t="inlineStr">
        <is>
          <t>Autismo (Asperger) e diritto alla diversità</t>
        </is>
      </c>
      <c r="I40" s="14" t="inlineStr">
        <is>
          <t>No</t>
        </is>
      </c>
      <c r="J40" s="14" t="inlineStr">
        <is>
          <t>Catalogo</t>
        </is>
      </c>
      <c r="K40" s="14" t="inlineStr">
        <is>
          <t>3-6 anni</t>
        </is>
      </c>
      <c r="L40" s="14" t="inlineStr">
        <is>
          <t>https://www.ibs.it/ada-al-contrario-ediz-a-libro-guia-risari/e/9788898947423</t>
        </is>
      </c>
      <c r="M40" s="16" t="n">
        <v>16.5</v>
      </c>
      <c r="N40" s="14" t="inlineStr">
        <is>
          <t>Sito Settenove (prezzo di copertina)</t>
        </is>
      </c>
      <c r="O40" s="16">
        <f>IF(ISNUMBER(M40),ROUND(M40*(1-Condizioni!$B$2),2),"")</f>
        <v/>
      </c>
      <c r="P40" s="17" t="inlineStr">
        <is>
          <t>Sì</t>
        </is>
      </c>
    </row>
    <row r="41">
      <c r="A41" s="14" t="inlineStr">
        <is>
          <t>Uovonero</t>
        </is>
      </c>
      <c r="B41" s="14" t="inlineStr">
        <is>
          <t>Il mistero del London Eye</t>
        </is>
      </c>
      <c r="C41" s="14" t="inlineStr">
        <is>
          <t>Siobhan Dowd</t>
        </is>
      </c>
      <c r="D41" s="14" t="inlineStr">
        <is>
          <t>I Geodi</t>
        </is>
      </c>
      <c r="E41" s="14" t="inlineStr">
        <is>
          <t>12+</t>
        </is>
      </c>
      <c r="F41" s="14" t="inlineStr">
        <is>
          <t>Scuola media (11-13)</t>
        </is>
      </c>
      <c r="G41" s="14" t="inlineStr">
        <is>
          <t>Giallo/Mistero</t>
        </is>
      </c>
      <c r="H41" s="14" t="inlineStr">
        <is>
          <t>Autismo (Premio Andersen 2012)</t>
        </is>
      </c>
      <c r="I41" s="14" t="inlineStr">
        <is>
          <t>No</t>
        </is>
      </c>
      <c r="J41" s="14" t="inlineStr">
        <is>
          <t>Catalogo</t>
        </is>
      </c>
      <c r="K41" s="14" t="inlineStr">
        <is>
          <t>prima/seconda/terza media, narrativa</t>
        </is>
      </c>
      <c r="L41" s="14" t="inlineStr">
        <is>
          <t>https://www.uovonero.com/libri</t>
        </is>
      </c>
      <c r="M41" s="16" t="n">
        <v>16</v>
      </c>
      <c r="N41" s="14" t="inlineStr">
        <is>
          <t>Catalogo Uovonero per librai</t>
        </is>
      </c>
      <c r="O41" s="16">
        <f>IF(ISNUMBER(M41),ROUND(M41*(1-Condizioni!$B$2),2),"")</f>
        <v/>
      </c>
      <c r="P41" s="17" t="inlineStr">
        <is>
          <t>Sì</t>
        </is>
      </c>
    </row>
    <row r="42">
      <c r="A42" s="14" t="inlineStr">
        <is>
          <t>Uovonero</t>
        </is>
      </c>
      <c r="B42" s="14" t="inlineStr">
        <is>
          <t>Una specie di scintilla</t>
        </is>
      </c>
      <c r="C42" s="14" t="inlineStr">
        <is>
          <t>Elle McNicoll</t>
        </is>
      </c>
      <c r="D42" s="14" t="inlineStr">
        <is>
          <t>I Geodi</t>
        </is>
      </c>
      <c r="E42" s="14" t="inlineStr">
        <is>
          <t>9/12, 12+</t>
        </is>
      </c>
      <c r="F42" s="14" t="inlineStr">
        <is>
          <t>9+</t>
        </is>
      </c>
      <c r="G42" s="14" t="inlineStr">
        <is>
          <t>Romanzo</t>
        </is>
      </c>
      <c r="H42" s="14" t="inlineStr">
        <is>
          <t>Autismo (autrice autistica)</t>
        </is>
      </c>
      <c r="I42" s="14" t="inlineStr">
        <is>
          <t>No</t>
        </is>
      </c>
      <c r="J42" s="14" t="inlineStr">
        <is>
          <t>Catalogo</t>
        </is>
      </c>
      <c r="K42" s="14" t="inlineStr">
        <is>
          <t>9+, romanzo, narrativa</t>
        </is>
      </c>
      <c r="L42" s="14" t="inlineStr">
        <is>
          <t>https://www.uovonero.com/libri</t>
        </is>
      </c>
      <c r="M42" s="16" t="n">
        <v>15</v>
      </c>
      <c r="N42" s="14" t="inlineStr">
        <is>
          <t>Catalogo Uovonero per librai</t>
        </is>
      </c>
      <c r="O42" s="16">
        <f>IF(ISNUMBER(M42),ROUND(M42*(1-Condizioni!$B$2),2),"")</f>
        <v/>
      </c>
      <c r="P42" s="17" t="inlineStr">
        <is>
          <t>Sì</t>
        </is>
      </c>
    </row>
    <row r="43">
      <c r="A43" s="14" t="inlineStr">
        <is>
          <t>Uovonero</t>
        </is>
      </c>
      <c r="B43" s="14" t="inlineStr">
        <is>
          <t>Divergente</t>
        </is>
      </c>
      <c r="C43" s="14" t="inlineStr">
        <is>
          <t>Victoria Grondin</t>
        </is>
      </c>
      <c r="D43" s="14" t="inlineStr">
        <is>
          <t>I Geodi</t>
        </is>
      </c>
      <c r="E43" s="14" t="inlineStr">
        <is>
          <t>14+</t>
        </is>
      </c>
      <c r="F43" s="14" t="inlineStr">
        <is>
          <t>Adolescenza (14+)</t>
        </is>
      </c>
      <c r="G43" s="14" t="inlineStr">
        <is>
          <t>Romanzo</t>
        </is>
      </c>
      <c r="H43" s="14" t="inlineStr">
        <is>
          <t>Autismo / diversità</t>
        </is>
      </c>
      <c r="I43" s="14" t="inlineStr">
        <is>
          <t>No</t>
        </is>
      </c>
      <c r="J43" s="14" t="inlineStr">
        <is>
          <t>Catalogo</t>
        </is>
      </c>
      <c r="K43" s="14" t="inlineStr">
        <is>
          <t>adolescenza, romanzo, narrativa</t>
        </is>
      </c>
      <c r="L43" s="14" t="inlineStr">
        <is>
          <t>https://www.uovonero.com/libri</t>
        </is>
      </c>
      <c r="M43" s="16" t="n">
        <v>15</v>
      </c>
      <c r="N43" s="14" t="inlineStr">
        <is>
          <t>Catalogo Uovonero per librai</t>
        </is>
      </c>
      <c r="O43" s="16">
        <f>IF(ISNUMBER(M43),ROUND(M43*(1-Condizioni!$B$2),2),"")</f>
        <v/>
      </c>
      <c r="P43" s="17" t="inlineStr">
        <is>
          <t>Sì</t>
        </is>
      </c>
    </row>
    <row r="44">
      <c r="A44" s="14" t="inlineStr">
        <is>
          <t>Uovonero</t>
        </is>
      </c>
      <c r="B44" s="14" t="inlineStr">
        <is>
          <t>L'aquilone di Noah</t>
        </is>
      </c>
      <c r="C44" s="14" t="inlineStr">
        <is>
          <t>Rafael Salmerón</t>
        </is>
      </c>
      <c r="D44" s="14" t="inlineStr">
        <is>
          <t>I Geodi</t>
        </is>
      </c>
      <c r="E44" s="14" t="inlineStr">
        <is>
          <t>14+</t>
        </is>
      </c>
      <c r="F44" s="14" t="inlineStr">
        <is>
          <t>Adolescenza (14+)</t>
        </is>
      </c>
      <c r="G44" s="14" t="inlineStr">
        <is>
          <t>Romanzo</t>
        </is>
      </c>
      <c r="H44" s="14" t="inlineStr">
        <is>
          <t>Autismo; Seconda guerra mondiale</t>
        </is>
      </c>
      <c r="I44" s="14" t="inlineStr">
        <is>
          <t>No</t>
        </is>
      </c>
      <c r="J44" s="14" t="inlineStr">
        <is>
          <t>Catalogo</t>
        </is>
      </c>
      <c r="K44" s="14" t="inlineStr">
        <is>
          <t>adolescenza, romanzo, narrativa</t>
        </is>
      </c>
      <c r="L44" s="14" t="inlineStr">
        <is>
          <t>https://www.uovonero.com/libri</t>
        </is>
      </c>
      <c r="M44" s="16" t="n">
        <v>15</v>
      </c>
      <c r="N44" s="14" t="inlineStr">
        <is>
          <t>Catalogo Uovonero per librai</t>
        </is>
      </c>
      <c r="O44" s="16">
        <f>IF(ISNUMBER(M44),ROUND(M44*(1-Condizioni!$B$2),2),"")</f>
        <v/>
      </c>
      <c r="P44" s="17" t="inlineStr">
        <is>
          <t>Sì</t>
        </is>
      </c>
    </row>
    <row r="45">
      <c r="A45" s="14" t="inlineStr">
        <is>
          <t>Settenove</t>
        </is>
      </c>
      <c r="B45" s="14" t="inlineStr">
        <is>
          <t>Una stanza tutta per me</t>
        </is>
      </c>
      <c r="C45" s="14" t="inlineStr">
        <is>
          <t>Serena Ballista; ill. Chiara Carrer</t>
        </is>
      </c>
      <c r="D45" s="14" t="inlineStr">
        <is>
          <t>Albi illustrati / Narrativa / Educazione al genere</t>
        </is>
      </c>
      <c r="E45" s="14" t="inlineStr">
        <is>
          <t>da 3 anni</t>
        </is>
      </c>
      <c r="F45" s="14" t="inlineStr">
        <is>
          <t>3-6 anni</t>
        </is>
      </c>
      <c r="G45" s="14" t="inlineStr">
        <is>
          <t>Albo illustrato</t>
        </is>
      </c>
      <c r="H45" s="14" t="inlineStr">
        <is>
          <t>Autonomia delle donne (da Virginia Woolf)</t>
        </is>
      </c>
      <c r="I45" s="14" t="inlineStr">
        <is>
          <t>No</t>
        </is>
      </c>
      <c r="J45" s="14" t="inlineStr">
        <is>
          <t>Catalogo</t>
        </is>
      </c>
      <c r="K45" s="14" t="inlineStr">
        <is>
          <t>3-6 anni</t>
        </is>
      </c>
      <c r="L45" s="14" t="inlineStr">
        <is>
          <t>https://www.settenove.it/catalogo/narrativa/5</t>
        </is>
      </c>
      <c r="M45" s="16" t="n">
        <v>15</v>
      </c>
      <c r="N45" s="14" t="inlineStr">
        <is>
          <t>Sito Settenove (prezzo di copertina)</t>
        </is>
      </c>
      <c r="O45" s="16">
        <f>IF(ISNUMBER(M45),ROUND(M45*(1-Condizioni!$B$2),2),"")</f>
        <v/>
      </c>
      <c r="P45" s="17" t="inlineStr">
        <is>
          <t>Sì</t>
        </is>
      </c>
    </row>
    <row r="46">
      <c r="A46" s="14" t="inlineStr">
        <is>
          <t>Dalia Edizioni</t>
        </is>
      </c>
      <c r="B46" s="14" t="inlineStr">
        <is>
          <t>Benni, Celestina e 10 cuccioli da salvare</t>
        </is>
      </c>
      <c r="C46" s="14" t="inlineStr">
        <is>
          <t>Patrizia Fortunati; ill. Roberta Procacci</t>
        </is>
      </c>
      <c r="D46" s="14" t="inlineStr">
        <is>
          <t>Gli spericolati</t>
        </is>
      </c>
      <c r="E46" s="14" t="inlineStr">
        <is>
          <t>7+</t>
        </is>
      </c>
      <c r="F46" s="14" t="inlineStr">
        <is>
          <t>Prime letture (6-8)</t>
        </is>
      </c>
      <c r="G46" s="14" t="inlineStr">
        <is>
          <t>Narrativa</t>
        </is>
      </c>
      <c r="H46" s="14" t="inlineStr">
        <is>
          <t>Avventura e solidarietà</t>
        </is>
      </c>
      <c r="I46" s="14" t="inlineStr">
        <is>
          <t>No</t>
        </is>
      </c>
      <c r="J46" s="14" t="inlineStr">
        <is>
          <t>Catalogo</t>
        </is>
      </c>
      <c r="K46" s="14" t="inlineStr">
        <is>
          <t>prime letture, narrativa</t>
        </is>
      </c>
      <c r="L46" s="14" t="inlineStr">
        <is>
          <t>https://www.daliaedizioni.it/categoria-prodotto/illustrati-kids/</t>
        </is>
      </c>
      <c r="M46" s="16" t="n">
        <v>11.9</v>
      </c>
      <c r="N46" s="14" t="inlineStr">
        <is>
          <t>Sito Dalia Edizioni</t>
        </is>
      </c>
      <c r="O46" s="16">
        <f>IF(ISNUMBER(M46),ROUND(M46*(1-Condizioni!$B$2),2),"")</f>
        <v/>
      </c>
      <c r="P46" s="17" t="inlineStr">
        <is>
          <t>No</t>
        </is>
      </c>
    </row>
    <row r="47">
      <c r="A47" s="14" t="inlineStr">
        <is>
          <t>Pelledoca</t>
        </is>
      </c>
      <c r="B47" s="14" t="inlineStr">
        <is>
          <t>Fuori Dal Branco</t>
        </is>
      </c>
      <c r="C47" s="14" t="inlineStr">
        <is>
          <t>Sara Magnoli</t>
        </is>
      </c>
      <c r="D47" s="14" t="inlineStr">
        <is>
          <t>NeroInchiostro</t>
        </is>
      </c>
      <c r="E47" s="14" t="inlineStr">
        <is>
          <t>Dai 12 anni</t>
        </is>
      </c>
      <c r="F47" s="14" t="inlineStr">
        <is>
          <t>Scuola media (11-13)</t>
        </is>
      </c>
      <c r="G47" s="14" t="inlineStr">
        <is>
          <t>Romanzo</t>
        </is>
      </c>
      <c r="H47" s="14" t="inlineStr">
        <is>
          <t>Baby gang e pressione del gruppo</t>
        </is>
      </c>
      <c r="I47" s="14" t="inlineStr">
        <is>
          <t>No</t>
        </is>
      </c>
      <c r="J47" s="14" t="inlineStr">
        <is>
          <t>Catalogo</t>
        </is>
      </c>
      <c r="K47" s="14" t="inlineStr">
        <is>
          <t>prima/seconda/terza media, romanzo, narrativa</t>
        </is>
      </c>
      <c r="L47" s="14" t="inlineStr">
        <is>
          <t>Catalogo Pelledoca 2025 (ISBN 9788832790450)</t>
        </is>
      </c>
      <c r="M47" s="16" t="n">
        <v>16</v>
      </c>
      <c r="N47" s="14" t="inlineStr">
        <is>
          <t>Catalogo Pelledoca 2025</t>
        </is>
      </c>
      <c r="O47" s="16">
        <f>IF(ISNUMBER(M47),ROUND(M47*(1-Condizioni!$B$2),2),"")</f>
        <v/>
      </c>
      <c r="P47" s="17" t="inlineStr">
        <is>
          <t>Sì</t>
        </is>
      </c>
    </row>
    <row r="48">
      <c r="A48" s="14" t="inlineStr">
        <is>
          <t>Edizioni Corsare</t>
        </is>
      </c>
      <c r="B48" s="14" t="inlineStr">
        <is>
          <t>Frottole e segreti</t>
        </is>
      </c>
      <c r="C48" s="14" t="inlineStr">
        <is>
          <t>Stefania Gatti</t>
        </is>
      </c>
      <c r="D48" s="14" t="inlineStr">
        <is>
          <t>Storie corsare</t>
        </is>
      </c>
      <c r="E48" s="14" t="inlineStr">
        <is>
          <t>da 9 anni</t>
        </is>
      </c>
      <c r="F48" s="14" t="inlineStr">
        <is>
          <t>9+</t>
        </is>
      </c>
      <c r="G48" s="14" t="inlineStr">
        <is>
          <t>Romanzo</t>
        </is>
      </c>
      <c r="H48" s="14" t="inlineStr">
        <is>
          <t>Balbuzie, solitudine e amicizia</t>
        </is>
      </c>
      <c r="I48" s="14" t="inlineStr">
        <is>
          <t>No</t>
        </is>
      </c>
      <c r="J48" s="14" t="inlineStr">
        <is>
          <t>Catalogo</t>
        </is>
      </c>
      <c r="K48" s="14" t="inlineStr">
        <is>
          <t>9+, romanzo, narrativa</t>
        </is>
      </c>
      <c r="L48" s="14" t="inlineStr">
        <is>
          <t>https://www.edizionicorsare.it/categoria-prodotto/collane/storie-corsare/</t>
        </is>
      </c>
      <c r="M48" s="16" t="n">
        <v>10</v>
      </c>
      <c r="N48" s="14" t="inlineStr">
        <is>
          <t>Catalogo Edizioni Corsare Primavera 2026</t>
        </is>
      </c>
      <c r="O48" s="16">
        <f>IF(ISNUMBER(M48),ROUND(M48*(1-Condizioni!$B$2),2),"")</f>
        <v/>
      </c>
      <c r="P48" s="17" t="inlineStr">
        <is>
          <t>Sì</t>
        </is>
      </c>
    </row>
    <row r="49">
      <c r="A49" s="14" t="inlineStr">
        <is>
          <t>Uovonero</t>
        </is>
      </c>
      <c r="B49" s="14" t="inlineStr">
        <is>
          <t>Thornhill</t>
        </is>
      </c>
      <c r="C49" s="14" t="inlineStr">
        <is>
          <t>Pam Smy</t>
        </is>
      </c>
      <c r="D49" s="14" t="inlineStr">
        <is>
          <t>I Geodi</t>
        </is>
      </c>
      <c r="E49" s="14" t="inlineStr">
        <is>
          <t>12+, 14+</t>
        </is>
      </c>
      <c r="F49" s="14" t="inlineStr">
        <is>
          <t>Scuola media (11-13)</t>
        </is>
      </c>
      <c r="G49" s="14" t="inlineStr">
        <is>
          <t>Narrativa</t>
        </is>
      </c>
      <c r="H49" s="14" t="inlineStr">
        <is>
          <t>Bullismo (tema noto del libro, da verificare)</t>
        </is>
      </c>
      <c r="I49" s="14" t="inlineStr">
        <is>
          <t>No</t>
        </is>
      </c>
      <c r="J49" s="14" t="inlineStr">
        <is>
          <t>Catalogo</t>
        </is>
      </c>
      <c r="K49" s="14" t="inlineStr">
        <is>
          <t>prima/seconda/terza media, narrativa, bullismo</t>
        </is>
      </c>
      <c r="L49" s="14" t="inlineStr">
        <is>
          <t>https://www.uovonero.com/libri</t>
        </is>
      </c>
      <c r="M49" s="16" t="n">
        <v>22</v>
      </c>
      <c r="N49" s="14" t="inlineStr">
        <is>
          <t>Catalogo Uovonero per librai</t>
        </is>
      </c>
      <c r="O49" s="16">
        <f>IF(ISNUMBER(M49),ROUND(M49*(1-Condizioni!$B$2),2),"")</f>
        <v/>
      </c>
      <c r="P49" s="17" t="inlineStr">
        <is>
          <t>Sì</t>
        </is>
      </c>
    </row>
    <row r="50">
      <c r="A50" s="14" t="inlineStr">
        <is>
          <t>BeccoGiallo</t>
        </is>
      </c>
      <c r="B50" s="14" t="inlineStr">
        <is>
          <t>Il bullismo spiegato ai bambini</t>
        </is>
      </c>
      <c r="C50" s="14" t="inlineStr">
        <is>
          <t>Andrea Laprovitera e Mirti</t>
        </is>
      </c>
      <c r="D50" s="14" t="inlineStr">
        <is>
          <t>CriticalKids</t>
        </is>
      </c>
      <c r="E50" s="14" t="inlineStr">
        <is>
          <t>da 5 anni</t>
        </is>
      </c>
      <c r="F50" s="14" t="inlineStr">
        <is>
          <t>3-6 anni</t>
        </is>
      </c>
      <c r="G50" s="14" t="inlineStr">
        <is>
          <t>Albo illustrato</t>
        </is>
      </c>
      <c r="H50" s="14" t="inlineStr">
        <is>
          <t>Bullismo e amicizia</t>
        </is>
      </c>
      <c r="I50" s="14" t="inlineStr">
        <is>
          <t>No</t>
        </is>
      </c>
      <c r="J50" s="14" t="inlineStr">
        <is>
          <t>Catalogo</t>
        </is>
      </c>
      <c r="K50" s="14" t="inlineStr">
        <is>
          <t>3-6 anni, bullismo</t>
        </is>
      </c>
      <c r="L50" s="14" t="inlineStr">
        <is>
          <t>https://www.beccogiallo.it/prodotto/il-bullismo-spiegato-ai-bambini/</t>
        </is>
      </c>
      <c r="M50" s="16" t="n">
        <v>14</v>
      </c>
      <c r="N50" s="14" t="inlineStr">
        <is>
          <t>https://www.beccogiallo.it/negozio/kids/criticalkids/il-bullismo-spiegato-ai-bambini/</t>
        </is>
      </c>
      <c r="O50" s="16">
        <f>IF(ISNUMBER(M50),ROUND(M50*(1-Condizioni!$B$2),2),"")</f>
        <v/>
      </c>
      <c r="P50" s="17" t="inlineStr">
        <is>
          <t>Sì</t>
        </is>
      </c>
    </row>
    <row r="51">
      <c r="A51" s="14" t="inlineStr">
        <is>
          <t>Pelledoca</t>
        </is>
      </c>
      <c r="B51" s="14" t="inlineStr">
        <is>
          <t>Il Caso Elisa P.</t>
        </is>
      </c>
      <c r="C51" s="14" t="inlineStr">
        <is>
          <t>Chiara Cacco</t>
        </is>
      </c>
      <c r="D51" s="14" t="inlineStr">
        <is>
          <t>NeroInchiostro</t>
        </is>
      </c>
      <c r="E51" s="14" t="inlineStr">
        <is>
          <t>Dai 12 anni</t>
        </is>
      </c>
      <c r="F51" s="14" t="inlineStr">
        <is>
          <t>Scuola media (11-13)</t>
        </is>
      </c>
      <c r="G51" s="14" t="inlineStr">
        <is>
          <t>Romanzo</t>
        </is>
      </c>
      <c r="H51" s="14" t="inlineStr">
        <is>
          <t>Bullismo ed emarginazione</t>
        </is>
      </c>
      <c r="I51" s="14" t="inlineStr">
        <is>
          <t>No</t>
        </is>
      </c>
      <c r="J51" s="14" t="inlineStr">
        <is>
          <t>Catalogo</t>
        </is>
      </c>
      <c r="K51" s="14" t="inlineStr">
        <is>
          <t>prima/seconda/terza media, romanzo, narrativa, bullismo</t>
        </is>
      </c>
      <c r="L51" s="14" t="inlineStr">
        <is>
          <t>Catalogo Pelledoca 2025 (ISBN 9788832790863)</t>
        </is>
      </c>
      <c r="M51" s="16" t="n">
        <v>16</v>
      </c>
      <c r="N51" s="14" t="inlineStr">
        <is>
          <t>Catalogo Pelledoca 2025</t>
        </is>
      </c>
      <c r="O51" s="16">
        <f>IF(ISNUMBER(M51),ROUND(M51*(1-Condizioni!$B$2),2),"")</f>
        <v/>
      </c>
      <c r="P51" s="17" t="inlineStr">
        <is>
          <t>Sì</t>
        </is>
      </c>
    </row>
    <row r="52">
      <c r="A52" s="14" t="inlineStr">
        <is>
          <t>Edizioni Corsare</t>
        </is>
      </c>
      <c r="B52" s="14" t="inlineStr">
        <is>
          <t>Leopard boy</t>
        </is>
      </c>
      <c r="C52" s="14" t="inlineStr">
        <is>
          <t>Marco Innocenti</t>
        </is>
      </c>
      <c r="D52" s="14" t="inlineStr">
        <is>
          <t>Storie corsare</t>
        </is>
      </c>
      <c r="E52" s="14" t="inlineStr">
        <is>
          <t>da 9 anni</t>
        </is>
      </c>
      <c r="F52" s="14" t="inlineStr">
        <is>
          <t>9+</t>
        </is>
      </c>
      <c r="G52" s="14" t="inlineStr">
        <is>
          <t>Avventura</t>
        </is>
      </c>
      <c r="H52" s="14" t="inlineStr">
        <is>
          <t>Bullismo, giustizia e vendetta</t>
        </is>
      </c>
      <c r="I52" s="14" t="inlineStr">
        <is>
          <t>No</t>
        </is>
      </c>
      <c r="J52" s="14" t="inlineStr">
        <is>
          <t>Catalogo</t>
        </is>
      </c>
      <c r="K52" s="14" t="inlineStr">
        <is>
          <t>9+, avventura, narrativa, bullismo</t>
        </is>
      </c>
      <c r="L52" s="14" t="inlineStr">
        <is>
          <t>https://www.edizionicorsare.it/categoria-prodotto/collane/storie-corsare/</t>
        </is>
      </c>
      <c r="M52" s="16" t="n">
        <v>12</v>
      </c>
      <c r="N52" s="14" t="inlineStr">
        <is>
          <t>Catalogo Edizioni Corsare Primavera 2026</t>
        </is>
      </c>
      <c r="O52" s="16">
        <f>IF(ISNUMBER(M52),ROUND(M52*(1-Condizioni!$B$2),2),"")</f>
        <v/>
      </c>
      <c r="P52" s="17" t="inlineStr">
        <is>
          <t>Sì</t>
        </is>
      </c>
    </row>
    <row r="53">
      <c r="A53" s="14" t="inlineStr">
        <is>
          <t>Tunuè</t>
        </is>
      </c>
      <c r="B53" s="14" t="inlineStr">
        <is>
          <t>American Born Chinese</t>
        </is>
      </c>
      <c r="C53" s="14" t="inlineStr">
        <is>
          <t>Gene Luen Yang</t>
        </is>
      </c>
      <c r="D53" s="14" t="inlineStr">
        <is>
          <t>Tipitondi / Young Adult</t>
        </is>
      </c>
      <c r="E53" s="14" t="inlineStr">
        <is>
          <t>12+</t>
        </is>
      </c>
      <c r="F53" s="14" t="inlineStr">
        <is>
          <t>Scuola media (11-13)</t>
        </is>
      </c>
      <c r="G53" s="14" t="inlineStr">
        <is>
          <t>Graphic novel/Fumetto</t>
        </is>
      </c>
      <c r="H53" s="14" t="inlineStr">
        <is>
          <t>Bullismo, identità e razzismo</t>
        </is>
      </c>
      <c r="I53" s="14" t="inlineStr">
        <is>
          <t>No</t>
        </is>
      </c>
      <c r="J53" s="14" t="inlineStr">
        <is>
          <t>Catalogo</t>
        </is>
      </c>
      <c r="K53" s="14" t="inlineStr">
        <is>
          <t>prima/seconda/terza media, bullismo</t>
        </is>
      </c>
      <c r="L53" s="14" t="inlineStr">
        <is>
          <t>https://www.tunue.com/product-tag/bullying/</t>
        </is>
      </c>
      <c r="M53" s="16" t="n">
        <v>19</v>
      </c>
      <c r="N53" s="14" t="inlineStr">
        <is>
          <t>Sito Tunué (prezzo di un volume della serie)</t>
        </is>
      </c>
      <c r="O53" s="16">
        <f>IF(ISNUMBER(M53),ROUND(M53*(1-Condizioni!$B$2),2),"")</f>
        <v/>
      </c>
      <c r="P53" s="17" t="inlineStr">
        <is>
          <t>Sì</t>
        </is>
      </c>
    </row>
    <row r="54">
      <c r="A54" s="14" t="inlineStr">
        <is>
          <t>Dalia Edizioni</t>
        </is>
      </c>
      <c r="B54" s="14" t="inlineStr">
        <is>
          <t>Argo e Calypso, cani da biblioteca</t>
        </is>
      </c>
      <c r="C54" s="14" t="inlineStr">
        <is>
          <t>Andrea Laprovitera; ill. Andrea Camič</t>
        </is>
      </c>
      <c r="D54" s="14" t="inlineStr">
        <is>
          <t>Dalia Ragazzi</t>
        </is>
      </c>
      <c r="E54" s="14" t="inlineStr">
        <is>
          <t>5+</t>
        </is>
      </c>
      <c r="F54" s="14" t="inlineStr">
        <is>
          <t>3-6 anni</t>
        </is>
      </c>
      <c r="G54" s="14" t="inlineStr">
        <is>
          <t>Narrativa</t>
        </is>
      </c>
      <c r="H54" s="14" t="inlineStr">
        <is>
          <t>Bullismo, timidezza e coraggio</t>
        </is>
      </c>
      <c r="I54" s="14" t="inlineStr">
        <is>
          <t>No</t>
        </is>
      </c>
      <c r="J54" s="14" t="inlineStr">
        <is>
          <t>Catalogo</t>
        </is>
      </c>
      <c r="K54" s="14" t="inlineStr">
        <is>
          <t>3-6 anni, narrativa, bullismo</t>
        </is>
      </c>
      <c r="L54" s="14" t="inlineStr">
        <is>
          <t>https://www.daliaedizioni.it/categoria-prodotto/illustrati-kids/</t>
        </is>
      </c>
      <c r="M54" s="16" t="n">
        <v>12.9</v>
      </c>
      <c r="N54" s="14" t="inlineStr">
        <is>
          <t>Sito Dalia Edizioni</t>
        </is>
      </c>
      <c r="O54" s="16">
        <f>IF(ISNUMBER(M54),ROUND(M54*(1-Condizioni!$B$2),2),"")</f>
        <v/>
      </c>
      <c r="P54" s="17" t="inlineStr">
        <is>
          <t>Sì</t>
        </is>
      </c>
    </row>
    <row r="55">
      <c r="A55" s="14" t="inlineStr">
        <is>
          <t>Pelledoca</t>
        </is>
      </c>
      <c r="B55" s="14" t="inlineStr">
        <is>
          <t>Rifugiato Climatico 2722</t>
        </is>
      </c>
      <c r="C55" s="14" t="inlineStr">
        <is>
          <t>David Moitet; trad. Sergio Rossi</t>
        </is>
      </c>
      <c r="D55" s="14" t="inlineStr">
        <is>
          <t>NeroInchiostro</t>
        </is>
      </c>
      <c r="E55" s="14" t="inlineStr">
        <is>
          <t>Dai 12 anni</t>
        </is>
      </c>
      <c r="F55" s="14" t="inlineStr">
        <is>
          <t>Scuola media (11-13)</t>
        </is>
      </c>
      <c r="G55" s="14" t="inlineStr">
        <is>
          <t>Romanzo</t>
        </is>
      </c>
      <c r="H55" s="14" t="inlineStr">
        <is>
          <t>Cambiamento climatico</t>
        </is>
      </c>
      <c r="I55" s="14" t="inlineStr">
        <is>
          <t>No</t>
        </is>
      </c>
      <c r="J55" s="14" t="inlineStr">
        <is>
          <t>Catalogo</t>
        </is>
      </c>
      <c r="K55" s="14" t="inlineStr">
        <is>
          <t>prima/seconda/terza media, romanzo, narrativa</t>
        </is>
      </c>
      <c r="L55" s="14" t="inlineStr">
        <is>
          <t>Catalogo Pelledoca 2025 (ISBN 9788832790429)</t>
        </is>
      </c>
      <c r="M55" s="16" t="n">
        <v>18</v>
      </c>
      <c r="N55" s="14" t="inlineStr">
        <is>
          <t>Catalogo Pelledoca 2025</t>
        </is>
      </c>
      <c r="O55" s="16">
        <f>IF(ISNUMBER(M55),ROUND(M55*(1-Condizioni!$B$2),2),"")</f>
        <v/>
      </c>
      <c r="P55" s="17" t="inlineStr">
        <is>
          <t>No</t>
        </is>
      </c>
    </row>
    <row r="56">
      <c r="A56" s="14" t="inlineStr">
        <is>
          <t>Dalia Edizioni</t>
        </is>
      </c>
      <c r="B56" s="14" t="inlineStr">
        <is>
          <t>Tula e i capelli di Madre Natura</t>
        </is>
      </c>
      <c r="C56" s="14" t="inlineStr">
        <is>
          <t>Arjuna Cecchetti</t>
        </is>
      </c>
      <c r="D56" s="14" t="inlineStr">
        <is>
          <t>Gli spericolati</t>
        </is>
      </c>
      <c r="E56" s="14" t="inlineStr">
        <is>
          <t>n.d.</t>
        </is>
      </c>
      <c r="F56" s="14" t="inlineStr">
        <is>
          <t>n.d. / tutte le età</t>
        </is>
      </c>
      <c r="G56" s="14" t="inlineStr">
        <is>
          <t>Narrativa</t>
        </is>
      </c>
      <c r="H56" s="14" t="inlineStr">
        <is>
          <t>Cambiamento climatico e natura</t>
        </is>
      </c>
      <c r="I56" s="14" t="inlineStr">
        <is>
          <t>No</t>
        </is>
      </c>
      <c r="J56" s="15" t="inlineStr">
        <is>
          <t>Da verificare</t>
        </is>
      </c>
      <c r="K56" s="14" t="inlineStr">
        <is>
          <t>narrativa</t>
        </is>
      </c>
      <c r="L56" s="14" t="inlineStr">
        <is>
          <t>https://www.daliaedizioni.it/categoria-prodotto/illustrati-kids/</t>
        </is>
      </c>
      <c r="M56" s="16" t="n">
        <v>13.5</v>
      </c>
      <c r="N56" s="14" t="inlineStr">
        <is>
          <t>Sito Dalia Edizioni</t>
        </is>
      </c>
      <c r="O56" s="16">
        <f>IF(ISNUMBER(M56),ROUND(M56*(1-Condizioni!$B$2),2),"")</f>
        <v/>
      </c>
      <c r="P56" s="17" t="inlineStr">
        <is>
          <t>No</t>
        </is>
      </c>
    </row>
    <row r="57">
      <c r="A57" s="14" t="inlineStr">
        <is>
          <t>Momo Edizioni</t>
        </is>
      </c>
      <c r="B57" s="14" t="inlineStr">
        <is>
          <t>Karukinka. La nostra terra</t>
        </is>
      </c>
      <c r="C57" s="14" t="inlineStr">
        <is>
          <t>Erica Silvestri</t>
        </is>
      </c>
      <c r="D57" s="14" t="inlineStr">
        <is>
          <t>Libri Monelli</t>
        </is>
      </c>
      <c r="E57" s="14" t="inlineStr">
        <is>
          <t>da 6 anni</t>
        </is>
      </c>
      <c r="F57" s="14" t="inlineStr">
        <is>
          <t>Prime letture (6-8)</t>
        </is>
      </c>
      <c r="G57" s="14" t="inlineStr">
        <is>
          <t>Albo illustrato</t>
        </is>
      </c>
      <c r="H57" s="14" t="inlineStr">
        <is>
          <t>Cambiamento climatico e popoli originari</t>
        </is>
      </c>
      <c r="I57" s="14" t="inlineStr">
        <is>
          <t>No</t>
        </is>
      </c>
      <c r="J57" s="14" t="inlineStr">
        <is>
          <t>Verificata (Bottegart)</t>
        </is>
      </c>
      <c r="K57" s="14" t="inlineStr">
        <is>
          <t>prime letture</t>
        </is>
      </c>
      <c r="L57" s="14" t="inlineStr">
        <is>
          <t>https://momoedizioni.it/categoria/libri/libri-monelli/</t>
        </is>
      </c>
      <c r="M57" s="16" t="n">
        <v>15</v>
      </c>
      <c r="N57" s="14" t="inlineStr">
        <is>
          <t>Sito Momo Edizioni</t>
        </is>
      </c>
      <c r="O57" s="16">
        <f>IF(ISNUMBER(M57),ROUND(M57*(1-Condizioni!$B$2),2),"")</f>
        <v/>
      </c>
      <c r="P57" s="17" t="inlineStr">
        <is>
          <t>Sì</t>
        </is>
      </c>
    </row>
    <row r="58">
      <c r="A58" s="14" t="inlineStr">
        <is>
          <t>Momo Edizioni</t>
        </is>
      </c>
      <c r="B58" s="14" t="inlineStr">
        <is>
          <t>Il carcere è un mondo di carta</t>
        </is>
      </c>
      <c r="C58" s="14" t="inlineStr">
        <is>
          <t>Valentina Calderone e Marica Fantauzzi; ill. Ginevra Vacalebre</t>
        </is>
      </c>
      <c r="D58" s="14" t="inlineStr">
        <is>
          <t>Libri Monelli</t>
        </is>
      </c>
      <c r="E58" s="14" t="inlineStr">
        <is>
          <t>11-99 anni</t>
        </is>
      </c>
      <c r="F58" s="14" t="inlineStr">
        <is>
          <t>Scuola media (11-13)</t>
        </is>
      </c>
      <c r="G58" s="14" t="inlineStr">
        <is>
          <t>Narrativa</t>
        </is>
      </c>
      <c r="H58" s="14" t="inlineStr">
        <is>
          <t>Carcere, diritti e dignità della persona</t>
        </is>
      </c>
      <c r="I58" s="14" t="inlineStr">
        <is>
          <t>No</t>
        </is>
      </c>
      <c r="J58" s="14" t="inlineStr">
        <is>
          <t>Catalogo</t>
        </is>
      </c>
      <c r="K58" s="14" t="inlineStr">
        <is>
          <t>prima/seconda/terza media, narrativa</t>
        </is>
      </c>
      <c r="L58" s="14" t="inlineStr">
        <is>
          <t>https://momoedizioni.it/categoria/libri/libri-monelli/</t>
        </is>
      </c>
      <c r="M58" s="16" t="n">
        <v>15</v>
      </c>
      <c r="N58" s="14" t="inlineStr">
        <is>
          <t>Sito Momo Edizioni</t>
        </is>
      </c>
      <c r="O58" s="16">
        <f>IF(ISNUMBER(M58),ROUND(M58*(1-Condizioni!$B$2),2),"")</f>
        <v/>
      </c>
      <c r="P58" s="17" t="inlineStr">
        <is>
          <t>Sì</t>
        </is>
      </c>
    </row>
    <row r="59">
      <c r="A59" s="14" t="inlineStr">
        <is>
          <t>Uovonero</t>
        </is>
      </c>
      <c r="B59" s="14" t="inlineStr">
        <is>
          <t>30 giorni per capire i disturbi visivi</t>
        </is>
      </c>
      <c r="C59" s="14" t="inlineStr">
        <is>
          <t>Babe, Baroukh, Dunana (cura E. Crivelli)</t>
        </is>
      </c>
      <c r="D59" s="14" t="inlineStr">
        <is>
          <t>Altrimenti</t>
        </is>
      </c>
      <c r="E59" s="14" t="inlineStr">
        <is>
          <t>9/12, 12+, 14+</t>
        </is>
      </c>
      <c r="F59" s="14" t="inlineStr">
        <is>
          <t>9+</t>
        </is>
      </c>
      <c r="G59" s="14" t="inlineStr">
        <is>
          <t>Divulgazione/Saggio</t>
        </is>
      </c>
      <c r="H59" s="14" t="inlineStr">
        <is>
          <t>Cecità / disabilità</t>
        </is>
      </c>
      <c r="I59" s="14" t="inlineStr">
        <is>
          <t>No</t>
        </is>
      </c>
      <c r="J59" s="14" t="inlineStr">
        <is>
          <t>Catalogo</t>
        </is>
      </c>
      <c r="K59" s="14" t="inlineStr">
        <is>
          <t>9+</t>
        </is>
      </c>
      <c r="L59" s="14" t="inlineStr">
        <is>
          <t>https://www.uovonero.com/libri</t>
        </is>
      </c>
      <c r="M59" s="19" t="n"/>
      <c r="N59" s="14" t="inlineStr"/>
      <c r="O59" s="16">
        <f>IF(ISNUMBER(M59),ROUND(M59*(1-Condizioni!$B$2),2),"")</f>
        <v/>
      </c>
      <c r="P59" s="17" t="inlineStr">
        <is>
          <t>Sì</t>
        </is>
      </c>
    </row>
    <row r="60">
      <c r="A60" s="14" t="inlineStr">
        <is>
          <t>Uovonero</t>
        </is>
      </c>
      <c r="B60" s="14" t="inlineStr">
        <is>
          <t>Semplicemente Maria</t>
        </is>
      </c>
      <c r="C60" s="14" t="inlineStr">
        <is>
          <t>Jay Hardwig</t>
        </is>
      </c>
      <c r="D60" s="14" t="inlineStr">
        <is>
          <t>I Geodi</t>
        </is>
      </c>
      <c r="E60" s="14" t="inlineStr">
        <is>
          <t>12+</t>
        </is>
      </c>
      <c r="F60" s="14" t="inlineStr">
        <is>
          <t>Scuola media (11-13)</t>
        </is>
      </c>
      <c r="G60" s="14" t="inlineStr">
        <is>
          <t>Romanzo</t>
        </is>
      </c>
      <c r="H60" s="14" t="inlineStr">
        <is>
          <t>Cecità / disabilità</t>
        </is>
      </c>
      <c r="I60" s="14" t="inlineStr">
        <is>
          <t>No</t>
        </is>
      </c>
      <c r="J60" s="14" t="inlineStr">
        <is>
          <t>Catalogo</t>
        </is>
      </c>
      <c r="K60" s="14" t="inlineStr">
        <is>
          <t>prima/seconda/terza media, romanzo, narrativa</t>
        </is>
      </c>
      <c r="L60" s="14" t="inlineStr">
        <is>
          <t>https://www.uovonero.com/libri</t>
        </is>
      </c>
      <c r="M60" s="16" t="n">
        <v>16.5</v>
      </c>
      <c r="N60" s="14" t="inlineStr">
        <is>
          <t>Catalogo Uovonero per librai</t>
        </is>
      </c>
      <c r="O60" s="16">
        <f>IF(ISNUMBER(M60),ROUND(M60*(1-Condizioni!$B$2),2),"")</f>
        <v/>
      </c>
      <c r="P60" s="17" t="inlineStr">
        <is>
          <t>Sì</t>
        </is>
      </c>
    </row>
    <row r="61">
      <c r="A61" s="14" t="inlineStr">
        <is>
          <t>Uovonero</t>
        </is>
      </c>
      <c r="B61" s="14" t="inlineStr">
        <is>
          <t>Amiche d'ombra</t>
        </is>
      </c>
      <c r="C61" s="14" t="inlineStr">
        <is>
          <t>Arianna Papini</t>
        </is>
      </c>
      <c r="D61" s="14" t="inlineStr">
        <is>
          <t>I Geodi</t>
        </is>
      </c>
      <c r="E61" s="14" t="inlineStr">
        <is>
          <t>9/12</t>
        </is>
      </c>
      <c r="F61" s="14" t="inlineStr">
        <is>
          <t>9+</t>
        </is>
      </c>
      <c r="G61" s="14" t="inlineStr">
        <is>
          <t>Narrativa</t>
        </is>
      </c>
      <c r="H61" s="14" t="inlineStr">
        <is>
          <t>Cecità / pregiudizi</t>
        </is>
      </c>
      <c r="I61" s="14" t="inlineStr">
        <is>
          <t>No</t>
        </is>
      </c>
      <c r="J61" s="14" t="inlineStr">
        <is>
          <t>Catalogo</t>
        </is>
      </c>
      <c r="K61" s="14" t="inlineStr">
        <is>
          <t>9+, narrativa</t>
        </is>
      </c>
      <c r="L61" s="14" t="inlineStr">
        <is>
          <t>https://www.uovonero.com/libri</t>
        </is>
      </c>
      <c r="M61" s="16" t="n">
        <v>16</v>
      </c>
      <c r="N61" s="14" t="inlineStr">
        <is>
          <t>Catalogo Uovonero per librai</t>
        </is>
      </c>
      <c r="O61" s="16">
        <f>IF(ISNUMBER(M61),ROUND(M61*(1-Condizioni!$B$2),2),"")</f>
        <v/>
      </c>
      <c r="P61" s="17" t="inlineStr">
        <is>
          <t>Sì</t>
        </is>
      </c>
    </row>
    <row r="62">
      <c r="A62" s="14" t="inlineStr">
        <is>
          <t>Uovonero</t>
        </is>
      </c>
      <c r="B62" s="14" t="inlineStr">
        <is>
          <t>Che bambino fortunato!</t>
        </is>
      </c>
      <c r="C62" s="14" t="inlineStr">
        <is>
          <t>L. Schimel, J. C. Mayorga</t>
        </is>
      </c>
      <c r="D62" s="14" t="inlineStr">
        <is>
          <t>I Geodi</t>
        </is>
      </c>
      <c r="E62" s="14" t="inlineStr">
        <is>
          <t>3/6, 6/9</t>
        </is>
      </c>
      <c r="F62" s="14" t="inlineStr">
        <is>
          <t>3-6 anni</t>
        </is>
      </c>
      <c r="G62" s="14" t="inlineStr">
        <is>
          <t>Albo illustrato</t>
        </is>
      </c>
      <c r="H62" s="14" t="inlineStr">
        <is>
          <t>Cecità / valore della differenza</t>
        </is>
      </c>
      <c r="I62" s="14" t="inlineStr">
        <is>
          <t>No</t>
        </is>
      </c>
      <c r="J62" s="14" t="inlineStr">
        <is>
          <t>Catalogo</t>
        </is>
      </c>
      <c r="K62" s="14" t="inlineStr">
        <is>
          <t>3-6 anni</t>
        </is>
      </c>
      <c r="L62" s="14" t="inlineStr">
        <is>
          <t>https://www.uovonero.com/libri</t>
        </is>
      </c>
      <c r="M62" s="16" t="n">
        <v>14.5</v>
      </c>
      <c r="N62" s="14" t="inlineStr">
        <is>
          <t>Catalogo Uovonero per librai</t>
        </is>
      </c>
      <c r="O62" s="16">
        <f>IF(ISNUMBER(M62),ROUND(M62*(1-Condizioni!$B$2),2),"")</f>
        <v/>
      </c>
      <c r="P62" s="17" t="inlineStr">
        <is>
          <t>Sì</t>
        </is>
      </c>
    </row>
    <row r="63">
      <c r="A63" s="14" t="inlineStr">
        <is>
          <t>Settenove</t>
        </is>
      </c>
      <c r="B63" s="14" t="inlineStr">
        <is>
          <t>Period Girl</t>
        </is>
      </c>
      <c r="C63" s="14" t="inlineStr">
        <is>
          <t>Giorgia Vezzoli</t>
        </is>
      </c>
      <c r="D63" s="14" t="inlineStr">
        <is>
          <t>Albi illustrati / Narrativa / Educazione al genere</t>
        </is>
      </c>
      <c r="E63" s="14" t="inlineStr">
        <is>
          <t>da 10 anni</t>
        </is>
      </c>
      <c r="F63" s="14" t="inlineStr">
        <is>
          <t>10+</t>
        </is>
      </c>
      <c r="G63" s="14" t="inlineStr">
        <is>
          <t>Albo illustrato</t>
        </is>
      </c>
      <c r="H63" s="14" t="inlineStr">
        <is>
          <t>Ciclo mestruale / corpo</t>
        </is>
      </c>
      <c r="I63" s="14" t="inlineStr">
        <is>
          <t>No</t>
        </is>
      </c>
      <c r="J63" s="14" t="inlineStr">
        <is>
          <t>Catalogo</t>
        </is>
      </c>
      <c r="K63" s="14" t="inlineStr">
        <is>
          <t>10+</t>
        </is>
      </c>
      <c r="L63" s="14" t="inlineStr">
        <is>
          <t>https://www.settenove.it/catalogo/narrativa/5</t>
        </is>
      </c>
      <c r="M63" s="16" t="n">
        <v>15.5</v>
      </c>
      <c r="N63" s="14" t="inlineStr">
        <is>
          <t>Sito Settenove (prezzo di copertina)</t>
        </is>
      </c>
      <c r="O63" s="16">
        <f>IF(ISNUMBER(M63),ROUND(M63*(1-Condizioni!$B$2),2),"")</f>
        <v/>
      </c>
      <c r="P63" s="17" t="inlineStr">
        <is>
          <t>Sì</t>
        </is>
      </c>
    </row>
    <row r="64">
      <c r="A64" s="14" t="inlineStr">
        <is>
          <t>BeccoGiallo</t>
        </is>
      </c>
      <c r="B64" s="14" t="inlineStr">
        <is>
          <t>Figli della foresta. Due vite africane rapite dal colonialismo italiano</t>
        </is>
      </c>
      <c r="C64" s="14" t="inlineStr">
        <is>
          <t>Igiaba Scego; ill. Chiara Abastanotti</t>
        </is>
      </c>
      <c r="D64" s="14" t="inlineStr">
        <is>
          <t>Kids / CriticalKids</t>
        </is>
      </c>
      <c r="E64" s="14" t="inlineStr">
        <is>
          <t>da 12 anni</t>
        </is>
      </c>
      <c r="F64" s="14" t="inlineStr">
        <is>
          <t>Scuola media (11-13)</t>
        </is>
      </c>
      <c r="G64" s="14" t="inlineStr">
        <is>
          <t>Divulgazione/Saggio</t>
        </is>
      </c>
      <c r="H64" s="14" t="inlineStr">
        <is>
          <t>Colonialismo e razzismo</t>
        </is>
      </c>
      <c r="I64" s="14" t="inlineStr">
        <is>
          <t>No</t>
        </is>
      </c>
      <c r="J64" s="14" t="inlineStr">
        <is>
          <t>Verificata (IBS / editore)</t>
        </is>
      </c>
      <c r="K64" s="14" t="inlineStr">
        <is>
          <t>prima/seconda/terza media</t>
        </is>
      </c>
      <c r="L64" s="14" t="inlineStr">
        <is>
          <t>https://www.beccogiallo.it/categoria-prodotto/kids/</t>
        </is>
      </c>
      <c r="M64" s="16" t="n">
        <v>20</v>
      </c>
      <c r="N64" s="14" t="inlineStr">
        <is>
          <t>https://www.beccogiallo.it/negozio/graphic-journalism/figli-della-foresta/</t>
        </is>
      </c>
      <c r="O64" s="16">
        <f>IF(ISNUMBER(M64),ROUND(M64*(1-Condizioni!$B$2),2),"")</f>
        <v/>
      </c>
      <c r="P64" s="17" t="inlineStr">
        <is>
          <t>Sì</t>
        </is>
      </c>
    </row>
    <row r="65">
      <c r="A65" s="14" t="inlineStr">
        <is>
          <t>Uovonero</t>
        </is>
      </c>
      <c r="B65" s="14" t="inlineStr">
        <is>
          <t>La scuola</t>
        </is>
      </c>
      <c r="C65" s="14" t="inlineStr">
        <is>
          <t>Britta Teckentrup</t>
        </is>
      </c>
      <c r="D65" s="14" t="inlineStr">
        <is>
          <t>I Geodi</t>
        </is>
      </c>
      <c r="E65" s="14" t="inlineStr">
        <is>
          <t>6/9, 9/12</t>
        </is>
      </c>
      <c r="F65" s="14" t="inlineStr">
        <is>
          <t>Prime letture (6-8)</t>
        </is>
      </c>
      <c r="G65" s="14" t="inlineStr">
        <is>
          <t>Albo illustrato</t>
        </is>
      </c>
      <c r="H65" s="14" t="inlineStr">
        <is>
          <t>Comunità scolastica</t>
        </is>
      </c>
      <c r="I65" s="14" t="inlineStr">
        <is>
          <t>No</t>
        </is>
      </c>
      <c r="J65" s="14" t="inlineStr">
        <is>
          <t>Catalogo</t>
        </is>
      </c>
      <c r="K65" s="14" t="inlineStr">
        <is>
          <t>prime letture</t>
        </is>
      </c>
      <c r="L65" s="14" t="inlineStr">
        <is>
          <t>https://www.uovonero.com/libri</t>
        </is>
      </c>
      <c r="M65" s="16" t="n">
        <v>20</v>
      </c>
      <c r="N65" s="14" t="inlineStr">
        <is>
          <t>Catalogo Uovonero per librai</t>
        </is>
      </c>
      <c r="O65" s="16">
        <f>IF(ISNUMBER(M65),ROUND(M65*(1-Condizioni!$B$2),2),"")</f>
        <v/>
      </c>
      <c r="P65" s="17" t="inlineStr">
        <is>
          <t>Sì</t>
        </is>
      </c>
    </row>
    <row r="66">
      <c r="A66" s="14" t="inlineStr">
        <is>
          <t>Camelozampa</t>
        </is>
      </c>
      <c r="B66" s="14" t="inlineStr">
        <is>
          <t>Figlia del destino</t>
        </is>
      </c>
      <c r="C66" s="14" t="inlineStr">
        <is>
          <t>(vedi scheda)</t>
        </is>
      </c>
      <c r="D66" s="14" t="inlineStr">
        <is>
          <t>Narrativa / Gruppi di lettura</t>
        </is>
      </c>
      <c r="E66" s="14" t="inlineStr">
        <is>
          <t>14-18 anni</t>
        </is>
      </c>
      <c r="F66" s="14" t="inlineStr">
        <is>
          <t>Adolescenza (14+)</t>
        </is>
      </c>
      <c r="G66" s="14" t="inlineStr">
        <is>
          <t>Romanzo</t>
        </is>
      </c>
      <c r="H66" s="14" t="inlineStr">
        <is>
          <t>Condizione femminile (storico)</t>
        </is>
      </c>
      <c r="I66" s="14" t="inlineStr">
        <is>
          <t>No</t>
        </is>
      </c>
      <c r="J66" s="14" t="inlineStr">
        <is>
          <t>Catalogo</t>
        </is>
      </c>
      <c r="K66" s="14" t="inlineStr">
        <is>
          <t>adolescenza, romanzo, narrativa</t>
        </is>
      </c>
      <c r="L66" s="14" t="inlineStr">
        <is>
          <t>https://www.camelozampa.com/gruppi-di-lettura/</t>
        </is>
      </c>
      <c r="M66" s="16" t="n">
        <v>18.9</v>
      </c>
      <c r="N66" s="14" t="inlineStr">
        <is>
          <t>Catalogo Camelozampa 2026</t>
        </is>
      </c>
      <c r="O66" s="16">
        <f>IF(ISNUMBER(M66),ROUND(M66*(1-Condizioni!$B$2),2),"")</f>
        <v/>
      </c>
      <c r="P66" s="17" t="inlineStr">
        <is>
          <t>Sì</t>
        </is>
      </c>
    </row>
    <row r="67">
      <c r="A67" s="14" t="inlineStr">
        <is>
          <t>Momo Edizioni</t>
        </is>
      </c>
      <c r="B67" s="14" t="inlineStr">
        <is>
          <t>A cosa servono le cose?</t>
        </is>
      </c>
      <c r="C67" s="14" t="inlineStr">
        <is>
          <t>Tina Napoli; ill. Marco Petrella</t>
        </is>
      </c>
      <c r="D67" s="14" t="inlineStr">
        <is>
          <t>Libri Monelli</t>
        </is>
      </c>
      <c r="E67" s="14" t="inlineStr">
        <is>
          <t>da 9 anni</t>
        </is>
      </c>
      <c r="F67" s="14" t="inlineStr">
        <is>
          <t>9+</t>
        </is>
      </c>
      <c r="G67" s="14" t="inlineStr">
        <is>
          <t>Albo illustrato</t>
        </is>
      </c>
      <c r="H67" s="14" t="inlineStr">
        <is>
          <t>Consumo consapevole, diritti e sfruttamento minorile</t>
        </is>
      </c>
      <c r="I67" s="14" t="inlineStr">
        <is>
          <t>No</t>
        </is>
      </c>
      <c r="J67" s="14" t="inlineStr">
        <is>
          <t>Verificata (IBS / editore)</t>
        </is>
      </c>
      <c r="K67" s="14" t="inlineStr">
        <is>
          <t>9+</t>
        </is>
      </c>
      <c r="L67" s="14" t="inlineStr">
        <is>
          <t>https://momoedizioni.it/categoria/libri/libri-monelli/</t>
        </is>
      </c>
      <c r="M67" s="16" t="n">
        <v>15</v>
      </c>
      <c r="N67" s="14" t="inlineStr">
        <is>
          <t>Sito Momo Edizioni</t>
        </is>
      </c>
      <c r="O67" s="16">
        <f>IF(ISNUMBER(M67),ROUND(M67*(1-Condizioni!$B$2),2),"")</f>
        <v/>
      </c>
      <c r="P67" s="17" t="inlineStr">
        <is>
          <t>Sì</t>
        </is>
      </c>
    </row>
    <row r="68">
      <c r="A68" s="14" t="inlineStr">
        <is>
          <t>Uovonero</t>
        </is>
      </c>
      <c r="B68" s="14" t="inlineStr">
        <is>
          <t>I musicanti di Brema</t>
        </is>
      </c>
      <c r="C68" s="14" t="inlineStr">
        <is>
          <t>a cura di E. Crivelli; ill. A. Manca</t>
        </is>
      </c>
      <c r="D68" s="14" t="inlineStr">
        <is>
          <t>Pesci parlanti</t>
        </is>
      </c>
      <c r="E68" s="14" t="inlineStr">
        <is>
          <t>0/3, 3/6</t>
        </is>
      </c>
      <c r="F68" s="14" t="inlineStr">
        <is>
          <t>0-3 anni</t>
        </is>
      </c>
      <c r="G68" s="14" t="inlineStr">
        <is>
          <t>Libro in simboli (CAA)</t>
        </is>
      </c>
      <c r="H68" s="14" t="inlineStr">
        <is>
          <t>Cooperazione</t>
        </is>
      </c>
      <c r="I68" s="18" t="inlineStr">
        <is>
          <t>Sì</t>
        </is>
      </c>
      <c r="J68" s="14" t="inlineStr">
        <is>
          <t>Catalogo</t>
        </is>
      </c>
      <c r="K68" s="14" t="inlineStr">
        <is>
          <t>0-3 anni, CAA</t>
        </is>
      </c>
      <c r="L68" s="14" t="inlineStr">
        <is>
          <t>https://www.uovonero.com/libri</t>
        </is>
      </c>
      <c r="M68" s="19" t="n"/>
      <c r="N68" s="14" t="inlineStr"/>
      <c r="O68" s="16">
        <f>IF(ISNUMBER(M68),ROUND(M68*(1-Condizioni!$B$2),2),"")</f>
        <v/>
      </c>
      <c r="P68" s="17" t="inlineStr">
        <is>
          <t>Sì</t>
        </is>
      </c>
    </row>
    <row r="69">
      <c r="A69" s="14" t="inlineStr">
        <is>
          <t>BeccoGiallo</t>
        </is>
      </c>
      <c r="B69" s="14" t="inlineStr">
        <is>
          <t>Il mio corpo!</t>
        </is>
      </c>
      <c r="C69" s="14" t="inlineStr">
        <is>
          <t>(vedi scheda)</t>
        </is>
      </c>
      <c r="D69" s="14" t="inlineStr">
        <is>
          <t>Kids / CriticalKids</t>
        </is>
      </c>
      <c r="E69" s="14" t="inlineStr">
        <is>
          <t>da 3 anni</t>
        </is>
      </c>
      <c r="F69" s="14" t="inlineStr">
        <is>
          <t>3-6 anni</t>
        </is>
      </c>
      <c r="G69" s="14" t="inlineStr">
        <is>
          <t>Divulgazione/Saggio</t>
        </is>
      </c>
      <c r="H69" s="14" t="inlineStr">
        <is>
          <t>Corpo</t>
        </is>
      </c>
      <c r="I69" s="14" t="inlineStr">
        <is>
          <t>No</t>
        </is>
      </c>
      <c r="J69" s="14" t="inlineStr">
        <is>
          <t>Verificata (IBS / editore)</t>
        </is>
      </c>
      <c r="K69" s="14" t="inlineStr">
        <is>
          <t>3-6 anni</t>
        </is>
      </c>
      <c r="L69" s="14" t="inlineStr">
        <is>
          <t>https://www.beccogiallo.it/categoria-prodotto/kids/</t>
        </is>
      </c>
      <c r="M69" s="16" t="n">
        <v>17.5</v>
      </c>
      <c r="N69" s="14" t="inlineStr">
        <is>
          <t>https://www.beccogiallo.it/negozio/kids/illustrati/il-mio-corpo/</t>
        </is>
      </c>
      <c r="O69" s="16">
        <f>IF(ISNUMBER(M69),ROUND(M69*(1-Condizioni!$B$2),2),"")</f>
        <v/>
      </c>
      <c r="P69" s="17" t="inlineStr">
        <is>
          <t>Sì</t>
        </is>
      </c>
    </row>
    <row r="70">
      <c r="A70" s="14" t="inlineStr">
        <is>
          <t>Settenove</t>
        </is>
      </c>
      <c r="B70" s="14" t="inlineStr">
        <is>
          <t>La nudità che male fa?</t>
        </is>
      </c>
      <c r="C70" s="14" t="inlineStr">
        <is>
          <t>Rosie Haine</t>
        </is>
      </c>
      <c r="D70" s="14" t="inlineStr">
        <is>
          <t>Albi illustrati / Narrativa / Educazione al genere</t>
        </is>
      </c>
      <c r="E70" s="14" t="inlineStr">
        <is>
          <t>da 6 anni</t>
        </is>
      </c>
      <c r="F70" s="14" t="inlineStr">
        <is>
          <t>Prime letture (6-8)</t>
        </is>
      </c>
      <c r="G70" s="14" t="inlineStr">
        <is>
          <t>Albo illustrato</t>
        </is>
      </c>
      <c r="H70" s="14" t="inlineStr">
        <is>
          <t>Corpo e nudità</t>
        </is>
      </c>
      <c r="I70" s="14" t="inlineStr">
        <is>
          <t>No</t>
        </is>
      </c>
      <c r="J70" s="14" t="inlineStr">
        <is>
          <t>Verificata (IBS / editore)</t>
        </is>
      </c>
      <c r="K70" s="14" t="inlineStr">
        <is>
          <t>prime letture</t>
        </is>
      </c>
      <c r="L70" s="14" t="inlineStr">
        <is>
          <t>https://www.settenove.it/catalogo/narrativa/5</t>
        </is>
      </c>
      <c r="M70" s="16" t="n">
        <v>18</v>
      </c>
      <c r="N70" s="14" t="inlineStr">
        <is>
          <t>Sito Settenove (prezzo di copertina)</t>
        </is>
      </c>
      <c r="O70" s="16">
        <f>IF(ISNUMBER(M70),ROUND(M70*(1-Condizioni!$B$2),2),"")</f>
        <v/>
      </c>
      <c r="P70" s="17" t="inlineStr">
        <is>
          <t>Sì</t>
        </is>
      </c>
    </row>
    <row r="71">
      <c r="A71" s="14" t="inlineStr">
        <is>
          <t>Camelozampa</t>
        </is>
      </c>
      <c r="B71" s="14" t="inlineStr">
        <is>
          <t>Felice abbastanza</t>
        </is>
      </c>
      <c r="C71" s="14" t="inlineStr">
        <is>
          <t>(vedi scheda)</t>
        </is>
      </c>
      <c r="D71" s="14" t="inlineStr">
        <is>
          <t>Narrativa / Gruppi di lettura</t>
        </is>
      </c>
      <c r="E71" s="14" t="inlineStr">
        <is>
          <t>9-12 anni</t>
        </is>
      </c>
      <c r="F71" s="14" t="inlineStr">
        <is>
          <t>9+</t>
        </is>
      </c>
      <c r="G71" s="14" t="inlineStr">
        <is>
          <t>Romanzo</t>
        </is>
      </c>
      <c r="H71" s="14" t="inlineStr">
        <is>
          <t>Crescita / preadolescenza</t>
        </is>
      </c>
      <c r="I71" s="14" t="inlineStr">
        <is>
          <t>No</t>
        </is>
      </c>
      <c r="J71" s="14" t="inlineStr">
        <is>
          <t>Catalogo</t>
        </is>
      </c>
      <c r="K71" s="14" t="inlineStr">
        <is>
          <t>9+, romanzo, narrativa</t>
        </is>
      </c>
      <c r="L71" s="14" t="inlineStr">
        <is>
          <t>https://www.camelozampa.com/gruppi-di-lettura/</t>
        </is>
      </c>
      <c r="M71" s="16" t="n">
        <v>13.9</v>
      </c>
      <c r="N71" s="14" t="inlineStr">
        <is>
          <t>Catalogo Camelozampa 2026</t>
        </is>
      </c>
      <c r="O71" s="16">
        <f>IF(ISNUMBER(M71),ROUND(M71*(1-Condizioni!$B$2),2),"")</f>
        <v/>
      </c>
      <c r="P71" s="17" t="inlineStr">
        <is>
          <t>Sì</t>
        </is>
      </c>
    </row>
    <row r="72">
      <c r="A72" s="14" t="inlineStr">
        <is>
          <t>Camelozampa</t>
        </is>
      </c>
      <c r="B72" s="14" t="inlineStr">
        <is>
          <t>Avrò cura di te</t>
        </is>
      </c>
      <c r="C72" s="14" t="inlineStr">
        <is>
          <t>(vedi scheda)</t>
        </is>
      </c>
      <c r="D72" s="14" t="inlineStr">
        <is>
          <t>Le Piume (albi illustrati)</t>
        </is>
      </c>
      <c r="E72" s="14" t="inlineStr">
        <is>
          <t>collana prevalentemente da 4 anni</t>
        </is>
      </c>
      <c r="F72" s="14" t="inlineStr">
        <is>
          <t>3-6 anni</t>
        </is>
      </c>
      <c r="G72" s="14" t="inlineStr">
        <is>
          <t>Albo illustrato</t>
        </is>
      </c>
      <c r="H72" s="14" t="inlineStr">
        <is>
          <t>Cura e solidarietà</t>
        </is>
      </c>
      <c r="I72" s="14" t="inlineStr">
        <is>
          <t>No</t>
        </is>
      </c>
      <c r="J72" s="15" t="inlineStr">
        <is>
          <t>Da verificare</t>
        </is>
      </c>
      <c r="K72" s="14" t="inlineStr">
        <is>
          <t>3-6 anni</t>
        </is>
      </c>
      <c r="L72" s="14" t="inlineStr">
        <is>
          <t>https://www.camelozampa.com/shop/categoria/collane/le-piume-albi-illustrati/</t>
        </is>
      </c>
      <c r="M72" s="16" t="n">
        <v>17.9</v>
      </c>
      <c r="N72" s="14" t="inlineStr">
        <is>
          <t>Catalogo Camelozampa 2026</t>
        </is>
      </c>
      <c r="O72" s="16">
        <f>IF(ISNUMBER(M72),ROUND(M72*(1-Condizioni!$B$2),2),"")</f>
        <v/>
      </c>
      <c r="P72" s="17" t="inlineStr">
        <is>
          <t>Sì</t>
        </is>
      </c>
    </row>
    <row r="73">
      <c r="A73" s="14" t="inlineStr">
        <is>
          <t>Uovonero</t>
        </is>
      </c>
      <c r="B73" s="14" t="inlineStr">
        <is>
          <t>30 giorni per capire i disturbi dell'apprendimento</t>
        </is>
      </c>
      <c r="C73" s="14" t="inlineStr">
        <is>
          <t>Babe, Baroukh, Dunana (cura E. Crivelli)</t>
        </is>
      </c>
      <c r="D73" s="14" t="inlineStr">
        <is>
          <t>Altrimenti</t>
        </is>
      </c>
      <c r="E73" s="14" t="inlineStr">
        <is>
          <t>9/12, 12+, 14+</t>
        </is>
      </c>
      <c r="F73" s="14" t="inlineStr">
        <is>
          <t>9+</t>
        </is>
      </c>
      <c r="G73" s="14" t="inlineStr">
        <is>
          <t>Divulgazione/Saggio</t>
        </is>
      </c>
      <c r="H73" s="14" t="inlineStr">
        <is>
          <t>DSA</t>
        </is>
      </c>
      <c r="I73" s="14" t="inlineStr">
        <is>
          <t>No</t>
        </is>
      </c>
      <c r="J73" s="14" t="inlineStr">
        <is>
          <t>Catalogo</t>
        </is>
      </c>
      <c r="K73" s="14" t="inlineStr">
        <is>
          <t>9+</t>
        </is>
      </c>
      <c r="L73" s="14" t="inlineStr">
        <is>
          <t>https://www.uovonero.com/libri</t>
        </is>
      </c>
      <c r="M73" s="19" t="n"/>
      <c r="N73" s="14" t="inlineStr"/>
      <c r="O73" s="16">
        <f>IF(ISNUMBER(M73),ROUND(M73*(1-Condizioni!$B$2),2),"")</f>
        <v/>
      </c>
      <c r="P73" s="17" t="inlineStr">
        <is>
          <t>Sì</t>
        </is>
      </c>
    </row>
    <row r="74">
      <c r="A74" s="14" t="inlineStr">
        <is>
          <t>Uovonero</t>
        </is>
      </c>
      <c r="B74" s="14" t="inlineStr">
        <is>
          <t>La più bella nuotata della mia vita</t>
        </is>
      </c>
      <c r="C74" s="14" t="inlineStr">
        <is>
          <t>Anne Becker</t>
        </is>
      </c>
      <c r="D74" s="14" t="inlineStr">
        <is>
          <t>I Geodi</t>
        </is>
      </c>
      <c r="E74" s="14" t="inlineStr">
        <is>
          <t>9/12, 12+</t>
        </is>
      </c>
      <c r="F74" s="14" t="inlineStr">
        <is>
          <t>9+</t>
        </is>
      </c>
      <c r="G74" s="14" t="inlineStr">
        <is>
          <t>Romanzo</t>
        </is>
      </c>
      <c r="H74" s="14" t="inlineStr">
        <is>
          <t>DSA</t>
        </is>
      </c>
      <c r="I74" s="14" t="inlineStr">
        <is>
          <t>No</t>
        </is>
      </c>
      <c r="J74" s="14" t="inlineStr">
        <is>
          <t>Catalogo</t>
        </is>
      </c>
      <c r="K74" s="14" t="inlineStr">
        <is>
          <t>9+, romanzo, narrativa</t>
        </is>
      </c>
      <c r="L74" s="14" t="inlineStr">
        <is>
          <t>https://www.uovonero.com/libri</t>
        </is>
      </c>
      <c r="M74" s="16" t="n">
        <v>15</v>
      </c>
      <c r="N74" s="14" t="inlineStr">
        <is>
          <t>Catalogo Uovonero per librai</t>
        </is>
      </c>
      <c r="O74" s="16">
        <f>IF(ISNUMBER(M74),ROUND(M74*(1-Condizioni!$B$2),2),"")</f>
        <v/>
      </c>
      <c r="P74" s="17" t="inlineStr">
        <is>
          <t>Sì</t>
        </is>
      </c>
    </row>
    <row r="75">
      <c r="A75" s="14" t="inlineStr">
        <is>
          <t>Uovonero</t>
        </is>
      </c>
      <c r="B75" s="14" t="inlineStr">
        <is>
          <t>Vi presento Hank 1 – Un segnalibro in cerca d'autore</t>
        </is>
      </c>
      <c r="C75" s="14" t="inlineStr">
        <is>
          <t>H. Winkler, L. Oliver; ill. G. Orecchia</t>
        </is>
      </c>
      <c r="D75" s="14" t="inlineStr">
        <is>
          <t>Abbecedanze (alta leggibilità)</t>
        </is>
      </c>
      <c r="E75" s="14" t="inlineStr">
        <is>
          <t>6/9</t>
        </is>
      </c>
      <c r="F75" s="14" t="inlineStr">
        <is>
          <t>Prime letture (6-8)</t>
        </is>
      </c>
      <c r="G75" s="14" t="inlineStr">
        <is>
          <t>Narrativa</t>
        </is>
      </c>
      <c r="H75" s="14" t="inlineStr">
        <is>
          <t>DSA (dislessia)</t>
        </is>
      </c>
      <c r="I75" s="14" t="inlineStr">
        <is>
          <t>No</t>
        </is>
      </c>
      <c r="J75" s="14" t="inlineStr">
        <is>
          <t>Catalogo</t>
        </is>
      </c>
      <c r="K75" s="14" t="inlineStr">
        <is>
          <t>prime letture, narrativa</t>
        </is>
      </c>
      <c r="L75" s="14" t="inlineStr">
        <is>
          <t>https://www.uovonero.com/libri</t>
        </is>
      </c>
      <c r="M75" s="19" t="n"/>
      <c r="N75" s="14" t="inlineStr"/>
      <c r="O75" s="16">
        <f>IF(ISNUMBER(M75),ROUND(M75*(1-Condizioni!$B$2),2),"")</f>
        <v/>
      </c>
      <c r="P75" s="17" t="inlineStr">
        <is>
          <t>Sì</t>
        </is>
      </c>
    </row>
    <row r="76">
      <c r="A76" s="14" t="inlineStr">
        <is>
          <t>Uovonero</t>
        </is>
      </c>
      <c r="B76" s="14" t="inlineStr">
        <is>
          <t>Hank Zipzer e le cascate del Niagara (vol. 1)</t>
        </is>
      </c>
      <c r="C76" s="14" t="inlineStr">
        <is>
          <t>H. Winkler, L. Oliver</t>
        </is>
      </c>
      <c r="D76" s="14" t="inlineStr">
        <is>
          <t>Abbecedanze (alta leggibilità)</t>
        </is>
      </c>
      <c r="E76" s="14" t="inlineStr">
        <is>
          <t>9/12</t>
        </is>
      </c>
      <c r="F76" s="14" t="inlineStr">
        <is>
          <t>9+</t>
        </is>
      </c>
      <c r="G76" s="14" t="inlineStr">
        <is>
          <t>Narrativa</t>
        </is>
      </c>
      <c r="H76" s="14" t="inlineStr">
        <is>
          <t>DSA (dislessia)</t>
        </is>
      </c>
      <c r="I76" s="14" t="inlineStr">
        <is>
          <t>No</t>
        </is>
      </c>
      <c r="J76" s="14" t="inlineStr">
        <is>
          <t>Catalogo</t>
        </is>
      </c>
      <c r="K76" s="14" t="inlineStr">
        <is>
          <t>9+, narrativa</t>
        </is>
      </c>
      <c r="L76" s="14" t="inlineStr">
        <is>
          <t>https://www.uovonero.com/libri</t>
        </is>
      </c>
      <c r="M76" s="19" t="n"/>
      <c r="N76" s="14" t="inlineStr"/>
      <c r="O76" s="16">
        <f>IF(ISNUMBER(M76),ROUND(M76*(1-Condizioni!$B$2),2),"")</f>
        <v/>
      </c>
      <c r="P76" s="17" t="inlineStr">
        <is>
          <t>Sì</t>
        </is>
      </c>
    </row>
    <row r="77">
      <c r="A77" s="14" t="inlineStr">
        <is>
          <t>Uovonero</t>
        </is>
      </c>
      <c r="B77" s="14" t="inlineStr">
        <is>
          <t>Un pesce sull'albero</t>
        </is>
      </c>
      <c r="C77" s="14" t="inlineStr">
        <is>
          <t>Lynda Mullaly Hunt</t>
        </is>
      </c>
      <c r="D77" s="14" t="inlineStr">
        <is>
          <t>Abbecedanze (alta leggibilità)</t>
        </is>
      </c>
      <c r="E77" s="14" t="inlineStr">
        <is>
          <t>9/12, 12+</t>
        </is>
      </c>
      <c r="F77" s="14" t="inlineStr">
        <is>
          <t>9+</t>
        </is>
      </c>
      <c r="G77" s="14" t="inlineStr">
        <is>
          <t>Romanzo</t>
        </is>
      </c>
      <c r="H77" s="14" t="inlineStr">
        <is>
          <t>DSA (dislessia)</t>
        </is>
      </c>
      <c r="I77" s="14" t="inlineStr">
        <is>
          <t>No</t>
        </is>
      </c>
      <c r="J77" s="14" t="inlineStr">
        <is>
          <t>Catalogo</t>
        </is>
      </c>
      <c r="K77" s="14" t="inlineStr">
        <is>
          <t>9+, romanzo, narrativa</t>
        </is>
      </c>
      <c r="L77" s="14" t="inlineStr">
        <is>
          <t>https://www.uovonero.com/libri</t>
        </is>
      </c>
      <c r="M77" s="19" t="n"/>
      <c r="N77" s="14" t="inlineStr"/>
      <c r="O77" s="16">
        <f>IF(ISNUMBER(M77),ROUND(M77*(1-Condizioni!$B$2),2),"")</f>
        <v/>
      </c>
      <c r="P77" s="17" t="inlineStr">
        <is>
          <t>Sì</t>
        </is>
      </c>
    </row>
    <row r="78">
      <c r="A78" s="14" t="inlineStr">
        <is>
          <t>Camelozampa</t>
        </is>
      </c>
      <c r="B78" s="14" t="inlineStr">
        <is>
          <t>Cielo di ciliegie</t>
        </is>
      </c>
      <c r="C78" s="14" t="inlineStr">
        <is>
          <t>(vedi scheda)</t>
        </is>
      </c>
      <c r="D78" s="14" t="inlineStr">
        <is>
          <t>Le Piume (albi illustrati)</t>
        </is>
      </c>
      <c r="E78" s="14" t="inlineStr">
        <is>
          <t>collana prevalentemente da 4 anni</t>
        </is>
      </c>
      <c r="F78" s="14" t="inlineStr">
        <is>
          <t>3-6 anni</t>
        </is>
      </c>
      <c r="G78" s="14" t="inlineStr">
        <is>
          <t>Albo illustrato</t>
        </is>
      </c>
      <c r="H78" s="14" t="inlineStr">
        <is>
          <t>Differenze sociali</t>
        </is>
      </c>
      <c r="I78" s="14" t="inlineStr">
        <is>
          <t>No</t>
        </is>
      </c>
      <c r="J78" s="15" t="inlineStr">
        <is>
          <t>Da verificare</t>
        </is>
      </c>
      <c r="K78" s="14" t="inlineStr">
        <is>
          <t>3-6 anni</t>
        </is>
      </c>
      <c r="L78" s="14" t="inlineStr">
        <is>
          <t>https://www.camelozampa.com/shop/categoria/collane/le-piume-albi-illustrati/</t>
        </is>
      </c>
      <c r="M78" s="16" t="n">
        <v>16.9</v>
      </c>
      <c r="N78" s="14" t="inlineStr">
        <is>
          <t>Catalogo Camelozampa 2026</t>
        </is>
      </c>
      <c r="O78" s="16">
        <f>IF(ISNUMBER(M78),ROUND(M78*(1-Condizioni!$B$2),2),"")</f>
        <v/>
      </c>
      <c r="P78" s="17" t="inlineStr">
        <is>
          <t>Sì</t>
        </is>
      </c>
    </row>
    <row r="79">
      <c r="A79" s="14" t="inlineStr">
        <is>
          <t>Edizioni Corsare</t>
        </is>
      </c>
      <c r="B79" s="14" t="inlineStr">
        <is>
          <t>Un emoji per amico</t>
        </is>
      </c>
      <c r="C79" s="14" t="inlineStr">
        <is>
          <t>OSA (Ottocento Straordinari Allievi)</t>
        </is>
      </c>
      <c r="D79" s="14" t="inlineStr">
        <is>
          <t>Storie corsare</t>
        </is>
      </c>
      <c r="E79" s="14" t="inlineStr">
        <is>
          <t>da 9 anni</t>
        </is>
      </c>
      <c r="F79" s="14" t="inlineStr">
        <is>
          <t>9+</t>
        </is>
      </c>
      <c r="G79" s="14" t="inlineStr">
        <is>
          <t>Romanzo</t>
        </is>
      </c>
      <c r="H79" s="14" t="inlineStr">
        <is>
          <t>Dipendenza dal web, cyberbullismo e social network</t>
        </is>
      </c>
      <c r="I79" s="14" t="inlineStr">
        <is>
          <t>No</t>
        </is>
      </c>
      <c r="J79" s="14" t="inlineStr">
        <is>
          <t>Catalogo</t>
        </is>
      </c>
      <c r="K79" s="14" t="inlineStr">
        <is>
          <t>9+, romanzo, narrativa, bullismo</t>
        </is>
      </c>
      <c r="L79" s="14" t="inlineStr">
        <is>
          <t>https://www.edizionicorsare.it/categoria-prodotto/collane/storie-corsare/</t>
        </is>
      </c>
      <c r="M79" s="16" t="n">
        <v>12</v>
      </c>
      <c r="N79" s="14" t="inlineStr">
        <is>
          <t>Catalogo Edizioni Corsare Primavera 2026</t>
        </is>
      </c>
      <c r="O79" s="16">
        <f>IF(ISNUMBER(M79),ROUND(M79*(1-Condizioni!$B$2),2),"")</f>
        <v/>
      </c>
      <c r="P79" s="17" t="inlineStr">
        <is>
          <t>Sì</t>
        </is>
      </c>
    </row>
    <row r="80">
      <c r="A80" s="14" t="inlineStr">
        <is>
          <t>Uovonero</t>
        </is>
      </c>
      <c r="B80" s="14" t="inlineStr">
        <is>
          <t>Lilo</t>
        </is>
      </c>
      <c r="C80" s="14" t="inlineStr">
        <is>
          <t>Inés Garland; ill. Maite Mutuberria</t>
        </is>
      </c>
      <c r="D80" s="14" t="inlineStr">
        <is>
          <t>I Geodi</t>
        </is>
      </c>
      <c r="E80" s="14" t="inlineStr">
        <is>
          <t>6/9, 9/12</t>
        </is>
      </c>
      <c r="F80" s="14" t="inlineStr">
        <is>
          <t>Prime letture (6-8)</t>
        </is>
      </c>
      <c r="G80" s="14" t="inlineStr">
        <is>
          <t>Narrativa</t>
        </is>
      </c>
      <c r="H80" s="14" t="inlineStr">
        <is>
          <t>Dipendenza dallo smartphone</t>
        </is>
      </c>
      <c r="I80" s="14" t="inlineStr">
        <is>
          <t>No</t>
        </is>
      </c>
      <c r="J80" s="14" t="inlineStr">
        <is>
          <t>Catalogo</t>
        </is>
      </c>
      <c r="K80" s="14" t="inlineStr">
        <is>
          <t>prime letture, narrativa</t>
        </is>
      </c>
      <c r="L80" s="14" t="inlineStr">
        <is>
          <t>https://www.uovonero.com/libri</t>
        </is>
      </c>
      <c r="M80" s="19" t="n"/>
      <c r="N80" s="14" t="inlineStr"/>
      <c r="O80" s="16">
        <f>IF(ISNUMBER(M80),ROUND(M80*(1-Condizioni!$B$2),2),"")</f>
        <v/>
      </c>
      <c r="P80" s="17" t="inlineStr">
        <is>
          <t>Sì</t>
        </is>
      </c>
    </row>
    <row r="81">
      <c r="A81" s="14" t="inlineStr">
        <is>
          <t>Momo Edizioni</t>
        </is>
      </c>
      <c r="B81" s="14" t="inlineStr">
        <is>
          <t>Ad occhi aperti</t>
        </is>
      </c>
      <c r="C81" s="14" t="inlineStr">
        <is>
          <t>Vanessa Roghi; ill. Irma Alonzo</t>
        </is>
      </c>
      <c r="D81" s="14" t="inlineStr">
        <is>
          <t>Libri Monelli</t>
        </is>
      </c>
      <c r="E81" s="14" t="inlineStr">
        <is>
          <t>11-99 anni</t>
        </is>
      </c>
      <c r="F81" s="14" t="inlineStr">
        <is>
          <t>Scuola media (11-13)</t>
        </is>
      </c>
      <c r="G81" s="14" t="inlineStr">
        <is>
          <t>Narrativa</t>
        </is>
      </c>
      <c r="H81" s="14" t="inlineStr">
        <is>
          <t>Dipendenze e riduzione del danno</t>
        </is>
      </c>
      <c r="I81" s="14" t="inlineStr">
        <is>
          <t>No</t>
        </is>
      </c>
      <c r="J81" s="14" t="inlineStr">
        <is>
          <t>Catalogo</t>
        </is>
      </c>
      <c r="K81" s="14" t="inlineStr">
        <is>
          <t>prima/seconda/terza media, narrativa</t>
        </is>
      </c>
      <c r="L81" s="14" t="inlineStr">
        <is>
          <t>https://momoedizioni.it/categoria/libri/libri-monelli/</t>
        </is>
      </c>
      <c r="M81" s="16" t="n">
        <v>15</v>
      </c>
      <c r="N81" s="14" t="inlineStr">
        <is>
          <t>Sito Momo Edizioni</t>
        </is>
      </c>
      <c r="O81" s="16">
        <f>IF(ISNUMBER(M81),ROUND(M81*(1-Condizioni!$B$2),2),"")</f>
        <v/>
      </c>
      <c r="P81" s="17" t="inlineStr">
        <is>
          <t>Sì</t>
        </is>
      </c>
    </row>
    <row r="82">
      <c r="A82" s="14" t="inlineStr">
        <is>
          <t>Settenove</t>
        </is>
      </c>
      <c r="B82" s="14" t="inlineStr">
        <is>
          <t>Se un bambino</t>
        </is>
      </c>
      <c r="C82" s="14" t="inlineStr">
        <is>
          <t>Davide Musso; ill. Anna Forlati</t>
        </is>
      </c>
      <c r="D82" s="14" t="inlineStr">
        <is>
          <t>Albi illustrati / Narrativa / Educazione al genere</t>
        </is>
      </c>
      <c r="E82" s="14" t="inlineStr">
        <is>
          <t>da 4 anni</t>
        </is>
      </c>
      <c r="F82" s="14" t="inlineStr">
        <is>
          <t>3-6 anni</t>
        </is>
      </c>
      <c r="G82" s="14" t="inlineStr">
        <is>
          <t>Albo illustrato</t>
        </is>
      </c>
      <c r="H82" s="14" t="inlineStr">
        <is>
          <t>Diritti dell'infanzia</t>
        </is>
      </c>
      <c r="I82" s="14" t="inlineStr">
        <is>
          <t>No</t>
        </is>
      </c>
      <c r="J82" s="14" t="inlineStr">
        <is>
          <t>Catalogo</t>
        </is>
      </c>
      <c r="K82" s="14" t="inlineStr">
        <is>
          <t>3-6 anni</t>
        </is>
      </c>
      <c r="L82" s="14" t="inlineStr">
        <is>
          <t>https://www.settenove.it/catalogo/narrativa/5</t>
        </is>
      </c>
      <c r="M82" s="16" t="n">
        <v>17</v>
      </c>
      <c r="N82" s="14" t="inlineStr">
        <is>
          <t>Sito Settenove (prezzo di copertina)</t>
        </is>
      </c>
      <c r="O82" s="16">
        <f>IF(ISNUMBER(M82),ROUND(M82*(1-Condizioni!$B$2),2),"")</f>
        <v/>
      </c>
      <c r="P82" s="17" t="inlineStr">
        <is>
          <t>Sì</t>
        </is>
      </c>
    </row>
    <row r="83">
      <c r="A83" s="14" t="inlineStr">
        <is>
          <t>La Meridiana</t>
        </is>
      </c>
      <c r="B83" s="14" t="inlineStr">
        <is>
          <t>Accendiamo i diritti. Percorsi e attività per educare ai diritti dell'infanzia</t>
        </is>
      </c>
      <c r="C83" s="14" t="inlineStr">
        <is>
          <t>AA.VV.</t>
        </is>
      </c>
      <c r="D83" s="14" t="inlineStr">
        <is>
          <t>Percorsi educativi bambini</t>
        </is>
      </c>
      <c r="E83" s="14" t="inlineStr">
        <is>
          <t>per educatori/insegnanti</t>
        </is>
      </c>
      <c r="F83" s="14" t="inlineStr">
        <is>
          <t>n.d. / tutte le età</t>
        </is>
      </c>
      <c r="G83" s="14" t="inlineStr">
        <is>
          <t>Divulgazione/Saggio</t>
        </is>
      </c>
      <c r="H83" s="14" t="inlineStr">
        <is>
          <t>Diritti dell'infanzia e dell'adolescenza</t>
        </is>
      </c>
      <c r="I83" s="14" t="inlineStr">
        <is>
          <t>No</t>
        </is>
      </c>
      <c r="J83" s="14" t="inlineStr">
        <is>
          <t>Catalogo</t>
        </is>
      </c>
      <c r="K83" s="14" t="inlineStr"/>
      <c r="L83" s="14" t="inlineStr">
        <is>
          <t>https://www.libreriadelsanto.it/libri_di/editore/La_Meridiana/page1.html</t>
        </is>
      </c>
      <c r="M83" s="19" t="n"/>
      <c r="N83" s="14" t="inlineStr"/>
      <c r="O83" s="16">
        <f>IF(ISNUMBER(M83),ROUND(M83*(1-Condizioni!$B$2),2),"")</f>
        <v/>
      </c>
      <c r="P83" s="17" t="inlineStr">
        <is>
          <t>Sì</t>
        </is>
      </c>
    </row>
    <row r="84">
      <c r="A84" s="14" t="inlineStr">
        <is>
          <t>BeccoGiallo</t>
        </is>
      </c>
      <c r="B84" s="14" t="inlineStr">
        <is>
          <t>La Costituzione spiegata ai bambini (Piero e Nilde)</t>
        </is>
      </c>
      <c r="C84" s="14" t="inlineStr">
        <is>
          <t>Francesca Parmigiani; ill. Dora Creminati</t>
        </is>
      </c>
      <c r="D84" s="14" t="inlineStr">
        <is>
          <t>Kids / CriticalKids</t>
        </is>
      </c>
      <c r="E84" s="14" t="inlineStr">
        <is>
          <t>da 9 anni</t>
        </is>
      </c>
      <c r="F84" s="14" t="inlineStr">
        <is>
          <t>9+</t>
        </is>
      </c>
      <c r="G84" s="14" t="inlineStr">
        <is>
          <t>Divulgazione/Saggio</t>
        </is>
      </c>
      <c r="H84" s="14" t="inlineStr">
        <is>
          <t>Diritti e cittadinanza</t>
        </is>
      </c>
      <c r="I84" s="14" t="inlineStr">
        <is>
          <t>No</t>
        </is>
      </c>
      <c r="J84" s="14" t="inlineStr">
        <is>
          <t>Verificata (IBS / editore)</t>
        </is>
      </c>
      <c r="K84" s="14" t="inlineStr">
        <is>
          <t>9+</t>
        </is>
      </c>
      <c r="L84" s="14" t="inlineStr">
        <is>
          <t>https://www.beccogiallo.it/categoria-prodotto/kids/</t>
        </is>
      </c>
      <c r="M84" s="16" t="n">
        <v>14</v>
      </c>
      <c r="N84" s="14" t="inlineStr">
        <is>
          <t>Sito BeccoGiallo (prezzo di listino)</t>
        </is>
      </c>
      <c r="O84" s="16">
        <f>IF(ISNUMBER(M84),ROUND(M84*(1-Condizioni!$B$2),2),"")</f>
        <v/>
      </c>
      <c r="P84" s="17" t="inlineStr">
        <is>
          <t>Sì</t>
        </is>
      </c>
    </row>
    <row r="85">
      <c r="A85" s="14" t="inlineStr">
        <is>
          <t>Cronache Ribelli</t>
        </is>
      </c>
      <c r="B85" s="14" t="inlineStr">
        <is>
          <t>C'era una (ri)volta – Quaranta storie da leggere e colorare (vol. II)</t>
        </is>
      </c>
      <c r="C85" s="14" t="inlineStr">
        <is>
          <t>AA.VV.</t>
        </is>
      </c>
      <c r="D85" s="14" t="inlineStr">
        <is>
          <t>Libri per bambin* e ragazz*</t>
        </is>
      </c>
      <c r="E85" s="14" t="inlineStr">
        <is>
          <t>6-10 anni</t>
        </is>
      </c>
      <c r="F85" s="14" t="inlineStr">
        <is>
          <t>Prime letture (6-8)</t>
        </is>
      </c>
      <c r="G85" s="14" t="inlineStr">
        <is>
          <t>Narrativa</t>
        </is>
      </c>
      <c r="H85" s="14" t="inlineStr">
        <is>
          <t>Diritti, antirazzismo, lotte sociali</t>
        </is>
      </c>
      <c r="I85" s="14" t="inlineStr">
        <is>
          <t>No</t>
        </is>
      </c>
      <c r="J85" s="14" t="inlineStr">
        <is>
          <t>Catalogo</t>
        </is>
      </c>
      <c r="K85" s="14" t="inlineStr">
        <is>
          <t>prime letture, narrativa</t>
        </is>
      </c>
      <c r="L85" s="14" t="inlineStr">
        <is>
          <t>https://cronacheribelli.it/collections/libri-per-bambin-e-ragazz</t>
        </is>
      </c>
      <c r="M85" s="16" t="n">
        <v>18</v>
      </c>
      <c r="N85" s="14" t="inlineStr">
        <is>
          <t>https://cronacheribelli.it/products/cera-una-rivolta-volume-ii-quaranta-storie-da-leggere-e-colorare</t>
        </is>
      </c>
      <c r="O85" s="16">
        <f>IF(ISNUMBER(M85),ROUND(M85*(1-Condizioni!$B$2),2),"")</f>
        <v/>
      </c>
      <c r="P85" s="17" t="inlineStr">
        <is>
          <t>Sì</t>
        </is>
      </c>
    </row>
    <row r="86">
      <c r="A86" s="14" t="inlineStr">
        <is>
          <t>Cronache Ribelli</t>
        </is>
      </c>
      <c r="B86" s="14" t="inlineStr">
        <is>
          <t>C'era una (ri)volta – Quaranta storie da leggere e colorare (vol. I)</t>
        </is>
      </c>
      <c r="C86" s="14" t="inlineStr">
        <is>
          <t>AA.VV.</t>
        </is>
      </c>
      <c r="D86" s="14" t="inlineStr">
        <is>
          <t>Libri per bambin* e ragazz*</t>
        </is>
      </c>
      <c r="E86" s="14" t="inlineStr">
        <is>
          <t>6-10 anni</t>
        </is>
      </c>
      <c r="F86" s="14" t="inlineStr">
        <is>
          <t>Prime letture (6-8)</t>
        </is>
      </c>
      <c r="G86" s="14" t="inlineStr">
        <is>
          <t>Narrativa</t>
        </is>
      </c>
      <c r="H86" s="14" t="inlineStr">
        <is>
          <t>Diritti, antirazzismo, omofobia, violenza di genere, povertà</t>
        </is>
      </c>
      <c r="I86" s="14" t="inlineStr">
        <is>
          <t>No</t>
        </is>
      </c>
      <c r="J86" s="14" t="inlineStr">
        <is>
          <t>Catalogo</t>
        </is>
      </c>
      <c r="K86" s="14" t="inlineStr">
        <is>
          <t>prime letture, narrativa</t>
        </is>
      </c>
      <c r="L86" s="14" t="inlineStr">
        <is>
          <t>https://cronacheribelli.it/collections/libri-per-bambin-e-ragazz</t>
        </is>
      </c>
      <c r="M86" s="16" t="n">
        <v>9</v>
      </c>
      <c r="N86" s="14" t="inlineStr">
        <is>
          <t>https://www.bookletnews.it/index.php/catalogo/cronache-ribelli</t>
        </is>
      </c>
      <c r="O86" s="16">
        <f>IF(ISNUMBER(M86),ROUND(M86*(1-Condizioni!$B$2),2),"")</f>
        <v/>
      </c>
      <c r="P86" s="17" t="inlineStr">
        <is>
          <t>Sì</t>
        </is>
      </c>
    </row>
    <row r="87">
      <c r="A87" s="14" t="inlineStr">
        <is>
          <t>Settenove</t>
        </is>
      </c>
      <c r="B87" s="14" t="inlineStr">
        <is>
          <t>Io sono Adila. Storia illustrata di Malala Yousafzai</t>
        </is>
      </c>
      <c r="C87" s="14" t="inlineStr">
        <is>
          <t>F. Degl'Innocenti; ill. A. Forlati</t>
        </is>
      </c>
      <c r="D87" s="14" t="inlineStr">
        <is>
          <t>Albi illustrati / Narrativa / Educazione al genere</t>
        </is>
      </c>
      <c r="E87" s="14" t="inlineStr">
        <is>
          <t>da 6 anni</t>
        </is>
      </c>
      <c r="F87" s="14" t="inlineStr">
        <is>
          <t>Prime letture (6-8)</t>
        </is>
      </c>
      <c r="G87" s="14" t="inlineStr">
        <is>
          <t>Albo illustrato</t>
        </is>
      </c>
      <c r="H87" s="14" t="inlineStr">
        <is>
          <t>Diritto all'istruzione</t>
        </is>
      </c>
      <c r="I87" s="14" t="inlineStr">
        <is>
          <t>No</t>
        </is>
      </c>
      <c r="J87" s="14" t="inlineStr">
        <is>
          <t>Catalogo</t>
        </is>
      </c>
      <c r="K87" s="14" t="inlineStr">
        <is>
          <t>prime letture</t>
        </is>
      </c>
      <c r="L87" s="14" t="inlineStr">
        <is>
          <t>https://www.settenove.it/catalogo/narrativa/5</t>
        </is>
      </c>
      <c r="M87" s="16" t="n">
        <v>17</v>
      </c>
      <c r="N87" s="14" t="inlineStr">
        <is>
          <t>Sito Settenove (prezzo di copertina)</t>
        </is>
      </c>
      <c r="O87" s="16">
        <f>IF(ISNUMBER(M87),ROUND(M87*(1-Condizioni!$B$2),2),"")</f>
        <v/>
      </c>
      <c r="P87" s="17" t="inlineStr">
        <is>
          <t>Sì</t>
        </is>
      </c>
    </row>
    <row r="88">
      <c r="A88" s="14" t="inlineStr">
        <is>
          <t>Edizioni Corsare</t>
        </is>
      </c>
      <c r="B88" s="14" t="inlineStr">
        <is>
          <t>Casa casina</t>
        </is>
      </c>
      <c r="C88" s="14" t="inlineStr">
        <is>
          <t>Manuela Mapelli</t>
        </is>
      </c>
      <c r="D88" s="14" t="inlineStr">
        <is>
          <t>Area ragazzi (albi illustrati)</t>
        </is>
      </c>
      <c r="E88" s="14" t="inlineStr">
        <is>
          <t>da 3 anni</t>
        </is>
      </c>
      <c r="F88" s="14" t="inlineStr">
        <is>
          <t>3-6 anni</t>
        </is>
      </c>
      <c r="G88" s="14" t="inlineStr">
        <is>
          <t>Albo illustrato</t>
        </is>
      </c>
      <c r="H88" s="14" t="inlineStr">
        <is>
          <t>Diritto alla casa</t>
        </is>
      </c>
      <c r="I88" s="14" t="inlineStr">
        <is>
          <t>No</t>
        </is>
      </c>
      <c r="J88" s="14" t="inlineStr">
        <is>
          <t>Catalogo</t>
        </is>
      </c>
      <c r="K88" s="14" t="inlineStr">
        <is>
          <t>3-6 anni</t>
        </is>
      </c>
      <c r="L88" s="14" t="inlineStr">
        <is>
          <t>Catalogo Edizioni Corsare Primavera 2026</t>
        </is>
      </c>
      <c r="M88" s="16" t="n">
        <v>15</v>
      </c>
      <c r="N88" s="14" t="inlineStr">
        <is>
          <t>Catalogo Edizioni Corsare Primavera 2026</t>
        </is>
      </c>
      <c r="O88" s="16">
        <f>IF(ISNUMBER(M88),ROUND(M88*(1-Condizioni!$B$2),2),"")</f>
        <v/>
      </c>
      <c r="P88" s="17" t="inlineStr">
        <is>
          <t>Sì</t>
        </is>
      </c>
    </row>
    <row r="89">
      <c r="A89" s="14" t="inlineStr">
        <is>
          <t>Camelozampa</t>
        </is>
      </c>
      <c r="B89" s="14" t="inlineStr">
        <is>
          <t>Dove sono finiti i bambini?</t>
        </is>
      </c>
      <c r="C89" s="14" t="inlineStr">
        <is>
          <t>(vedi scheda)</t>
        </is>
      </c>
      <c r="D89" s="14" t="inlineStr">
        <is>
          <t>Narrativa / Gruppi di lettura</t>
        </is>
      </c>
      <c r="E89" s="14" t="inlineStr">
        <is>
          <t>da 6 anni</t>
        </is>
      </c>
      <c r="F89" s="14" t="inlineStr">
        <is>
          <t>Prime letture (6-8)</t>
        </is>
      </c>
      <c r="G89" s="14" t="inlineStr">
        <is>
          <t>Poesia</t>
        </is>
      </c>
      <c r="H89" s="14" t="inlineStr">
        <is>
          <t>Diritto dei bambini a essere ascoltati</t>
        </is>
      </c>
      <c r="I89" s="14" t="inlineStr">
        <is>
          <t>No</t>
        </is>
      </c>
      <c r="J89" s="14" t="inlineStr">
        <is>
          <t>Catalogo</t>
        </is>
      </c>
      <c r="K89" s="14" t="inlineStr">
        <is>
          <t>prime letture</t>
        </is>
      </c>
      <c r="L89" s="14" t="inlineStr">
        <is>
          <t>https://www.camelozampa.com/gruppi-di-lettura/</t>
        </is>
      </c>
      <c r="M89" s="16" t="n">
        <v>17.9</v>
      </c>
      <c r="N89" s="14" t="inlineStr">
        <is>
          <t>Catalogo Camelozampa 2026</t>
        </is>
      </c>
      <c r="O89" s="16">
        <f>IF(ISNUMBER(M89),ROUND(M89*(1-Condizioni!$B$2),2),"")</f>
        <v/>
      </c>
      <c r="P89" s="17" t="inlineStr">
        <is>
          <t>Sì</t>
        </is>
      </c>
    </row>
    <row r="90">
      <c r="A90" s="14" t="inlineStr">
        <is>
          <t>Settenove</t>
        </is>
      </c>
      <c r="B90" s="14" t="inlineStr">
        <is>
          <t>Il primo voto di Matilde</t>
        </is>
      </c>
      <c r="C90" s="14" t="inlineStr">
        <is>
          <t>F. Degl'Innocenti; ill. G. Marchegiani</t>
        </is>
      </c>
      <c r="D90" s="14" t="inlineStr">
        <is>
          <t>Albi illustrati / Narrativa / Educazione al genere</t>
        </is>
      </c>
      <c r="E90" s="14" t="inlineStr">
        <is>
          <t>da 10 anni</t>
        </is>
      </c>
      <c r="F90" s="14" t="inlineStr">
        <is>
          <t>10+</t>
        </is>
      </c>
      <c r="G90" s="14" t="inlineStr">
        <is>
          <t>Albo illustrato</t>
        </is>
      </c>
      <c r="H90" s="14" t="inlineStr">
        <is>
          <t>Diritto di voto delle donne</t>
        </is>
      </c>
      <c r="I90" s="14" t="inlineStr">
        <is>
          <t>No</t>
        </is>
      </c>
      <c r="J90" s="14" t="inlineStr">
        <is>
          <t>Catalogo</t>
        </is>
      </c>
      <c r="K90" s="14" t="inlineStr">
        <is>
          <t>10+</t>
        </is>
      </c>
      <c r="L90" s="14" t="inlineStr">
        <is>
          <t>https://www.settenove.it/catalogo/narrativa/5</t>
        </is>
      </c>
      <c r="M90" s="16" t="n">
        <v>15</v>
      </c>
      <c r="N90" s="14" t="inlineStr">
        <is>
          <t>Sito Settenove (prezzo di copertina)</t>
        </is>
      </c>
      <c r="O90" s="16">
        <f>IF(ISNUMBER(M90),ROUND(M90*(1-Condizioni!$B$2),2),"")</f>
        <v/>
      </c>
      <c r="P90" s="17" t="inlineStr">
        <is>
          <t>Sì</t>
        </is>
      </c>
    </row>
    <row r="91">
      <c r="A91" s="14" t="inlineStr">
        <is>
          <t>Uovonero</t>
        </is>
      </c>
      <c r="B91" s="14" t="inlineStr">
        <is>
          <t>Questo posso farlo</t>
        </is>
      </c>
      <c r="C91" s="14" t="inlineStr">
        <is>
          <t>Satoe Tone</t>
        </is>
      </c>
      <c r="D91" s="14" t="inlineStr">
        <is>
          <t>I libri di Camilla</t>
        </is>
      </c>
      <c r="E91" s="14" t="inlineStr">
        <is>
          <t>0/3, 3/6</t>
        </is>
      </c>
      <c r="F91" s="14" t="inlineStr">
        <is>
          <t>0-3 anni</t>
        </is>
      </c>
      <c r="G91" s="14" t="inlineStr">
        <is>
          <t>Libro in simboli (CAA)</t>
        </is>
      </c>
      <c r="H91" s="14" t="inlineStr">
        <is>
          <t>Disabilità</t>
        </is>
      </c>
      <c r="I91" s="18" t="inlineStr">
        <is>
          <t>Sì</t>
        </is>
      </c>
      <c r="J91" s="14" t="inlineStr">
        <is>
          <t>Catalogo</t>
        </is>
      </c>
      <c r="K91" s="14" t="inlineStr">
        <is>
          <t>0-3 anni, CAA</t>
        </is>
      </c>
      <c r="L91" s="14" t="inlineStr">
        <is>
          <t>https://www.uovonero.com/libri</t>
        </is>
      </c>
      <c r="M91" s="19" t="n"/>
      <c r="N91" s="14" t="inlineStr"/>
      <c r="O91" s="16">
        <f>IF(ISNUMBER(M91),ROUND(M91*(1-Condizioni!$B$2),2),"")</f>
        <v/>
      </c>
      <c r="P91" s="17" t="inlineStr">
        <is>
          <t>Sì</t>
        </is>
      </c>
    </row>
    <row r="92">
      <c r="A92" s="14" t="inlineStr">
        <is>
          <t>Uovonero</t>
        </is>
      </c>
      <c r="B92" s="14" t="inlineStr">
        <is>
          <t>Che cos'è una sindrome?</t>
        </is>
      </c>
      <c r="C92" s="14" t="inlineStr">
        <is>
          <t>Giovanni Colaneri</t>
        </is>
      </c>
      <c r="D92" s="14" t="inlineStr">
        <is>
          <t>I Geodi</t>
        </is>
      </c>
      <c r="E92" s="14" t="inlineStr">
        <is>
          <t>3/6, 6/9</t>
        </is>
      </c>
      <c r="F92" s="14" t="inlineStr">
        <is>
          <t>3-6 anni</t>
        </is>
      </c>
      <c r="G92" s="14" t="inlineStr">
        <is>
          <t>Albo illustrato</t>
        </is>
      </c>
      <c r="H92" s="14" t="inlineStr">
        <is>
          <t>Disabilità</t>
        </is>
      </c>
      <c r="I92" s="14" t="inlineStr">
        <is>
          <t>No</t>
        </is>
      </c>
      <c r="J92" s="14" t="inlineStr">
        <is>
          <t>Catalogo</t>
        </is>
      </c>
      <c r="K92" s="14" t="inlineStr">
        <is>
          <t>3-6 anni</t>
        </is>
      </c>
      <c r="L92" s="14" t="inlineStr">
        <is>
          <t>https://www.uovonero.com/libri</t>
        </is>
      </c>
      <c r="M92" s="16" t="n">
        <v>18</v>
      </c>
      <c r="N92" s="14" t="inlineStr">
        <is>
          <t>Catalogo Uovonero per librai</t>
        </is>
      </c>
      <c r="O92" s="16">
        <f>IF(ISNUMBER(M92),ROUND(M92*(1-Condizioni!$B$2),2),"")</f>
        <v/>
      </c>
      <c r="P92" s="17" t="inlineStr">
        <is>
          <t>Sì</t>
        </is>
      </c>
    </row>
    <row r="93">
      <c r="A93" s="14" t="inlineStr">
        <is>
          <t>Uovonero</t>
        </is>
      </c>
      <c r="B93" s="14" t="inlineStr">
        <is>
          <t>Farfariel – Il libro di Micù</t>
        </is>
      </c>
      <c r="C93" s="14" t="inlineStr">
        <is>
          <t>Pietro Albì</t>
        </is>
      </c>
      <c r="D93" s="14" t="inlineStr">
        <is>
          <t>I Geodi</t>
        </is>
      </c>
      <c r="E93" s="14" t="inlineStr">
        <is>
          <t>9/12, 12+</t>
        </is>
      </c>
      <c r="F93" s="14" t="inlineStr">
        <is>
          <t>9+</t>
        </is>
      </c>
      <c r="G93" s="14" t="inlineStr">
        <is>
          <t>Romanzo</t>
        </is>
      </c>
      <c r="H93" s="14" t="inlineStr">
        <is>
          <t>Disabilità</t>
        </is>
      </c>
      <c r="I93" s="14" t="inlineStr">
        <is>
          <t>No</t>
        </is>
      </c>
      <c r="J93" s="14" t="inlineStr">
        <is>
          <t>Catalogo</t>
        </is>
      </c>
      <c r="K93" s="14" t="inlineStr">
        <is>
          <t>9+, romanzo, narrativa</t>
        </is>
      </c>
      <c r="L93" s="14" t="inlineStr">
        <is>
          <t>https://www.uovonero.com/libri</t>
        </is>
      </c>
      <c r="M93" s="16" t="n">
        <v>16</v>
      </c>
      <c r="N93" s="14" t="inlineStr">
        <is>
          <t>Catalogo Uovonero per librai</t>
        </is>
      </c>
      <c r="O93" s="16">
        <f>IF(ISNUMBER(M93),ROUND(M93*(1-Condizioni!$B$2),2),"")</f>
        <v/>
      </c>
      <c r="P93" s="17" t="inlineStr">
        <is>
          <t>Sì</t>
        </is>
      </c>
    </row>
    <row r="94">
      <c r="A94" s="14" t="inlineStr">
        <is>
          <t>Uovonero</t>
        </is>
      </c>
      <c r="B94" s="14" t="inlineStr">
        <is>
          <t>Garrincha. L'angelo dalle gambe storte</t>
        </is>
      </c>
      <c r="C94" s="14" t="inlineStr">
        <is>
          <t>Antonio Ferrara</t>
        </is>
      </c>
      <c r="D94" s="14" t="inlineStr">
        <is>
          <t>I Geodi</t>
        </is>
      </c>
      <c r="E94" s="14" t="inlineStr">
        <is>
          <t>9/12, 12+</t>
        </is>
      </c>
      <c r="F94" s="14" t="inlineStr">
        <is>
          <t>9+</t>
        </is>
      </c>
      <c r="G94" s="14" t="inlineStr">
        <is>
          <t>Graphic novel/Fumetto</t>
        </is>
      </c>
      <c r="H94" s="14" t="inlineStr">
        <is>
          <t>Disabilità</t>
        </is>
      </c>
      <c r="I94" s="14" t="inlineStr">
        <is>
          <t>No</t>
        </is>
      </c>
      <c r="J94" s="14" t="inlineStr">
        <is>
          <t>Catalogo</t>
        </is>
      </c>
      <c r="K94" s="14" t="inlineStr">
        <is>
          <t>9+</t>
        </is>
      </c>
      <c r="L94" s="14" t="inlineStr">
        <is>
          <t>https://www.uovonero.com/libri</t>
        </is>
      </c>
      <c r="M94" s="16" t="n">
        <v>15</v>
      </c>
      <c r="N94" s="14" t="inlineStr">
        <is>
          <t>Catalogo Uovonero per librai</t>
        </is>
      </c>
      <c r="O94" s="16">
        <f>IF(ISNUMBER(M94),ROUND(M94*(1-Condizioni!$B$2),2),"")</f>
        <v/>
      </c>
      <c r="P94" s="17" t="inlineStr">
        <is>
          <t>Sì</t>
        </is>
      </c>
    </row>
    <row r="95">
      <c r="A95" s="14" t="inlineStr">
        <is>
          <t>Uovonero</t>
        </is>
      </c>
      <c r="B95" s="14" t="inlineStr">
        <is>
          <t>Professor papà</t>
        </is>
      </c>
      <c r="C95" s="14" t="inlineStr">
        <is>
          <t>Gunnar Helgason</t>
        </is>
      </c>
      <c r="D95" s="14" t="inlineStr">
        <is>
          <t>I Geodi</t>
        </is>
      </c>
      <c r="E95" s="14" t="inlineStr">
        <is>
          <t>12+</t>
        </is>
      </c>
      <c r="F95" s="14" t="inlineStr">
        <is>
          <t>Scuola media (11-13)</t>
        </is>
      </c>
      <c r="G95" s="14" t="inlineStr">
        <is>
          <t>Romanzo</t>
        </is>
      </c>
      <c r="H95" s="14" t="inlineStr">
        <is>
          <t>Disabilità</t>
        </is>
      </c>
      <c r="I95" s="14" t="inlineStr">
        <is>
          <t>No</t>
        </is>
      </c>
      <c r="J95" s="14" t="inlineStr">
        <is>
          <t>Catalogo</t>
        </is>
      </c>
      <c r="K95" s="14" t="inlineStr">
        <is>
          <t>prima/seconda/terza media, romanzo, narrativa</t>
        </is>
      </c>
      <c r="L95" s="14" t="inlineStr">
        <is>
          <t>https://www.uovonero.com/libri</t>
        </is>
      </c>
      <c r="M95" s="19" t="n"/>
      <c r="N95" s="14" t="inlineStr"/>
      <c r="O95" s="16">
        <f>IF(ISNUMBER(M95),ROUND(M95*(1-Condizioni!$B$2),2),"")</f>
        <v/>
      </c>
      <c r="P95" s="17" t="inlineStr">
        <is>
          <t>Sì</t>
        </is>
      </c>
    </row>
    <row r="96">
      <c r="A96" s="14" t="inlineStr">
        <is>
          <t>BeccoGiallo</t>
        </is>
      </c>
      <c r="B96" s="14" t="inlineStr">
        <is>
          <t>La disabilità spiegata ai bambini e alle bambine</t>
        </is>
      </c>
      <c r="C96" s="14" t="inlineStr">
        <is>
          <t>(vedi scheda)</t>
        </is>
      </c>
      <c r="D96" s="14" t="inlineStr">
        <is>
          <t>Kids / CriticalKids</t>
        </is>
      </c>
      <c r="E96" s="14" t="inlineStr">
        <is>
          <t>da 6 anni</t>
        </is>
      </c>
      <c r="F96" s="14" t="inlineStr">
        <is>
          <t>Prime letture (6-8)</t>
        </is>
      </c>
      <c r="G96" s="14" t="inlineStr">
        <is>
          <t>Divulgazione/Saggio</t>
        </is>
      </c>
      <c r="H96" s="14" t="inlineStr">
        <is>
          <t>Disabilità</t>
        </is>
      </c>
      <c r="I96" s="14" t="inlineStr">
        <is>
          <t>No</t>
        </is>
      </c>
      <c r="J96" s="14" t="inlineStr">
        <is>
          <t>Verificata (IBS / editore)</t>
        </is>
      </c>
      <c r="K96" s="14" t="inlineStr">
        <is>
          <t>prime letture</t>
        </is>
      </c>
      <c r="L96" s="14" t="inlineStr">
        <is>
          <t>https://www.beccogiallo.it/categoria-prodotto/kids/</t>
        </is>
      </c>
      <c r="M96" s="16" t="n">
        <v>16</v>
      </c>
      <c r="N96" s="14" t="inlineStr">
        <is>
          <t>Sito BeccoGiallo (prezzo di listino)</t>
        </is>
      </c>
      <c r="O96" s="16">
        <f>IF(ISNUMBER(M96),ROUND(M96*(1-Condizioni!$B$2),2),"")</f>
        <v/>
      </c>
      <c r="P96" s="17" t="inlineStr">
        <is>
          <t>Sì</t>
        </is>
      </c>
    </row>
    <row r="97">
      <c r="A97" s="14" t="inlineStr">
        <is>
          <t>Uovonero</t>
        </is>
      </c>
      <c r="B97" s="14" t="inlineStr">
        <is>
          <t>La chitarra di Django</t>
        </is>
      </c>
      <c r="C97" s="14" t="inlineStr">
        <is>
          <t>Fabrizio Silei, Alfred</t>
        </is>
      </c>
      <c r="D97" s="14" t="inlineStr">
        <is>
          <t>I Geodi</t>
        </is>
      </c>
      <c r="E97" s="14" t="inlineStr">
        <is>
          <t>6/9</t>
        </is>
      </c>
      <c r="F97" s="14" t="inlineStr">
        <is>
          <t>Prime letture (6-8)</t>
        </is>
      </c>
      <c r="G97" s="14" t="inlineStr">
        <is>
          <t>Albo illustrato</t>
        </is>
      </c>
      <c r="H97" s="14" t="inlineStr">
        <is>
          <t>Disabilità (Django Reinhardt)</t>
        </is>
      </c>
      <c r="I97" s="14" t="inlineStr">
        <is>
          <t>No</t>
        </is>
      </c>
      <c r="J97" s="14" t="inlineStr">
        <is>
          <t>Catalogo</t>
        </is>
      </c>
      <c r="K97" s="14" t="inlineStr">
        <is>
          <t>prime letture</t>
        </is>
      </c>
      <c r="L97" s="14" t="inlineStr">
        <is>
          <t>https://www.uovonero.com/libri</t>
        </is>
      </c>
      <c r="M97" s="16" t="n">
        <v>16</v>
      </c>
      <c r="N97" s="14" t="inlineStr">
        <is>
          <t>Catalogo Uovonero per librai</t>
        </is>
      </c>
      <c r="O97" s="16">
        <f>IF(ISNUMBER(M97),ROUND(M97*(1-Condizioni!$B$2),2),"")</f>
        <v/>
      </c>
      <c r="P97" s="17" t="inlineStr">
        <is>
          <t>Sì</t>
        </is>
      </c>
    </row>
    <row r="98">
      <c r="A98" s="14" t="inlineStr">
        <is>
          <t>Uovonero</t>
        </is>
      </c>
      <c r="B98" s="14" t="inlineStr">
        <is>
          <t>Le degenerate</t>
        </is>
      </c>
      <c r="C98" s="14" t="inlineStr">
        <is>
          <t>J. Albert Mann</t>
        </is>
      </c>
      <c r="D98" s="14" t="inlineStr">
        <is>
          <t>I Geodi</t>
        </is>
      </c>
      <c r="E98" s="14" t="inlineStr">
        <is>
          <t>14+</t>
        </is>
      </c>
      <c r="F98" s="14" t="inlineStr">
        <is>
          <t>Adolescenza (14+)</t>
        </is>
      </c>
      <c r="G98" s="14" t="inlineStr">
        <is>
          <t>Romanzo</t>
        </is>
      </c>
      <c r="H98" s="14" t="inlineStr">
        <is>
          <t>Disabilità (storia delle istituzioni, 1928)</t>
        </is>
      </c>
      <c r="I98" s="14" t="inlineStr">
        <is>
          <t>No</t>
        </is>
      </c>
      <c r="J98" s="14" t="inlineStr">
        <is>
          <t>Catalogo</t>
        </is>
      </c>
      <c r="K98" s="14" t="inlineStr">
        <is>
          <t>adolescenza, romanzo, narrativa</t>
        </is>
      </c>
      <c r="L98" s="14" t="inlineStr">
        <is>
          <t>https://www.uovonero.com/libri</t>
        </is>
      </c>
      <c r="M98" s="16" t="n">
        <v>16</v>
      </c>
      <c r="N98" s="14" t="inlineStr">
        <is>
          <t>Catalogo Uovonero per librai</t>
        </is>
      </c>
      <c r="O98" s="16">
        <f>IF(ISNUMBER(M98),ROUND(M98*(1-Condizioni!$B$2),2),"")</f>
        <v/>
      </c>
      <c r="P98" s="17" t="inlineStr">
        <is>
          <t>Sì</t>
        </is>
      </c>
    </row>
    <row r="99">
      <c r="A99" s="14" t="inlineStr">
        <is>
          <t>Uovonero</t>
        </is>
      </c>
      <c r="B99" s="14" t="inlineStr">
        <is>
          <t>Le parole di Bianca sono farfalle</t>
        </is>
      </c>
      <c r="C99" s="14" t="inlineStr">
        <is>
          <t>Chiara Lorenzoni; ill. Sophie Fatus</t>
        </is>
      </c>
      <c r="D99" s="14" t="inlineStr">
        <is>
          <t>I libri di Camilla</t>
        </is>
      </c>
      <c r="E99" s="14" t="inlineStr">
        <is>
          <t>3/6, 6/9</t>
        </is>
      </c>
      <c r="F99" s="14" t="inlineStr">
        <is>
          <t>3-6 anni</t>
        </is>
      </c>
      <c r="G99" s="14" t="inlineStr">
        <is>
          <t>Libro in simboli (CAA)</t>
        </is>
      </c>
      <c r="H99" s="14" t="inlineStr">
        <is>
          <t>Disabilità / comunicazione</t>
        </is>
      </c>
      <c r="I99" s="18" t="inlineStr">
        <is>
          <t>Sì</t>
        </is>
      </c>
      <c r="J99" s="14" t="inlineStr">
        <is>
          <t>Catalogo</t>
        </is>
      </c>
      <c r="K99" s="14" t="inlineStr">
        <is>
          <t>3-6 anni, CAA</t>
        </is>
      </c>
      <c r="L99" s="14" t="inlineStr">
        <is>
          <t>https://www.uovonero.com/libri</t>
        </is>
      </c>
      <c r="M99" s="19" t="n"/>
      <c r="N99" s="14" t="inlineStr"/>
      <c r="O99" s="16">
        <f>IF(ISNUMBER(M99),ROUND(M99*(1-Condizioni!$B$2),2),"")</f>
        <v/>
      </c>
      <c r="P99" s="17" t="inlineStr">
        <is>
          <t>Sì</t>
        </is>
      </c>
    </row>
    <row r="100">
      <c r="A100" s="14" t="inlineStr">
        <is>
          <t>Uovonero</t>
        </is>
      </c>
      <c r="B100" s="14" t="inlineStr">
        <is>
          <t>La bambina che andava a pile</t>
        </is>
      </c>
      <c r="C100" s="14" t="inlineStr">
        <is>
          <t>Monica Taini</t>
        </is>
      </c>
      <c r="D100" s="14" t="inlineStr">
        <is>
          <t>I Geodi</t>
        </is>
      </c>
      <c r="E100" s="14" t="inlineStr">
        <is>
          <t>3/6, 6/9</t>
        </is>
      </c>
      <c r="F100" s="14" t="inlineStr">
        <is>
          <t>3-6 anni</t>
        </is>
      </c>
      <c r="G100" s="14" t="inlineStr">
        <is>
          <t>Albo illustrato</t>
        </is>
      </c>
      <c r="H100" s="14" t="inlineStr">
        <is>
          <t>Disabilità / identità</t>
        </is>
      </c>
      <c r="I100" s="14" t="inlineStr">
        <is>
          <t>No</t>
        </is>
      </c>
      <c r="J100" s="14" t="inlineStr">
        <is>
          <t>Catalogo</t>
        </is>
      </c>
      <c r="K100" s="14" t="inlineStr">
        <is>
          <t>3-6 anni</t>
        </is>
      </c>
      <c r="L100" s="14" t="inlineStr">
        <is>
          <t>https://www.uovonero.com/libri</t>
        </is>
      </c>
      <c r="M100" s="16" t="n">
        <v>13.5</v>
      </c>
      <c r="N100" s="14" t="inlineStr">
        <is>
          <t>Catalogo Uovonero per librai</t>
        </is>
      </c>
      <c r="O100" s="16">
        <f>IF(ISNUMBER(M100),ROUND(M100*(1-Condizioni!$B$2),2),"")</f>
        <v/>
      </c>
      <c r="P100" s="17" t="inlineStr">
        <is>
          <t>Sì</t>
        </is>
      </c>
    </row>
    <row r="101">
      <c r="A101" s="14" t="inlineStr">
        <is>
          <t>La Meridiana</t>
        </is>
      </c>
      <c r="B101" s="14" t="inlineStr">
        <is>
          <t>Frida Kahlo pittrice coraggiosa</t>
        </is>
      </c>
      <c r="C101" s="14" t="inlineStr">
        <is>
          <t>Teresa Righetti</t>
        </is>
      </c>
      <c r="D101" s="14" t="inlineStr">
        <is>
          <t>Libri accessibili in CAA e in simboli (anche Parimenti. Proprio perché cresco)</t>
        </is>
      </c>
      <c r="E101" s="14" t="inlineStr">
        <is>
          <t>n.d. (collana Parimenti per giovani-adulti)</t>
        </is>
      </c>
      <c r="F101" s="14" t="inlineStr">
        <is>
          <t>8+</t>
        </is>
      </c>
      <c r="G101" s="14" t="inlineStr">
        <is>
          <t>Divulgazione/Saggio</t>
        </is>
      </c>
      <c r="H101" s="14" t="inlineStr">
        <is>
          <t>Disabilità e coraggio (da verificare)</t>
        </is>
      </c>
      <c r="I101" s="18" t="inlineStr">
        <is>
          <t>Sì</t>
        </is>
      </c>
      <c r="J101" s="15" t="inlineStr">
        <is>
          <t>Da verificare</t>
        </is>
      </c>
      <c r="K101" s="14" t="inlineStr">
        <is>
          <t>8+, CAA</t>
        </is>
      </c>
      <c r="L101" s="14" t="inlineStr">
        <is>
          <t>https://www.lameridiana.it/categorie/libri-per-una-cultura-accessibile/libri-accessibili.html</t>
        </is>
      </c>
      <c r="M101" s="16" t="n">
        <v>14.73</v>
      </c>
      <c r="N101" s="14" t="inlineStr">
        <is>
          <t>https://www.lameridiana.it/categorie/libri-per-una-cultura-accessibile/libri-accessibili.html (prezzo 'da' indicato sul sito, formato non specificato: verificare)</t>
        </is>
      </c>
      <c r="O101" s="16">
        <f>IF(ISNUMBER(M101),ROUND(M101*(1-Condizioni!$B$2),2),"")</f>
        <v/>
      </c>
      <c r="P101" s="17" t="inlineStr">
        <is>
          <t>Sì</t>
        </is>
      </c>
    </row>
    <row r="102">
      <c r="A102" s="14" t="inlineStr">
        <is>
          <t>Momo Edizioni</t>
        </is>
      </c>
      <c r="B102" s="14" t="inlineStr">
        <is>
          <t>Bollicina</t>
        </is>
      </c>
      <c r="C102" s="14" t="inlineStr">
        <is>
          <t>Ciampacavallo; copertina di Zerocalcare</t>
        </is>
      </c>
      <c r="D102" s="14" t="inlineStr">
        <is>
          <t>Libri Monelli – CiampaLibri</t>
        </is>
      </c>
      <c r="E102" s="14" t="inlineStr">
        <is>
          <t>24 pp.; età n.d.</t>
        </is>
      </c>
      <c r="F102" s="14" t="inlineStr">
        <is>
          <t>3-6 anni</t>
        </is>
      </c>
      <c r="G102" s="14" t="inlineStr">
        <is>
          <t>Libro in simboli (CAA)</t>
        </is>
      </c>
      <c r="H102" s="14" t="inlineStr">
        <is>
          <t>Disabilità e inclusione (storia scritta da persone con disabilità)</t>
        </is>
      </c>
      <c r="I102" s="18" t="inlineStr">
        <is>
          <t>Sì</t>
        </is>
      </c>
      <c r="J102" s="15" t="inlineStr">
        <is>
          <t>Da verificare</t>
        </is>
      </c>
      <c r="K102" s="14" t="inlineStr">
        <is>
          <t>3-6 anni, CAA</t>
        </is>
      </c>
      <c r="L102" s="14" t="inlineStr">
        <is>
          <t>https://momoedizioni.it/catalogo/bollicina/</t>
        </is>
      </c>
      <c r="M102" s="16" t="n">
        <v>15</v>
      </c>
      <c r="N102" s="14" t="inlineStr">
        <is>
          <t>Sito Momo Edizioni</t>
        </is>
      </c>
      <c r="O102" s="16">
        <f>IF(ISNUMBER(M102),ROUND(M102*(1-Condizioni!$B$2),2),"")</f>
        <v/>
      </c>
      <c r="P102" s="17" t="inlineStr">
        <is>
          <t>Sì</t>
        </is>
      </c>
    </row>
    <row r="103">
      <c r="A103" s="14" t="inlineStr">
        <is>
          <t>Edizioni Corsare</t>
        </is>
      </c>
      <c r="B103" s="14" t="inlineStr">
        <is>
          <t>Miss Mina</t>
        </is>
      </c>
      <c r="C103" s="14" t="inlineStr">
        <is>
          <t>Marco Innocenti</t>
        </is>
      </c>
      <c r="D103" s="14" t="inlineStr">
        <is>
          <t>Storie corsare</t>
        </is>
      </c>
      <c r="E103" s="14" t="inlineStr">
        <is>
          <t>da 9 anni</t>
        </is>
      </c>
      <c r="F103" s="14" t="inlineStr">
        <is>
          <t>9+</t>
        </is>
      </c>
      <c r="G103" s="14" t="inlineStr">
        <is>
          <t>Romanzo</t>
        </is>
      </c>
      <c r="H103" s="14" t="inlineStr">
        <is>
          <t>Disabilità, guerra e resilienza</t>
        </is>
      </c>
      <c r="I103" s="14" t="inlineStr">
        <is>
          <t>No</t>
        </is>
      </c>
      <c r="J103" s="14" t="inlineStr">
        <is>
          <t>Catalogo</t>
        </is>
      </c>
      <c r="K103" s="14" t="inlineStr">
        <is>
          <t>9+, romanzo, narrativa</t>
        </is>
      </c>
      <c r="L103" s="14" t="inlineStr">
        <is>
          <t>https://www.edizionicorsare.it/categoria-prodotto/collane/storie-corsare/</t>
        </is>
      </c>
      <c r="M103" s="16" t="n">
        <v>10</v>
      </c>
      <c r="N103" s="14" t="inlineStr">
        <is>
          <t>Catalogo Edizioni Corsare Primavera 2026</t>
        </is>
      </c>
      <c r="O103" s="16">
        <f>IF(ISNUMBER(M103),ROUND(M103*(1-Condizioni!$B$2),2),"")</f>
        <v/>
      </c>
      <c r="P103" s="17" t="inlineStr">
        <is>
          <t>Sì</t>
        </is>
      </c>
    </row>
    <row r="104">
      <c r="A104" s="14" t="inlineStr">
        <is>
          <t>Dalia Edizioni</t>
        </is>
      </c>
      <c r="B104" s="14" t="inlineStr">
        <is>
          <t>Il vampiro Cicorione</t>
        </is>
      </c>
      <c r="C104" s="14" t="inlineStr">
        <is>
          <t>Silvia Crisostomi; ill. Daniel F. Pisanu</t>
        </is>
      </c>
      <c r="D104" s="14" t="inlineStr">
        <is>
          <t>Dalia Ragazzi</t>
        </is>
      </c>
      <c r="E104" s="14" t="inlineStr">
        <is>
          <t>5+</t>
        </is>
      </c>
      <c r="F104" s="14" t="inlineStr">
        <is>
          <t>3-6 anni</t>
        </is>
      </c>
      <c r="G104" s="14" t="inlineStr">
        <is>
          <t>Narrativa</t>
        </is>
      </c>
      <c r="H104" s="14" t="inlineStr">
        <is>
          <t>Diversità e accettazione di sé</t>
        </is>
      </c>
      <c r="I104" s="14" t="inlineStr">
        <is>
          <t>No</t>
        </is>
      </c>
      <c r="J104" s="14" t="inlineStr">
        <is>
          <t>Catalogo</t>
        </is>
      </c>
      <c r="K104" s="14" t="inlineStr">
        <is>
          <t>3-6 anni, narrativa</t>
        </is>
      </c>
      <c r="L104" s="14" t="inlineStr">
        <is>
          <t>https://www.daliaedizioni.it/categoria-prodotto/illustrati-kids/</t>
        </is>
      </c>
      <c r="M104" s="16" t="n">
        <v>12.9</v>
      </c>
      <c r="N104" s="14" t="inlineStr">
        <is>
          <t>Sito Dalia Edizioni</t>
        </is>
      </c>
      <c r="O104" s="16">
        <f>IF(ISNUMBER(M104),ROUND(M104*(1-Condizioni!$B$2),2),"")</f>
        <v/>
      </c>
      <c r="P104" s="17" t="inlineStr">
        <is>
          <t>Sì</t>
        </is>
      </c>
    </row>
    <row r="105">
      <c r="A105" s="14" t="inlineStr">
        <is>
          <t>Edizioni Corsare</t>
        </is>
      </c>
      <c r="B105" s="14" t="inlineStr">
        <is>
          <t>Il bimboleone e altri bambini</t>
        </is>
      </c>
      <c r="C105" s="14" t="inlineStr">
        <is>
          <t>Gabriele Clima; ill. Giacomo A. Modica</t>
        </is>
      </c>
      <c r="D105" s="14" t="inlineStr">
        <is>
          <t>Area ragazzi (albi illustrati)</t>
        </is>
      </c>
      <c r="E105" s="14" t="inlineStr">
        <is>
          <t>da 4 anni</t>
        </is>
      </c>
      <c r="F105" s="14" t="inlineStr">
        <is>
          <t>3-6 anni</t>
        </is>
      </c>
      <c r="G105" s="14" t="inlineStr">
        <is>
          <t>Albo illustrato</t>
        </is>
      </c>
      <c r="H105" s="14" t="inlineStr">
        <is>
          <t>Diversità e identità</t>
        </is>
      </c>
      <c r="I105" s="14" t="inlineStr">
        <is>
          <t>No</t>
        </is>
      </c>
      <c r="J105" s="14" t="inlineStr">
        <is>
          <t>Catalogo</t>
        </is>
      </c>
      <c r="K105" s="14" t="inlineStr">
        <is>
          <t>3-6 anni</t>
        </is>
      </c>
      <c r="L105" s="14" t="inlineStr">
        <is>
          <t>https://www.libraccio.it/editore/edizioni-corsare/libri.html</t>
        </is>
      </c>
      <c r="M105" s="16" t="n">
        <v>18</v>
      </c>
      <c r="N105" s="14" t="inlineStr">
        <is>
          <t>Catalogo Edizioni Corsare Primavera 2026</t>
        </is>
      </c>
      <c r="O105" s="16">
        <f>IF(ISNUMBER(M105),ROUND(M105*(1-Condizioni!$B$2),2),"")</f>
        <v/>
      </c>
      <c r="P105" s="17" t="inlineStr">
        <is>
          <t>Sì</t>
        </is>
      </c>
    </row>
    <row r="106">
      <c r="A106" s="14" t="inlineStr">
        <is>
          <t>BeccoGiallo</t>
        </is>
      </c>
      <c r="B106" s="14" t="inlineStr">
        <is>
          <t>Woman Power</t>
        </is>
      </c>
      <c r="C106" s="14" t="inlineStr">
        <is>
          <t>(vedi scheda)</t>
        </is>
      </c>
      <c r="D106" s="14" t="inlineStr">
        <is>
          <t>Kids / CriticalKids</t>
        </is>
      </c>
      <c r="E106" s="14" t="inlineStr">
        <is>
          <t>da 6 anni</t>
        </is>
      </c>
      <c r="F106" s="14" t="inlineStr">
        <is>
          <t>Prime letture (6-8)</t>
        </is>
      </c>
      <c r="G106" s="14" t="inlineStr">
        <is>
          <t>Divulgazione/Saggio</t>
        </is>
      </c>
      <c r="H106" s="14" t="inlineStr">
        <is>
          <t>Donne e parità</t>
        </is>
      </c>
      <c r="I106" s="14" t="inlineStr">
        <is>
          <t>No</t>
        </is>
      </c>
      <c r="J106" s="14" t="inlineStr">
        <is>
          <t>Verificata (IBS / editore)</t>
        </is>
      </c>
      <c r="K106" s="14" t="inlineStr">
        <is>
          <t>prime letture</t>
        </is>
      </c>
      <c r="L106" s="14" t="inlineStr">
        <is>
          <t>https://www.beccogiallo.it/categoria-prodotto/kids/</t>
        </is>
      </c>
      <c r="M106" s="16" t="n">
        <v>19.5</v>
      </c>
      <c r="N106" s="14" t="inlineStr">
        <is>
          <t>https://www.ibs.it/x/e/9788833143460</t>
        </is>
      </c>
      <c r="O106" s="16">
        <f>IF(ISNUMBER(M106),ROUND(M106*(1-Condizioni!$B$2),2),"")</f>
        <v/>
      </c>
      <c r="P106" s="17" t="inlineStr">
        <is>
          <t>Sì</t>
        </is>
      </c>
    </row>
    <row r="107">
      <c r="A107" s="14" t="inlineStr">
        <is>
          <t>Lapis</t>
        </is>
      </c>
      <c r="B107" s="14" t="inlineStr">
        <is>
          <t>Le mini storie di Attilio</t>
        </is>
      </c>
      <c r="C107" s="14" t="inlineStr">
        <is>
          <t>A. Cassinelli</t>
        </is>
      </c>
      <c r="D107" s="14" t="inlineStr">
        <is>
          <t>Libri cartonati</t>
        </is>
      </c>
      <c r="E107" s="14" t="inlineStr">
        <is>
          <t>dai 3 anni</t>
        </is>
      </c>
      <c r="F107" s="14" t="inlineStr">
        <is>
          <t>3-6 anni</t>
        </is>
      </c>
      <c r="G107" s="14" t="inlineStr">
        <is>
          <t>Libro cartonato</t>
        </is>
      </c>
      <c r="H107" s="14" t="inlineStr">
        <is>
          <t>Ecologia, natura, amicizia</t>
        </is>
      </c>
      <c r="I107" s="14" t="inlineStr">
        <is>
          <t>No</t>
        </is>
      </c>
      <c r="J107" s="14" t="inlineStr">
        <is>
          <t>Collana</t>
        </is>
      </c>
      <c r="K107" s="14" t="inlineStr">
        <is>
          <t>3-6 anni</t>
        </is>
      </c>
      <c r="L107" s="14" t="inlineStr">
        <is>
          <t>https://www.edizionilapis.it/collane</t>
        </is>
      </c>
      <c r="M107" s="19" t="n"/>
      <c r="N107" s="14" t="inlineStr"/>
      <c r="O107" s="16">
        <f>IF(ISNUMBER(M107),ROUND(M107*(1-Condizioni!$B$2),2),"")</f>
        <v/>
      </c>
      <c r="P107" s="17" t="inlineStr">
        <is>
          <t>Sì</t>
        </is>
      </c>
    </row>
    <row r="108">
      <c r="A108" s="14" t="inlineStr">
        <is>
          <t>Momo Edizioni</t>
        </is>
      </c>
      <c r="B108" s="14" t="inlineStr">
        <is>
          <t>Che cos'è il sesso?</t>
        </is>
      </c>
      <c r="C108" s="14" t="inlineStr">
        <is>
          <t>Silvio Montanaro e Francesca D’Onofrio; ill. Luisa Montalto</t>
        </is>
      </c>
      <c r="D108" s="14" t="inlineStr">
        <is>
          <t>Libri Monelli</t>
        </is>
      </c>
      <c r="E108" s="14" t="inlineStr">
        <is>
          <t>6-99 anni</t>
        </is>
      </c>
      <c r="F108" s="14" t="inlineStr">
        <is>
          <t>Prime letture (6-8)</t>
        </is>
      </c>
      <c r="G108" s="14" t="inlineStr">
        <is>
          <t>Divulgazione/Saggio</t>
        </is>
      </c>
      <c r="H108" s="14" t="inlineStr">
        <is>
          <t>Educazione affettiva e sessuale</t>
        </is>
      </c>
      <c r="I108" s="14" t="inlineStr">
        <is>
          <t>No</t>
        </is>
      </c>
      <c r="J108" s="14" t="inlineStr">
        <is>
          <t>Catalogo</t>
        </is>
      </c>
      <c r="K108" s="14" t="inlineStr">
        <is>
          <t>prime letture</t>
        </is>
      </c>
      <c r="L108" s="14" t="inlineStr">
        <is>
          <t>https://www.libraccio.it/libro/9791280298102/francesca-d</t>
        </is>
      </c>
      <c r="M108" s="16" t="n">
        <v>15</v>
      </c>
      <c r="N108" s="14" t="inlineStr">
        <is>
          <t>Sito Momo Edizioni</t>
        </is>
      </c>
      <c r="O108" s="16">
        <f>IF(ISNUMBER(M108),ROUND(M108*(1-Condizioni!$B$2),2),"")</f>
        <v/>
      </c>
      <c r="P108" s="17" t="inlineStr">
        <is>
          <t>Sì</t>
        </is>
      </c>
    </row>
    <row r="109">
      <c r="A109" s="14" t="inlineStr">
        <is>
          <t>Settenove</t>
        </is>
      </c>
      <c r="B109" s="14" t="inlineStr">
        <is>
          <t>Leggere senza stereotipi. Percorsi educativi 0-6 anni (per adulti)</t>
        </is>
      </c>
      <c r="C109" s="14" t="inlineStr">
        <is>
          <t>SCOSSE APS</t>
        </is>
      </c>
      <c r="D109" s="14" t="inlineStr">
        <is>
          <t>Albi illustrati / Narrativa / Educazione al genere</t>
        </is>
      </c>
      <c r="E109" s="14" t="inlineStr">
        <is>
          <t>0-6 (per educatori)</t>
        </is>
      </c>
      <c r="F109" s="14" t="inlineStr">
        <is>
          <t>n.d. / tutte le età</t>
        </is>
      </c>
      <c r="G109" s="14" t="inlineStr">
        <is>
          <t>Divulgazione/Saggio</t>
        </is>
      </c>
      <c r="H109" s="14" t="inlineStr">
        <is>
          <t>Educazione al genere (strumento per insegnanti)</t>
        </is>
      </c>
      <c r="I109" s="14" t="inlineStr">
        <is>
          <t>No</t>
        </is>
      </c>
      <c r="J109" s="14" t="inlineStr">
        <is>
          <t>Catalogo</t>
        </is>
      </c>
      <c r="K109" s="14" t="inlineStr"/>
      <c r="L109" s="14" t="inlineStr">
        <is>
          <t>https://www.settenove.it/articoli/leggere-senza-stereotipi/317</t>
        </is>
      </c>
      <c r="M109" s="16" t="n">
        <v>16</v>
      </c>
      <c r="N109" s="14" t="inlineStr">
        <is>
          <t>https://www.settenove.it/articoli/leggere-senza-stereotipi/317</t>
        </is>
      </c>
      <c r="O109" s="16">
        <f>IF(ISNUMBER(M109),ROUND(M109*(1-Condizioni!$B$2),2),"")</f>
        <v/>
      </c>
      <c r="P109" s="17" t="inlineStr">
        <is>
          <t>Sì</t>
        </is>
      </c>
    </row>
    <row r="110">
      <c r="A110" s="14" t="inlineStr">
        <is>
          <t>BeccoGiallo</t>
        </is>
      </c>
      <c r="B110" s="14" t="inlineStr">
        <is>
          <t>La sessualità spiegata ai bambini e alle bambine di ieri, oggi e domani</t>
        </is>
      </c>
      <c r="C110" s="14" t="inlineStr">
        <is>
          <t>Chiara Gregori e Juls Criveller</t>
        </is>
      </c>
      <c r="D110" s="14" t="inlineStr">
        <is>
          <t>Kids / CriticalKids</t>
        </is>
      </c>
      <c r="E110" s="14" t="inlineStr">
        <is>
          <t>da 5 anni</t>
        </is>
      </c>
      <c r="F110" s="14" t="inlineStr">
        <is>
          <t>3-6 anni</t>
        </is>
      </c>
      <c r="G110" s="14" t="inlineStr">
        <is>
          <t>Divulgazione/Saggio</t>
        </is>
      </c>
      <c r="H110" s="14" t="inlineStr">
        <is>
          <t>Educazione sessuale e affettiva</t>
        </is>
      </c>
      <c r="I110" s="14" t="inlineStr">
        <is>
          <t>No</t>
        </is>
      </c>
      <c r="J110" s="14" t="inlineStr">
        <is>
          <t>Catalogo</t>
        </is>
      </c>
      <c r="K110" s="14" t="inlineStr">
        <is>
          <t>3-6 anni</t>
        </is>
      </c>
      <c r="L110" s="14" t="inlineStr">
        <is>
          <t>https://www.beccogiallo.it/categoria-prodotto/kids/</t>
        </is>
      </c>
      <c r="M110" s="16" t="n">
        <v>16</v>
      </c>
      <c r="N110" s="14" t="inlineStr">
        <is>
          <t>Sito BeccoGiallo (prezzo di listino)</t>
        </is>
      </c>
      <c r="O110" s="16">
        <f>IF(ISNUMBER(M110),ROUND(M110*(1-Condizioni!$B$2),2),"")</f>
        <v/>
      </c>
      <c r="P110" s="17" t="inlineStr">
        <is>
          <t>Sì</t>
        </is>
      </c>
    </row>
    <row r="111">
      <c r="A111" s="14" t="inlineStr">
        <is>
          <t>Camelozampa</t>
        </is>
      </c>
      <c r="B111" s="14" t="inlineStr">
        <is>
          <t>Felicità è una parola semplice</t>
        </is>
      </c>
      <c r="C111" s="14" t="inlineStr">
        <is>
          <t>(vedi scheda)</t>
        </is>
      </c>
      <c r="D111" s="14" t="inlineStr">
        <is>
          <t>Le Piume (albi illustrati)</t>
        </is>
      </c>
      <c r="E111" s="14" t="inlineStr">
        <is>
          <t>collana prevalentemente da 4 anni</t>
        </is>
      </c>
      <c r="F111" s="14" t="inlineStr">
        <is>
          <t>3-6 anni</t>
        </is>
      </c>
      <c r="G111" s="14" t="inlineStr">
        <is>
          <t>Albo illustrato</t>
        </is>
      </c>
      <c r="H111" s="14" t="inlineStr">
        <is>
          <t>Elaborazione del dolore collettivo (pandemia)</t>
        </is>
      </c>
      <c r="I111" s="14" t="inlineStr">
        <is>
          <t>No</t>
        </is>
      </c>
      <c r="J111" s="15" t="inlineStr">
        <is>
          <t>Da verificare</t>
        </is>
      </c>
      <c r="K111" s="14" t="inlineStr">
        <is>
          <t>3-6 anni</t>
        </is>
      </c>
      <c r="L111" s="14" t="inlineStr">
        <is>
          <t>https://www.camelozampa.com/shop/categoria/collane/le-piume-albi-illustrati/</t>
        </is>
      </c>
      <c r="M111" s="16" t="n">
        <v>18.9</v>
      </c>
      <c r="N111" s="14" t="inlineStr">
        <is>
          <t>Catalogo Camelozampa 2026</t>
        </is>
      </c>
      <c r="O111" s="16">
        <f>IF(ISNUMBER(M111),ROUND(M111*(1-Condizioni!$B$2),2),"")</f>
        <v/>
      </c>
      <c r="P111" s="17" t="inlineStr">
        <is>
          <t>Sì</t>
        </is>
      </c>
    </row>
    <row r="112">
      <c r="A112" s="14" t="inlineStr">
        <is>
          <t>Uovonero</t>
        </is>
      </c>
      <c r="B112" s="14" t="inlineStr">
        <is>
          <t>Ti cerco</t>
        </is>
      </c>
      <c r="C112" s="14" t="inlineStr">
        <is>
          <t>Britta Teckentrup</t>
        </is>
      </c>
      <c r="D112" s="14" t="inlineStr">
        <is>
          <t>I Geodi</t>
        </is>
      </c>
      <c r="E112" s="14" t="inlineStr">
        <is>
          <t>3/6</t>
        </is>
      </c>
      <c r="F112" s="14" t="inlineStr">
        <is>
          <t>3-6 anni</t>
        </is>
      </c>
      <c r="G112" s="14" t="inlineStr">
        <is>
          <t>Albo illustrato</t>
        </is>
      </c>
      <c r="H112" s="14" t="inlineStr">
        <is>
          <t>Emozioni</t>
        </is>
      </c>
      <c r="I112" s="14" t="inlineStr">
        <is>
          <t>No</t>
        </is>
      </c>
      <c r="J112" s="14" t="inlineStr">
        <is>
          <t>Catalogo</t>
        </is>
      </c>
      <c r="K112" s="14" t="inlineStr">
        <is>
          <t>3-6 anni</t>
        </is>
      </c>
      <c r="L112" s="14" t="inlineStr">
        <is>
          <t>https://www.uovonero.com/libri</t>
        </is>
      </c>
      <c r="M112" s="19" t="n"/>
      <c r="N112" s="14" t="inlineStr"/>
      <c r="O112" s="16">
        <f>IF(ISNUMBER(M112),ROUND(M112*(1-Condizioni!$B$2),2),"")</f>
        <v/>
      </c>
      <c r="P112" s="17" t="inlineStr">
        <is>
          <t>Sì</t>
        </is>
      </c>
    </row>
    <row r="113">
      <c r="A113" s="14" t="inlineStr">
        <is>
          <t>Gallucci</t>
        </is>
      </c>
      <c r="B113" s="14" t="inlineStr">
        <is>
          <t>Collezione Libri e giochi delle emozioni</t>
        </is>
      </c>
      <c r="C113" s="14" t="inlineStr">
        <is>
          <t>(vedi catalogo)</t>
        </is>
      </c>
      <c r="D113" s="14" t="inlineStr">
        <is>
          <t>Collezioni</t>
        </is>
      </c>
      <c r="E113" s="14" t="inlineStr">
        <is>
          <t>n.d.</t>
        </is>
      </c>
      <c r="F113" s="14" t="inlineStr">
        <is>
          <t>n.d. / tutte le età</t>
        </is>
      </c>
      <c r="G113" s="14" t="inlineStr">
        <is>
          <t>Gioco/Activity book</t>
        </is>
      </c>
      <c r="H113" s="14" t="inlineStr">
        <is>
          <t>Emozioni</t>
        </is>
      </c>
      <c r="I113" s="14" t="inlineStr">
        <is>
          <t>No</t>
        </is>
      </c>
      <c r="J113" s="15" t="inlineStr">
        <is>
          <t>Da verificare</t>
        </is>
      </c>
      <c r="K113" s="14" t="inlineStr"/>
      <c r="L113" s="14" t="inlineStr">
        <is>
          <t>https://www.ibs.it/libri/editori/gallucci</t>
        </is>
      </c>
      <c r="M113" s="19" t="n"/>
      <c r="N113" s="14" t="inlineStr"/>
      <c r="O113" s="16">
        <f>IF(ISNUMBER(M113),ROUND(M113*(1-Condizioni!$B$2),2),"")</f>
        <v/>
      </c>
      <c r="P113" s="17" t="inlineStr">
        <is>
          <t>Sì</t>
        </is>
      </c>
    </row>
    <row r="114">
      <c r="A114" s="14" t="inlineStr">
        <is>
          <t>BeccoGiallo</t>
        </is>
      </c>
      <c r="B114" s="14" t="inlineStr">
        <is>
          <t>Le emozioni spiegate alle bambine e ai bambini</t>
        </is>
      </c>
      <c r="C114" s="14" t="inlineStr">
        <is>
          <t>(vedi scheda)</t>
        </is>
      </c>
      <c r="D114" s="14" t="inlineStr">
        <is>
          <t>Kids / CriticalKids</t>
        </is>
      </c>
      <c r="E114" s="14" t="inlineStr">
        <is>
          <t>da 6 anni</t>
        </is>
      </c>
      <c r="F114" s="14" t="inlineStr">
        <is>
          <t>Prime letture (6-8)</t>
        </is>
      </c>
      <c r="G114" s="14" t="inlineStr">
        <is>
          <t>Divulgazione/Saggio</t>
        </is>
      </c>
      <c r="H114" s="14" t="inlineStr">
        <is>
          <t>Emozioni</t>
        </is>
      </c>
      <c r="I114" s="14" t="inlineStr">
        <is>
          <t>No</t>
        </is>
      </c>
      <c r="J114" s="14" t="inlineStr">
        <is>
          <t>Verificata (IBS / editore)</t>
        </is>
      </c>
      <c r="K114" s="14" t="inlineStr">
        <is>
          <t>prime letture</t>
        </is>
      </c>
      <c r="L114" s="14" t="inlineStr">
        <is>
          <t>https://www.beccogiallo.it/categoria-prodotto/kids/</t>
        </is>
      </c>
      <c r="M114" s="16" t="n">
        <v>16</v>
      </c>
      <c r="N114" s="14" t="inlineStr">
        <is>
          <t>Sito BeccoGiallo (prezzo di listino)</t>
        </is>
      </c>
      <c r="O114" s="16">
        <f>IF(ISNUMBER(M114),ROUND(M114*(1-Condizioni!$B$2),2),"")</f>
        <v/>
      </c>
      <c r="P114" s="17" t="inlineStr">
        <is>
          <t>Sì</t>
        </is>
      </c>
    </row>
    <row r="115">
      <c r="A115" s="14" t="inlineStr">
        <is>
          <t>Uovonero</t>
        </is>
      </c>
      <c r="B115" s="14" t="inlineStr">
        <is>
          <t>Che rabbia!</t>
        </is>
      </c>
      <c r="C115" s="14" t="inlineStr">
        <is>
          <t>Mireille D'Allancé</t>
        </is>
      </c>
      <c r="D115" s="14" t="inlineStr">
        <is>
          <t>I libri di Camilla</t>
        </is>
      </c>
      <c r="E115" s="14" t="inlineStr">
        <is>
          <t>0/3, 3/6</t>
        </is>
      </c>
      <c r="F115" s="14" t="inlineStr">
        <is>
          <t>0-3 anni</t>
        </is>
      </c>
      <c r="G115" s="14" t="inlineStr">
        <is>
          <t>Libro in simboli (CAA)</t>
        </is>
      </c>
      <c r="H115" s="14" t="inlineStr">
        <is>
          <t>Emozioni (rabbia)</t>
        </is>
      </c>
      <c r="I115" s="18" t="inlineStr">
        <is>
          <t>Sì</t>
        </is>
      </c>
      <c r="J115" s="14" t="inlineStr">
        <is>
          <t>Catalogo</t>
        </is>
      </c>
      <c r="K115" s="14" t="inlineStr">
        <is>
          <t>0-3 anni, CAA</t>
        </is>
      </c>
      <c r="L115" s="14" t="inlineStr">
        <is>
          <t>https://www.uovonero.com/libri</t>
        </is>
      </c>
      <c r="M115" s="16" t="n">
        <v>12</v>
      </c>
      <c r="N115" s="14" t="inlineStr">
        <is>
          <t>https://www.lafeltrinelli.it/libri/editori/uovonero</t>
        </is>
      </c>
      <c r="O115" s="16">
        <f>IF(ISNUMBER(M115),ROUND(M115*(1-Condizioni!$B$2),2),"")</f>
        <v/>
      </c>
      <c r="P115" s="17" t="inlineStr">
        <is>
          <t>Sì</t>
        </is>
      </c>
    </row>
    <row r="116">
      <c r="A116" s="14" t="inlineStr">
        <is>
          <t>Uovonero</t>
        </is>
      </c>
      <c r="B116" s="14" t="inlineStr">
        <is>
          <t>Il mondo è rosso</t>
        </is>
      </c>
      <c r="C116" s="14" t="inlineStr">
        <is>
          <t>Britta Teckentrup</t>
        </is>
      </c>
      <c r="D116" s="14" t="inlineStr">
        <is>
          <t>I Geodi</t>
        </is>
      </c>
      <c r="E116" s="14" t="inlineStr">
        <is>
          <t>3/6, 6/9</t>
        </is>
      </c>
      <c r="F116" s="14" t="inlineStr">
        <is>
          <t>3-6 anni</t>
        </is>
      </c>
      <c r="G116" s="14" t="inlineStr">
        <is>
          <t>Albo illustrato</t>
        </is>
      </c>
      <c r="H116" s="14" t="inlineStr">
        <is>
          <t>Emozioni (rabbia)</t>
        </is>
      </c>
      <c r="I116" s="14" t="inlineStr">
        <is>
          <t>No</t>
        </is>
      </c>
      <c r="J116" s="14" t="inlineStr">
        <is>
          <t>Catalogo</t>
        </is>
      </c>
      <c r="K116" s="14" t="inlineStr">
        <is>
          <t>3-6 anni</t>
        </is>
      </c>
      <c r="L116" s="14" t="inlineStr">
        <is>
          <t>https://www.uovonero.com/libri</t>
        </is>
      </c>
      <c r="M116" s="16" t="n">
        <v>18</v>
      </c>
      <c r="N116" s="14" t="inlineStr">
        <is>
          <t>Catalogo Uovonero per librai</t>
        </is>
      </c>
      <c r="O116" s="16">
        <f>IF(ISNUMBER(M116),ROUND(M116*(1-Condizioni!$B$2),2),"")</f>
        <v/>
      </c>
      <c r="P116" s="17" t="inlineStr">
        <is>
          <t>Sì</t>
        </is>
      </c>
    </row>
    <row r="117">
      <c r="A117" s="14" t="inlineStr">
        <is>
          <t>Uovonero</t>
        </is>
      </c>
      <c r="B117" s="14" t="inlineStr">
        <is>
          <t>Tutta la rabbia che ho dentro</t>
        </is>
      </c>
      <c r="C117" s="14" t="inlineStr">
        <is>
          <t>Inés Garland</t>
        </is>
      </c>
      <c r="D117" s="14" t="inlineStr">
        <is>
          <t>I Geodi</t>
        </is>
      </c>
      <c r="E117" s="14" t="inlineStr">
        <is>
          <t>12+</t>
        </is>
      </c>
      <c r="F117" s="14" t="inlineStr">
        <is>
          <t>Scuola media (11-13)</t>
        </is>
      </c>
      <c r="G117" s="14" t="inlineStr">
        <is>
          <t>Romanzo</t>
        </is>
      </c>
      <c r="H117" s="14" t="inlineStr">
        <is>
          <t>Emozioni e adolescenza</t>
        </is>
      </c>
      <c r="I117" s="14" t="inlineStr">
        <is>
          <t>No</t>
        </is>
      </c>
      <c r="J117" s="14" t="inlineStr">
        <is>
          <t>Catalogo</t>
        </is>
      </c>
      <c r="K117" s="14" t="inlineStr">
        <is>
          <t>prima/seconda/terza media, romanzo, narrativa</t>
        </is>
      </c>
      <c r="L117" s="14" t="inlineStr">
        <is>
          <t>https://www.uovonero.com/libri</t>
        </is>
      </c>
      <c r="M117" s="16" t="n">
        <v>16</v>
      </c>
      <c r="N117" s="14" t="inlineStr">
        <is>
          <t>Catalogo Uovonero per librai</t>
        </is>
      </c>
      <c r="O117" s="16">
        <f>IF(ISNUMBER(M117),ROUND(M117*(1-Condizioni!$B$2),2),"")</f>
        <v/>
      </c>
      <c r="P117" s="17" t="inlineStr">
        <is>
          <t>Sì</t>
        </is>
      </c>
    </row>
    <row r="118">
      <c r="A118" s="14" t="inlineStr">
        <is>
          <t>Uovonero</t>
        </is>
      </c>
      <c r="B118" s="14" t="inlineStr">
        <is>
          <t>Il mio posto</t>
        </is>
      </c>
      <c r="C118" s="14" t="inlineStr">
        <is>
          <t>Daniele Bergesio</t>
        </is>
      </c>
      <c r="D118" s="14" t="inlineStr">
        <is>
          <t>I Geodi</t>
        </is>
      </c>
      <c r="E118" s="14" t="inlineStr">
        <is>
          <t>14+</t>
        </is>
      </c>
      <c r="F118" s="14" t="inlineStr">
        <is>
          <t>Adolescenza (14+)</t>
        </is>
      </c>
      <c r="G118" s="14" t="inlineStr">
        <is>
          <t>Romanzo</t>
        </is>
      </c>
      <c r="H118" s="14" t="inlineStr">
        <is>
          <t>Emozioni e adolescenza</t>
        </is>
      </c>
      <c r="I118" s="14" t="inlineStr">
        <is>
          <t>No</t>
        </is>
      </c>
      <c r="J118" s="14" t="inlineStr">
        <is>
          <t>Catalogo</t>
        </is>
      </c>
      <c r="K118" s="14" t="inlineStr">
        <is>
          <t>adolescenza, romanzo, narrativa</t>
        </is>
      </c>
      <c r="L118" s="14" t="inlineStr">
        <is>
          <t>https://www.uovonero.com/libri</t>
        </is>
      </c>
      <c r="M118" s="16" t="n">
        <v>16</v>
      </c>
      <c r="N118" s="14" t="inlineStr">
        <is>
          <t>Catalogo Uovonero per librai</t>
        </is>
      </c>
      <c r="O118" s="16">
        <f>IF(ISNUMBER(M118),ROUND(M118*(1-Condizioni!$B$2),2),"")</f>
        <v/>
      </c>
      <c r="P118" s="17" t="inlineStr">
        <is>
          <t>Sì</t>
        </is>
      </c>
    </row>
    <row r="119">
      <c r="A119" s="14" t="inlineStr">
        <is>
          <t>Camelozampa</t>
        </is>
      </c>
      <c r="B119" s="14" t="inlineStr">
        <is>
          <t>Il gruppo</t>
        </is>
      </c>
      <c r="C119" s="14" t="inlineStr">
        <is>
          <t>(vedi scheda)</t>
        </is>
      </c>
      <c r="D119" s="14" t="inlineStr">
        <is>
          <t>Narrativa / Gruppi di lettura</t>
        </is>
      </c>
      <c r="E119" s="14" t="inlineStr">
        <is>
          <t>dagli 11 anni</t>
        </is>
      </c>
      <c r="F119" s="14" t="inlineStr">
        <is>
          <t>Scuola media (11-13)</t>
        </is>
      </c>
      <c r="G119" s="14" t="inlineStr">
        <is>
          <t>Romanzo</t>
        </is>
      </c>
      <c r="H119" s="14" t="inlineStr">
        <is>
          <t>Essere sé stessi / pressione del gruppo</t>
        </is>
      </c>
      <c r="I119" s="14" t="inlineStr">
        <is>
          <t>No</t>
        </is>
      </c>
      <c r="J119" s="14" t="inlineStr">
        <is>
          <t>Catalogo</t>
        </is>
      </c>
      <c r="K119" s="14" t="inlineStr">
        <is>
          <t>prima/seconda/terza media, romanzo, narrativa</t>
        </is>
      </c>
      <c r="L119" s="14" t="inlineStr">
        <is>
          <t>https://www.camelozampa.com/gruppi-di-lettura/</t>
        </is>
      </c>
      <c r="M119" s="16" t="n">
        <v>15.9</v>
      </c>
      <c r="N119" s="14" t="inlineStr">
        <is>
          <t>Catalogo Camelozampa 2026</t>
        </is>
      </c>
      <c r="O119" s="16">
        <f>IF(ISNUMBER(M119),ROUND(M119*(1-Condizioni!$B$2),2),"")</f>
        <v/>
      </c>
      <c r="P119" s="17" t="inlineStr">
        <is>
          <t>Sì</t>
        </is>
      </c>
    </row>
    <row r="120">
      <c r="A120" s="14" t="inlineStr">
        <is>
          <t>BeccoGiallo</t>
        </is>
      </c>
      <c r="B120" s="14" t="inlineStr">
        <is>
          <t>L’Europa spiegata alle bambine e ai bambini</t>
        </is>
      </c>
      <c r="C120" s="14" t="inlineStr">
        <is>
          <t>Francesca Parmigiani e Shu Garbuglia</t>
        </is>
      </c>
      <c r="D120" s="14" t="inlineStr">
        <is>
          <t>Kids / CriticalKids</t>
        </is>
      </c>
      <c r="E120" s="14" t="inlineStr">
        <is>
          <t>da 5 anni</t>
        </is>
      </c>
      <c r="F120" s="14" t="inlineStr">
        <is>
          <t>3-6 anni</t>
        </is>
      </c>
      <c r="G120" s="14" t="inlineStr">
        <is>
          <t>Divulgazione/Saggio</t>
        </is>
      </c>
      <c r="H120" s="14" t="inlineStr">
        <is>
          <t>Europa, pace e cittadinanza</t>
        </is>
      </c>
      <c r="I120" s="14" t="inlineStr">
        <is>
          <t>No</t>
        </is>
      </c>
      <c r="J120" s="14" t="inlineStr">
        <is>
          <t>Collana</t>
        </is>
      </c>
      <c r="K120" s="14" t="inlineStr">
        <is>
          <t>3-6 anni</t>
        </is>
      </c>
      <c r="L120" s="14" t="inlineStr">
        <is>
          <t>https://www.beccogiallo.it/categoria-prodotto/kids/criticalkids/</t>
        </is>
      </c>
      <c r="M120" s="16" t="n">
        <v>15</v>
      </c>
      <c r="N120" s="14" t="inlineStr">
        <is>
          <t>Sito BeccoGiallo (prezzo di listino)</t>
        </is>
      </c>
      <c r="O120" s="16">
        <f>IF(ISNUMBER(M120),ROUND(M120*(1-Condizioni!$B$2),2),"")</f>
        <v/>
      </c>
      <c r="P120" s="17" t="inlineStr">
        <is>
          <t>Sì</t>
        </is>
      </c>
    </row>
    <row r="121">
      <c r="A121" s="14" t="inlineStr">
        <is>
          <t>Camelozampa</t>
        </is>
      </c>
      <c r="B121" s="14" t="inlineStr">
        <is>
          <t>La mia vita imprevista</t>
        </is>
      </c>
      <c r="C121" s="14" t="inlineStr">
        <is>
          <t>(vedi scheda)</t>
        </is>
      </c>
      <c r="D121" s="14" t="inlineStr">
        <is>
          <t>Narrativa / Gruppi di lettura</t>
        </is>
      </c>
      <c r="E121" s="14" t="inlineStr">
        <is>
          <t>9-12 anni</t>
        </is>
      </c>
      <c r="F121" s="14" t="inlineStr">
        <is>
          <t>9+</t>
        </is>
      </c>
      <c r="G121" s="14" t="inlineStr">
        <is>
          <t>Romanzo</t>
        </is>
      </c>
      <c r="H121" s="14" t="inlineStr">
        <is>
          <t>Famiglia / affido</t>
        </is>
      </c>
      <c r="I121" s="14" t="inlineStr">
        <is>
          <t>No</t>
        </is>
      </c>
      <c r="J121" s="14" t="inlineStr">
        <is>
          <t>Catalogo</t>
        </is>
      </c>
      <c r="K121" s="14" t="inlineStr">
        <is>
          <t>9+, romanzo, narrativa</t>
        </is>
      </c>
      <c r="L121" s="14" t="inlineStr">
        <is>
          <t>https://www.camelozampa.com/gruppi-di-lettura/</t>
        </is>
      </c>
      <c r="M121" s="16" t="n">
        <v>13.9</v>
      </c>
      <c r="N121" s="14" t="inlineStr">
        <is>
          <t>Catalogo Camelozampa 2026</t>
        </is>
      </c>
      <c r="O121" s="16">
        <f>IF(ISNUMBER(M121),ROUND(M121*(1-Condizioni!$B$2),2),"")</f>
        <v/>
      </c>
      <c r="P121" s="17" t="inlineStr">
        <is>
          <t>Sì</t>
        </is>
      </c>
    </row>
    <row r="122">
      <c r="A122" s="14" t="inlineStr">
        <is>
          <t>Tunuè</t>
        </is>
      </c>
      <c r="B122" s="14" t="inlineStr">
        <is>
          <t>Le sorelle Grémillet (serie)</t>
        </is>
      </c>
      <c r="C122" s="14" t="inlineStr">
        <is>
          <t>Alessandro Barbucci e Giovanni Di Gregorio</t>
        </is>
      </c>
      <c r="D122" s="14" t="inlineStr">
        <is>
          <t>Kids / Young Adult</t>
        </is>
      </c>
      <c r="E122" s="14" t="inlineStr">
        <is>
          <t>9+</t>
        </is>
      </c>
      <c r="F122" s="14" t="inlineStr">
        <is>
          <t>9+</t>
        </is>
      </c>
      <c r="G122" s="14" t="inlineStr">
        <is>
          <t>Graphic novel/Fumetto</t>
        </is>
      </c>
      <c r="H122" s="14" t="inlineStr">
        <is>
          <t>Famiglia / crescita</t>
        </is>
      </c>
      <c r="I122" s="14" t="inlineStr">
        <is>
          <t>No</t>
        </is>
      </c>
      <c r="J122" s="14" t="inlineStr">
        <is>
          <t>Catalogo</t>
        </is>
      </c>
      <c r="K122" s="14" t="inlineStr">
        <is>
          <t>9+</t>
        </is>
      </c>
      <c r="L122" s="14" t="inlineStr">
        <is>
          <t>https://www.tunue.com/product-category/young-adult/</t>
        </is>
      </c>
      <c r="M122" s="16" t="n">
        <v>16.9</v>
      </c>
      <c r="N122" s="14" t="inlineStr">
        <is>
          <t>Sito Tunué (prezzo di un volume della serie)</t>
        </is>
      </c>
      <c r="O122" s="16">
        <f>IF(ISNUMBER(M122),ROUND(M122*(1-Condizioni!$B$2),2),"")</f>
        <v/>
      </c>
      <c r="P122" s="17" t="inlineStr">
        <is>
          <t>Sì</t>
        </is>
      </c>
    </row>
    <row r="123">
      <c r="A123" s="14" t="inlineStr">
        <is>
          <t>Uovonero</t>
        </is>
      </c>
      <c r="B123" s="14" t="inlineStr">
        <is>
          <t>Una mamma svitata</t>
        </is>
      </c>
      <c r="C123" s="14" t="inlineStr">
        <is>
          <t>Gunnar Helgason</t>
        </is>
      </c>
      <c r="D123" s="14" t="inlineStr">
        <is>
          <t>I Geodi</t>
        </is>
      </c>
      <c r="E123" s="14" t="inlineStr">
        <is>
          <t>12+</t>
        </is>
      </c>
      <c r="F123" s="14" t="inlineStr">
        <is>
          <t>Scuola media (11-13)</t>
        </is>
      </c>
      <c r="G123" s="14" t="inlineStr">
        <is>
          <t>Romanzo</t>
        </is>
      </c>
      <c r="H123" s="14" t="inlineStr">
        <is>
          <t>Famiglia e adolescenza</t>
        </is>
      </c>
      <c r="I123" s="14" t="inlineStr">
        <is>
          <t>No</t>
        </is>
      </c>
      <c r="J123" s="14" t="inlineStr">
        <is>
          <t>Catalogo</t>
        </is>
      </c>
      <c r="K123" s="14" t="inlineStr">
        <is>
          <t>prima/seconda/terza media, romanzo, narrativa</t>
        </is>
      </c>
      <c r="L123" s="14" t="inlineStr">
        <is>
          <t>https://www.uovonero.com/libri</t>
        </is>
      </c>
      <c r="M123" s="16" t="n">
        <v>15</v>
      </c>
      <c r="N123" s="14" t="inlineStr">
        <is>
          <t>Catalogo Uovonero per librai</t>
        </is>
      </c>
      <c r="O123" s="16">
        <f>IF(ISNUMBER(M123),ROUND(M123*(1-Condizioni!$B$2),2),"")</f>
        <v/>
      </c>
      <c r="P123" s="17" t="inlineStr">
        <is>
          <t>Sì</t>
        </is>
      </c>
    </row>
    <row r="124">
      <c r="A124" s="14" t="inlineStr">
        <is>
          <t>Uovonero</t>
        </is>
      </c>
      <c r="B124" s="14" t="inlineStr">
        <is>
          <t>Non è colpa della pioggia</t>
        </is>
      </c>
      <c r="C124" s="14" t="inlineStr">
        <is>
          <t>Lynda Mullaly Hunt</t>
        </is>
      </c>
      <c r="D124" s="14" t="inlineStr">
        <is>
          <t>Abbecedanze (alta leggibilità)</t>
        </is>
      </c>
      <c r="E124" s="14" t="inlineStr">
        <is>
          <t>9/12, 12+</t>
        </is>
      </c>
      <c r="F124" s="14" t="inlineStr">
        <is>
          <t>9+</t>
        </is>
      </c>
      <c r="G124" s="14" t="inlineStr">
        <is>
          <t>Romanzo</t>
        </is>
      </c>
      <c r="H124" s="14" t="inlineStr">
        <is>
          <t>Famiglia e comunità</t>
        </is>
      </c>
      <c r="I124" s="14" t="inlineStr">
        <is>
          <t>No</t>
        </is>
      </c>
      <c r="J124" s="14" t="inlineStr">
        <is>
          <t>Catalogo</t>
        </is>
      </c>
      <c r="K124" s="14" t="inlineStr">
        <is>
          <t>9+, romanzo, narrativa</t>
        </is>
      </c>
      <c r="L124" s="14" t="inlineStr">
        <is>
          <t>https://www.uovonero.com/libri</t>
        </is>
      </c>
      <c r="M124" s="19" t="n"/>
      <c r="N124" s="14" t="inlineStr"/>
      <c r="O124" s="16">
        <f>IF(ISNUMBER(M124),ROUND(M124*(1-Condizioni!$B$2),2),"")</f>
        <v/>
      </c>
      <c r="P124" s="17" t="inlineStr">
        <is>
          <t>Sì</t>
        </is>
      </c>
    </row>
    <row r="125">
      <c r="A125" s="14" t="inlineStr">
        <is>
          <t>Momo Edizioni</t>
        </is>
      </c>
      <c r="B125" s="14" t="inlineStr">
        <is>
          <t>Genitori che puzzano</t>
        </is>
      </c>
      <c r="C125" s="14" t="inlineStr">
        <is>
          <t>Gina; ill. Alessio Spataro</t>
        </is>
      </c>
      <c r="D125" s="14" t="inlineStr">
        <is>
          <t>Libri Monelli</t>
        </is>
      </c>
      <c r="E125" s="14" t="inlineStr">
        <is>
          <t>7-99 anni</t>
        </is>
      </c>
      <c r="F125" s="14" t="inlineStr">
        <is>
          <t>Prime letture (6-8)</t>
        </is>
      </c>
      <c r="G125" s="14" t="inlineStr">
        <is>
          <t>Narrativa</t>
        </is>
      </c>
      <c r="H125" s="14" t="inlineStr">
        <is>
          <t>Famiglia e rapporto tra generazioni</t>
        </is>
      </c>
      <c r="I125" s="14" t="inlineStr">
        <is>
          <t>No</t>
        </is>
      </c>
      <c r="J125" s="14" t="inlineStr">
        <is>
          <t>Catalogo</t>
        </is>
      </c>
      <c r="K125" s="14" t="inlineStr">
        <is>
          <t>prime letture, narrativa</t>
        </is>
      </c>
      <c r="L125" s="14" t="inlineStr">
        <is>
          <t>https://momoedizioni.it/categoria/libri/libri-monelli/</t>
        </is>
      </c>
      <c r="M125" s="16" t="n">
        <v>11</v>
      </c>
      <c r="N125" s="14" t="inlineStr">
        <is>
          <t>Sito Momo Edizioni</t>
        </is>
      </c>
      <c r="O125" s="16">
        <f>IF(ISNUMBER(M125),ROUND(M125*(1-Condizioni!$B$2),2),"")</f>
        <v/>
      </c>
      <c r="P125" s="17" t="inlineStr">
        <is>
          <t>Sì</t>
        </is>
      </c>
    </row>
    <row r="126">
      <c r="A126" s="14" t="inlineStr">
        <is>
          <t>Camelozampa</t>
        </is>
      </c>
      <c r="B126" s="14" t="inlineStr">
        <is>
          <t>La figlia della biblioteca</t>
        </is>
      </c>
      <c r="C126" s="14" t="inlineStr">
        <is>
          <t>(vedi scheda)</t>
        </is>
      </c>
      <c r="D126" s="14" t="inlineStr">
        <is>
          <t>Narrativa / Gruppi di lettura</t>
        </is>
      </c>
      <c r="E126" s="14" t="inlineStr">
        <is>
          <t>da 7 anni</t>
        </is>
      </c>
      <c r="F126" s="14" t="inlineStr">
        <is>
          <t>Prime letture (6-8)</t>
        </is>
      </c>
      <c r="G126" s="14" t="inlineStr">
        <is>
          <t>Avventura</t>
        </is>
      </c>
      <c r="H126" s="14" t="inlineStr">
        <is>
          <t>Famiglie che si scelgono</t>
        </is>
      </c>
      <c r="I126" s="14" t="inlineStr">
        <is>
          <t>No</t>
        </is>
      </c>
      <c r="J126" s="14" t="inlineStr">
        <is>
          <t>Catalogo</t>
        </is>
      </c>
      <c r="K126" s="14" t="inlineStr">
        <is>
          <t>prime letture, avventura, narrativa</t>
        </is>
      </c>
      <c r="L126" s="14" t="inlineStr">
        <is>
          <t>https://www.camelozampa.com/gruppi-di-lettura/</t>
        </is>
      </c>
      <c r="M126" s="16" t="n">
        <v>16.9</v>
      </c>
      <c r="N126" s="14" t="inlineStr">
        <is>
          <t>Catalogo Camelozampa 2026</t>
        </is>
      </c>
      <c r="O126" s="16">
        <f>IF(ISNUMBER(M126),ROUND(M126*(1-Condizioni!$B$2),2),"")</f>
        <v/>
      </c>
      <c r="P126" s="17" t="inlineStr">
        <is>
          <t>Sì</t>
        </is>
      </c>
    </row>
    <row r="127">
      <c r="A127" s="14" t="inlineStr">
        <is>
          <t>Camelozampa</t>
        </is>
      </c>
      <c r="B127" s="14" t="inlineStr">
        <is>
          <t>Dove nasco ogni giorno</t>
        </is>
      </c>
      <c r="C127" s="14" t="inlineStr">
        <is>
          <t>(vedi scheda)</t>
        </is>
      </c>
      <c r="D127" s="14" t="inlineStr">
        <is>
          <t>Le Piume (albi illustrati)</t>
        </is>
      </c>
      <c r="E127" s="14" t="inlineStr">
        <is>
          <t>dai 3 anni</t>
        </is>
      </c>
      <c r="F127" s="14" t="inlineStr">
        <is>
          <t>3-6 anni</t>
        </is>
      </c>
      <c r="G127" s="14" t="inlineStr">
        <is>
          <t>Albo illustrato</t>
        </is>
      </c>
      <c r="H127" s="14" t="inlineStr">
        <is>
          <t>Famiglie di molte forme</t>
        </is>
      </c>
      <c r="I127" s="14" t="inlineStr">
        <is>
          <t>No</t>
        </is>
      </c>
      <c r="J127" s="14" t="inlineStr">
        <is>
          <t>Catalogo</t>
        </is>
      </c>
      <c r="K127" s="14" t="inlineStr">
        <is>
          <t>3-6 anni</t>
        </is>
      </c>
      <c r="L127" s="14" t="inlineStr">
        <is>
          <t>https://www.camelozampa.com/shop/categoria/collane/le-piume-albi-illustrati/</t>
        </is>
      </c>
      <c r="M127" s="16" t="n">
        <v>18.9</v>
      </c>
      <c r="N127" s="14" t="inlineStr">
        <is>
          <t>Catalogo Camelozampa 2026</t>
        </is>
      </c>
      <c r="O127" s="16">
        <f>IF(ISNUMBER(M127),ROUND(M127*(1-Condizioni!$B$2),2),"")</f>
        <v/>
      </c>
      <c r="P127" s="17" t="inlineStr">
        <is>
          <t>Sì</t>
        </is>
      </c>
    </row>
    <row r="128">
      <c r="A128" s="14" t="inlineStr">
        <is>
          <t>Uovonero</t>
        </is>
      </c>
      <c r="B128" s="14" t="inlineStr">
        <is>
          <t>Piccolo Uovo</t>
        </is>
      </c>
      <c r="C128" s="14" t="inlineStr">
        <is>
          <t>Francesca Pardi; ill. Altan</t>
        </is>
      </c>
      <c r="D128" s="14" t="inlineStr">
        <is>
          <t>I libri di Camilla</t>
        </is>
      </c>
      <c r="E128" s="14" t="inlineStr">
        <is>
          <t>0/3, 3/6</t>
        </is>
      </c>
      <c r="F128" s="14" t="inlineStr">
        <is>
          <t>0-3 anni</t>
        </is>
      </c>
      <c r="G128" s="14" t="inlineStr">
        <is>
          <t>Libro in simboli (CAA)</t>
        </is>
      </c>
      <c r="H128" s="14" t="inlineStr">
        <is>
          <t>Famiglie diverse (tema noto del libro, da verificare)</t>
        </is>
      </c>
      <c r="I128" s="18" t="inlineStr">
        <is>
          <t>Sì</t>
        </is>
      </c>
      <c r="J128" s="14" t="inlineStr">
        <is>
          <t>Catalogo</t>
        </is>
      </c>
      <c r="K128" s="14" t="inlineStr">
        <is>
          <t>0-3 anni, CAA</t>
        </is>
      </c>
      <c r="L128" s="14" t="inlineStr">
        <is>
          <t>https://www.uovonero.com/libri</t>
        </is>
      </c>
      <c r="M128" s="19" t="n"/>
      <c r="N128" s="14" t="inlineStr"/>
      <c r="O128" s="16">
        <f>IF(ISNUMBER(M128),ROUND(M128*(1-Condizioni!$B$2),2),"")</f>
        <v/>
      </c>
      <c r="P128" s="17" t="inlineStr">
        <is>
          <t>Sì</t>
        </is>
      </c>
    </row>
    <row r="129">
      <c r="A129" s="14" t="inlineStr">
        <is>
          <t>Settenove</t>
        </is>
      </c>
      <c r="B129" s="14" t="inlineStr">
        <is>
          <t>Il bosco in casa</t>
        </is>
      </c>
      <c r="C129" s="14" t="inlineStr">
        <is>
          <t>Sarah Vegna; ill. Astrid Tolke</t>
        </is>
      </c>
      <c r="D129" s="14" t="inlineStr">
        <is>
          <t>Albi illustrati / Narrativa / Educazione al genere</t>
        </is>
      </c>
      <c r="E129" s="14" t="inlineStr">
        <is>
          <t>da 4 anni</t>
        </is>
      </c>
      <c r="F129" s="14" t="inlineStr">
        <is>
          <t>3-6 anni</t>
        </is>
      </c>
      <c r="G129" s="14" t="inlineStr">
        <is>
          <t>Albo illustrato</t>
        </is>
      </c>
      <c r="H129" s="14" t="inlineStr">
        <is>
          <t>Famiglie omogenitoriali, riciclo e natura</t>
        </is>
      </c>
      <c r="I129" s="14" t="inlineStr">
        <is>
          <t>No</t>
        </is>
      </c>
      <c r="J129" s="14" t="inlineStr">
        <is>
          <t>Catalogo</t>
        </is>
      </c>
      <c r="K129" s="14" t="inlineStr">
        <is>
          <t>3-6 anni</t>
        </is>
      </c>
      <c r="L129" s="14" t="inlineStr">
        <is>
          <t>https://www.ibs.it/bosco-in-casa-ediz-a-libro-sarah-vegna/e/9788898947355</t>
        </is>
      </c>
      <c r="M129" s="16" t="n">
        <v>14</v>
      </c>
      <c r="N129" s="14" t="inlineStr">
        <is>
          <t>Sito Settenove (prezzo di copertina)</t>
        </is>
      </c>
      <c r="O129" s="16">
        <f>IF(ISNUMBER(M129),ROUND(M129*(1-Condizioni!$B$2),2),"")</f>
        <v/>
      </c>
      <c r="P129" s="17" t="inlineStr">
        <is>
          <t>Sì</t>
        </is>
      </c>
    </row>
    <row r="130">
      <c r="A130" s="14" t="inlineStr">
        <is>
          <t>Settenove</t>
        </is>
      </c>
      <c r="B130" s="14" t="inlineStr">
        <is>
          <t>In famiglia!</t>
        </is>
      </c>
      <c r="C130" s="14" t="inlineStr">
        <is>
          <t>A. Maxeiner; ill. A. Kuhl</t>
        </is>
      </c>
      <c r="D130" s="14" t="inlineStr">
        <is>
          <t>Albi illustrati / Narrativa / Educazione al genere</t>
        </is>
      </c>
      <c r="E130" s="14" t="inlineStr">
        <is>
          <t>da 4 anni</t>
        </is>
      </c>
      <c r="F130" s="14" t="inlineStr">
        <is>
          <t>3-6 anni</t>
        </is>
      </c>
      <c r="G130" s="14" t="inlineStr">
        <is>
          <t>Albo illustrato</t>
        </is>
      </c>
      <c r="H130" s="14" t="inlineStr">
        <is>
          <t>Famiglie ricomposte</t>
        </is>
      </c>
      <c r="I130" s="14" t="inlineStr">
        <is>
          <t>No</t>
        </is>
      </c>
      <c r="J130" s="14" t="inlineStr">
        <is>
          <t>Catalogo</t>
        </is>
      </c>
      <c r="K130" s="14" t="inlineStr">
        <is>
          <t>3-6 anni</t>
        </is>
      </c>
      <c r="L130" s="14" t="inlineStr">
        <is>
          <t>https://www.settenove.it/catalogo/narrativa/5</t>
        </is>
      </c>
      <c r="M130" s="16" t="n">
        <v>16</v>
      </c>
      <c r="N130" s="14" t="inlineStr">
        <is>
          <t>Sito Settenove (prezzo di copertina)</t>
        </is>
      </c>
      <c r="O130" s="16">
        <f>IF(ISNUMBER(M130),ROUND(M130*(1-Condizioni!$B$2),2),"")</f>
        <v/>
      </c>
      <c r="P130" s="17" t="inlineStr">
        <is>
          <t>Sì</t>
        </is>
      </c>
    </row>
    <row r="131">
      <c r="A131" s="14" t="inlineStr">
        <is>
          <t>Settenove</t>
        </is>
      </c>
      <c r="B131" s="14" t="inlineStr">
        <is>
          <t>Il mio super eserciziario femminista</t>
        </is>
      </c>
      <c r="C131" s="14" t="inlineStr">
        <is>
          <t>Claire Cantais</t>
        </is>
      </c>
      <c r="D131" s="14" t="inlineStr">
        <is>
          <t>Albi illustrati / Narrativa / Educazione al genere</t>
        </is>
      </c>
      <c r="E131" s="14" t="inlineStr">
        <is>
          <t>da 8 anni</t>
        </is>
      </c>
      <c r="F131" s="14" t="inlineStr">
        <is>
          <t>8+</t>
        </is>
      </c>
      <c r="G131" s="14" t="inlineStr">
        <is>
          <t>Divulgazione/Saggio</t>
        </is>
      </c>
      <c r="H131" s="14" t="inlineStr">
        <is>
          <t>Femminismo</t>
        </is>
      </c>
      <c r="I131" s="14" t="inlineStr">
        <is>
          <t>No</t>
        </is>
      </c>
      <c r="J131" s="14" t="inlineStr">
        <is>
          <t>Catalogo</t>
        </is>
      </c>
      <c r="K131" s="14" t="inlineStr">
        <is>
          <t>8+</t>
        </is>
      </c>
      <c r="L131" s="14" t="inlineStr">
        <is>
          <t>https://www.settenove.it/catalogo/narrativa/5</t>
        </is>
      </c>
      <c r="M131" s="16" t="n">
        <v>15</v>
      </c>
      <c r="N131" s="14" t="inlineStr">
        <is>
          <t>Sito Settenove (prezzo di copertina)</t>
        </is>
      </c>
      <c r="O131" s="16">
        <f>IF(ISNUMBER(M131),ROUND(M131*(1-Condizioni!$B$2),2),"")</f>
        <v/>
      </c>
      <c r="P131" s="17" t="inlineStr">
        <is>
          <t>Sì</t>
        </is>
      </c>
    </row>
    <row r="132">
      <c r="A132" s="14" t="inlineStr">
        <is>
          <t>Edizioni Corsare</t>
        </is>
      </c>
      <c r="B132" s="14" t="inlineStr">
        <is>
          <t>Brava Chiocciolina!</t>
        </is>
      </c>
      <c r="C132" s="14" t="inlineStr">
        <is>
          <t>Silvia Vecchini; ill. Carla Manea</t>
        </is>
      </c>
      <c r="D132" s="14" t="inlineStr">
        <is>
          <t>Area ragazzi (albi illustrati)</t>
        </is>
      </c>
      <c r="E132" s="14" t="inlineStr">
        <is>
          <t>da 3 anni</t>
        </is>
      </c>
      <c r="F132" s="14" t="inlineStr">
        <is>
          <t>3-6 anni</t>
        </is>
      </c>
      <c r="G132" s="14" t="inlineStr">
        <is>
          <t>Albo illustrato</t>
        </is>
      </c>
      <c r="H132" s="14" t="inlineStr">
        <is>
          <t>Fiducia in sé stessi</t>
        </is>
      </c>
      <c r="I132" s="14" t="inlineStr">
        <is>
          <t>No</t>
        </is>
      </c>
      <c r="J132" s="14" t="inlineStr">
        <is>
          <t>Catalogo</t>
        </is>
      </c>
      <c r="K132" s="14" t="inlineStr">
        <is>
          <t>3-6 anni</t>
        </is>
      </c>
      <c r="L132" s="14" t="inlineStr">
        <is>
          <t>https://www.libraccio.it/editore/edizioni-corsare/libri.html</t>
        </is>
      </c>
      <c r="M132" s="16" t="n">
        <v>16</v>
      </c>
      <c r="N132" s="14" t="inlineStr">
        <is>
          <t>Catalogo Edizioni Corsare Primavera 2026</t>
        </is>
      </c>
      <c r="O132" s="16">
        <f>IF(ISNUMBER(M132),ROUND(M132*(1-Condizioni!$B$2),2),"")</f>
        <v/>
      </c>
      <c r="P132" s="17" t="inlineStr">
        <is>
          <t>Sì</t>
        </is>
      </c>
    </row>
    <row r="133">
      <c r="A133" s="14" t="inlineStr">
        <is>
          <t>Edizioni Corsare</t>
        </is>
      </c>
      <c r="B133" s="14" t="inlineStr">
        <is>
          <t>Brava Chiocciolina! – versione InBook con simboli (CAA)</t>
        </is>
      </c>
      <c r="C133" s="14" t="inlineStr">
        <is>
          <t>Silvia Vecchini; ill. Carla Manea</t>
        </is>
      </c>
      <c r="D133" s="14" t="inlineStr">
        <is>
          <t>Area ragazzi (albi illustrati)</t>
        </is>
      </c>
      <c r="E133" s="14" t="inlineStr">
        <is>
          <t>da 3 anni</t>
        </is>
      </c>
      <c r="F133" s="14" t="inlineStr">
        <is>
          <t>3-6 anni</t>
        </is>
      </c>
      <c r="G133" s="14" t="inlineStr">
        <is>
          <t>Libro in simboli (CAA)</t>
        </is>
      </c>
      <c r="H133" s="14" t="inlineStr">
        <is>
          <t>Fiducia in sé stessi e inclusione</t>
        </is>
      </c>
      <c r="I133" s="18" t="inlineStr">
        <is>
          <t>Sì</t>
        </is>
      </c>
      <c r="J133" s="14" t="inlineStr">
        <is>
          <t>Catalogo</t>
        </is>
      </c>
      <c r="K133" s="14" t="inlineStr">
        <is>
          <t>3-6 anni, CAA</t>
        </is>
      </c>
      <c r="L133" s="14" t="inlineStr">
        <is>
          <t>Catalogo Edizioni Corsare Primavera 2026</t>
        </is>
      </c>
      <c r="M133" s="16" t="n">
        <v>16</v>
      </c>
      <c r="N133" s="14" t="inlineStr">
        <is>
          <t>Catalogo Edizioni Corsare Primavera 2026</t>
        </is>
      </c>
      <c r="O133" s="16">
        <f>IF(ISNUMBER(M133),ROUND(M133*(1-Condizioni!$B$2),2),"")</f>
        <v/>
      </c>
      <c r="P133" s="17" t="inlineStr">
        <is>
          <t>Sì</t>
        </is>
      </c>
    </row>
    <row r="134">
      <c r="A134" s="14" t="inlineStr">
        <is>
          <t>Edizioni Corsare</t>
        </is>
      </c>
      <c r="B134" s="14" t="inlineStr">
        <is>
          <t>Cerotti</t>
        </is>
      </c>
      <c r="C134" s="14" t="inlineStr">
        <is>
          <t>Anna Celani; ill. Emma Pulcinelli</t>
        </is>
      </c>
      <c r="D134" s="14" t="inlineStr">
        <is>
          <t>Area ragazzi (albi illustrati)</t>
        </is>
      </c>
      <c r="E134" s="14" t="inlineStr">
        <is>
          <t>da 3 anni</t>
        </is>
      </c>
      <c r="F134" s="14" t="inlineStr">
        <is>
          <t>3-6 anni</t>
        </is>
      </c>
      <c r="G134" s="14" t="inlineStr">
        <is>
          <t>Albo illustrato</t>
        </is>
      </c>
      <c r="H134" s="14" t="inlineStr">
        <is>
          <t>Fragilità, coraggio e intraprendenza</t>
        </is>
      </c>
      <c r="I134" s="14" t="inlineStr">
        <is>
          <t>No</t>
        </is>
      </c>
      <c r="J134" s="14" t="inlineStr">
        <is>
          <t>Catalogo</t>
        </is>
      </c>
      <c r="K134" s="14" t="inlineStr">
        <is>
          <t>3-6 anni</t>
        </is>
      </c>
      <c r="L134" s="14" t="inlineStr">
        <is>
          <t>Catalogo Edizioni Corsare Primavera 2026</t>
        </is>
      </c>
      <c r="M134" s="16" t="n">
        <v>16</v>
      </c>
      <c r="N134" s="14" t="inlineStr">
        <is>
          <t>Catalogo Edizioni Corsare Primavera 2026</t>
        </is>
      </c>
      <c r="O134" s="16">
        <f>IF(ISNUMBER(M134),ROUND(M134*(1-Condizioni!$B$2),2),"")</f>
        <v/>
      </c>
      <c r="P134" s="17" t="inlineStr">
        <is>
          <t>Sì</t>
        </is>
      </c>
    </row>
    <row r="135">
      <c r="A135" s="14" t="inlineStr">
        <is>
          <t>Dalia Edizioni</t>
        </is>
      </c>
      <c r="B135" s="14" t="inlineStr">
        <is>
          <t>Il mio superpotere è la gentilezza</t>
        </is>
      </c>
      <c r="C135" s="14" t="inlineStr">
        <is>
          <t>Giulia Ceccarani</t>
        </is>
      </c>
      <c r="D135" s="14" t="inlineStr">
        <is>
          <t>Dalia Ragazzi</t>
        </is>
      </c>
      <c r="E135" s="14" t="inlineStr">
        <is>
          <t>5+</t>
        </is>
      </c>
      <c r="F135" s="14" t="inlineStr">
        <is>
          <t>3-6 anni</t>
        </is>
      </c>
      <c r="G135" s="14" t="inlineStr">
        <is>
          <t>Narrativa</t>
        </is>
      </c>
      <c r="H135" s="14" t="inlineStr">
        <is>
          <t>Gentilezza, rispetto e ambiente</t>
        </is>
      </c>
      <c r="I135" s="14" t="inlineStr">
        <is>
          <t>No</t>
        </is>
      </c>
      <c r="J135" s="14" t="inlineStr">
        <is>
          <t>Catalogo</t>
        </is>
      </c>
      <c r="K135" s="14" t="inlineStr">
        <is>
          <t>3-6 anni, narrativa</t>
        </is>
      </c>
      <c r="L135" s="14" t="inlineStr">
        <is>
          <t>https://www.daliaedizioni.it/categoria-prodotto/illustrati-kids/</t>
        </is>
      </c>
      <c r="M135" s="16" t="n">
        <v>12.9</v>
      </c>
      <c r="N135" s="14" t="inlineStr">
        <is>
          <t>Sito Dalia Edizioni</t>
        </is>
      </c>
      <c r="O135" s="16">
        <f>IF(ISNUMBER(M135),ROUND(M135*(1-Condizioni!$B$2),2),"")</f>
        <v/>
      </c>
      <c r="P135" s="17" t="inlineStr">
        <is>
          <t>Sì</t>
        </is>
      </c>
    </row>
    <row r="136">
      <c r="A136" s="14" t="inlineStr">
        <is>
          <t>Momo Edizioni</t>
        </is>
      </c>
      <c r="B136" s="14" t="inlineStr">
        <is>
          <t>Mia patria sono gli oppressi. Don Milani, la scuola, la guerra</t>
        </is>
      </c>
      <c r="C136" s="14" t="inlineStr">
        <is>
          <t>Vanessa Roghi; ill. Marco Petrella</t>
        </is>
      </c>
      <c r="D136" s="14" t="inlineStr">
        <is>
          <t>Libri Monelli</t>
        </is>
      </c>
      <c r="E136" s="14" t="inlineStr">
        <is>
          <t>6-99 anni</t>
        </is>
      </c>
      <c r="F136" s="14" t="inlineStr">
        <is>
          <t>Prime letture (6-8)</t>
        </is>
      </c>
      <c r="G136" s="14" t="inlineStr">
        <is>
          <t>Narrativa</t>
        </is>
      </c>
      <c r="H136" s="14" t="inlineStr">
        <is>
          <t>Giustizia sociale, scuola e pace (don Milani)</t>
        </is>
      </c>
      <c r="I136" s="14" t="inlineStr">
        <is>
          <t>No</t>
        </is>
      </c>
      <c r="J136" s="14" t="inlineStr">
        <is>
          <t>Catalogo</t>
        </is>
      </c>
      <c r="K136" s="14" t="inlineStr">
        <is>
          <t>prime letture, narrativa</t>
        </is>
      </c>
      <c r="L136" s="14" t="inlineStr">
        <is>
          <t>https://momoedizioni.it/categoria/libri/libri-monelli/</t>
        </is>
      </c>
      <c r="M136" s="16" t="n">
        <v>14</v>
      </c>
      <c r="N136" s="14" t="inlineStr">
        <is>
          <t>Sito Momo Edizioni</t>
        </is>
      </c>
      <c r="O136" s="16">
        <f>IF(ISNUMBER(M136),ROUND(M136*(1-Condizioni!$B$2),2),"")</f>
        <v/>
      </c>
      <c r="P136" s="17" t="inlineStr">
        <is>
          <t>Sì</t>
        </is>
      </c>
    </row>
    <row r="137">
      <c r="A137" s="14" t="inlineStr">
        <is>
          <t>Edizioni Corsare</t>
        </is>
      </c>
      <c r="B137" s="14" t="inlineStr">
        <is>
          <t>Elos</t>
        </is>
      </c>
      <c r="C137" s="14" t="inlineStr">
        <is>
          <t>Federica Ortolan; ill. Gianluca Garofalo</t>
        </is>
      </c>
      <c r="D137" s="14" t="inlineStr">
        <is>
          <t>Area ragazzi (albi illustrati)</t>
        </is>
      </c>
      <c r="E137" s="14" t="inlineStr">
        <is>
          <t>da 9 anni e per tutti</t>
        </is>
      </c>
      <c r="F137" s="14" t="inlineStr">
        <is>
          <t>9+</t>
        </is>
      </c>
      <c r="G137" s="14" t="inlineStr">
        <is>
          <t>Albo illustrato</t>
        </is>
      </c>
      <c r="H137" s="14" t="inlineStr">
        <is>
          <t>Guerra, disagio giovanile e solitudine</t>
        </is>
      </c>
      <c r="I137" s="14" t="inlineStr">
        <is>
          <t>No</t>
        </is>
      </c>
      <c r="J137" s="14" t="inlineStr">
        <is>
          <t>Catalogo</t>
        </is>
      </c>
      <c r="K137" s="14" t="inlineStr">
        <is>
          <t>9+</t>
        </is>
      </c>
      <c r="L137" s="14" t="inlineStr">
        <is>
          <t>Catalogo Edizioni Corsare Primavera 2026</t>
        </is>
      </c>
      <c r="M137" s="16" t="n">
        <v>18.9</v>
      </c>
      <c r="N137" s="14" t="inlineStr">
        <is>
          <t>Catalogo Edizioni Corsare Primavera 2026</t>
        </is>
      </c>
      <c r="O137" s="16">
        <f>IF(ISNUMBER(M137),ROUND(M137*(1-Condizioni!$B$2),2),"")</f>
        <v/>
      </c>
      <c r="P137" s="17" t="inlineStr">
        <is>
          <t>Sì</t>
        </is>
      </c>
    </row>
    <row r="138">
      <c r="A138" s="14" t="inlineStr">
        <is>
          <t>Settenove</t>
        </is>
      </c>
      <c r="B138" s="14" t="inlineStr">
        <is>
          <t>Beaver, come Castoro</t>
        </is>
      </c>
      <c r="C138" s="14" t="inlineStr">
        <is>
          <t>Serena Ballista; ill. Martina Paderni</t>
        </is>
      </c>
      <c r="D138" s="14" t="inlineStr">
        <is>
          <t>Albi illustrati / Narrativa / Educazione al genere</t>
        </is>
      </c>
      <c r="E138" s="14" t="inlineStr">
        <is>
          <t>da 4 anni</t>
        </is>
      </c>
      <c r="F138" s="14" t="inlineStr">
        <is>
          <t>3-6 anni</t>
        </is>
      </c>
      <c r="G138" s="14" t="inlineStr">
        <is>
          <t>Albo illustrato</t>
        </is>
      </c>
      <c r="H138" s="14" t="inlineStr">
        <is>
          <t>Identità</t>
        </is>
      </c>
      <c r="I138" s="14" t="inlineStr">
        <is>
          <t>No</t>
        </is>
      </c>
      <c r="J138" s="14" t="inlineStr">
        <is>
          <t>Catalogo</t>
        </is>
      </c>
      <c r="K138" s="14" t="inlineStr">
        <is>
          <t>3-6 anni</t>
        </is>
      </c>
      <c r="L138" s="14" t="inlineStr">
        <is>
          <t>https://www.settenove.it/catalogo/narrativa/5</t>
        </is>
      </c>
      <c r="M138" s="16" t="n">
        <v>14</v>
      </c>
      <c r="N138" s="14" t="inlineStr">
        <is>
          <t>Sito Settenove (prezzo di copertina)</t>
        </is>
      </c>
      <c r="O138" s="16">
        <f>IF(ISNUMBER(M138),ROUND(M138*(1-Condizioni!$B$2),2),"")</f>
        <v/>
      </c>
      <c r="P138" s="17" t="inlineStr">
        <is>
          <t>Sì</t>
        </is>
      </c>
    </row>
    <row r="139">
      <c r="A139" s="14" t="inlineStr">
        <is>
          <t>Settenove</t>
        </is>
      </c>
      <c r="B139" s="14" t="inlineStr">
        <is>
          <t>Storia di Giulia che aveva un'ombra da bambino</t>
        </is>
      </c>
      <c r="C139" s="14" t="inlineStr">
        <is>
          <t>C. Bruel; ill. A. Bozellec</t>
        </is>
      </c>
      <c r="D139" s="14" t="inlineStr">
        <is>
          <t>Albi illustrati / Narrativa / Educazione al genere</t>
        </is>
      </c>
      <c r="E139" s="14" t="inlineStr">
        <is>
          <t>da 7 anni</t>
        </is>
      </c>
      <c r="F139" s="14" t="inlineStr">
        <is>
          <t>Prime letture (6-8)</t>
        </is>
      </c>
      <c r="G139" s="14" t="inlineStr">
        <is>
          <t>Albo illustrato</t>
        </is>
      </c>
      <c r="H139" s="14" t="inlineStr">
        <is>
          <t>Identità di genere</t>
        </is>
      </c>
      <c r="I139" s="14" t="inlineStr">
        <is>
          <t>No</t>
        </is>
      </c>
      <c r="J139" s="14" t="inlineStr">
        <is>
          <t>Verificata (IBS / editore)</t>
        </is>
      </c>
      <c r="K139" s="14" t="inlineStr">
        <is>
          <t>prime letture</t>
        </is>
      </c>
      <c r="L139" s="14" t="inlineStr">
        <is>
          <t>https://www.settenove.it/catalogo/narrativa/5</t>
        </is>
      </c>
      <c r="M139" s="16" t="n">
        <v>17</v>
      </c>
      <c r="N139" s="14" t="inlineStr">
        <is>
          <t>Sito Settenove (prezzo di copertina)</t>
        </is>
      </c>
      <c r="O139" s="16">
        <f>IF(ISNUMBER(M139),ROUND(M139*(1-Condizioni!$B$2),2),"")</f>
        <v/>
      </c>
      <c r="P139" s="17" t="inlineStr">
        <is>
          <t>Sì</t>
        </is>
      </c>
    </row>
    <row r="140">
      <c r="A140" s="14" t="inlineStr">
        <is>
          <t>Edizioni Corsare</t>
        </is>
      </c>
      <c r="B140" s="14" t="inlineStr">
        <is>
          <t>Igor</t>
        </is>
      </c>
      <c r="C140" s="14" t="inlineStr">
        <is>
          <t>Francesca Dafne Vignaga</t>
        </is>
      </c>
      <c r="D140" s="14" t="inlineStr">
        <is>
          <t>Area ragazzi (albi illustrati)</t>
        </is>
      </c>
      <c r="E140" s="14" t="inlineStr">
        <is>
          <t>da 3 anni</t>
        </is>
      </c>
      <c r="F140" s="14" t="inlineStr">
        <is>
          <t>3-6 anni</t>
        </is>
      </c>
      <c r="G140" s="14" t="inlineStr">
        <is>
          <t>Albo illustrato</t>
        </is>
      </c>
      <c r="H140" s="14" t="inlineStr">
        <is>
          <t>Identità e amicizia</t>
        </is>
      </c>
      <c r="I140" s="14" t="inlineStr">
        <is>
          <t>No</t>
        </is>
      </c>
      <c r="J140" s="14" t="inlineStr">
        <is>
          <t>Catalogo</t>
        </is>
      </c>
      <c r="K140" s="14" t="inlineStr">
        <is>
          <t>3-6 anni</t>
        </is>
      </c>
      <c r="L140" s="14" t="inlineStr">
        <is>
          <t>Catalogo Edizioni Corsare Primavera 2026</t>
        </is>
      </c>
      <c r="M140" s="16" t="n">
        <v>18</v>
      </c>
      <c r="N140" s="14" t="inlineStr">
        <is>
          <t>Catalogo Edizioni Corsare Primavera 2026</t>
        </is>
      </c>
      <c r="O140" s="16">
        <f>IF(ISNUMBER(M140),ROUND(M140*(1-Condizioni!$B$2),2),"")</f>
        <v/>
      </c>
      <c r="P140" s="17" t="inlineStr">
        <is>
          <t>Sì</t>
        </is>
      </c>
    </row>
    <row r="141">
      <c r="A141" s="14" t="inlineStr">
        <is>
          <t>Camelozampa</t>
        </is>
      </c>
      <c r="B141" s="14" t="inlineStr">
        <is>
          <t>Oggi non si torna a casa</t>
        </is>
      </c>
      <c r="C141" s="14" t="inlineStr">
        <is>
          <t>(vedi scheda)</t>
        </is>
      </c>
      <c r="D141" s="14" t="inlineStr">
        <is>
          <t>Narrativa / Gruppi di lettura</t>
        </is>
      </c>
      <c r="E141" s="14" t="inlineStr">
        <is>
          <t>da 10 anni</t>
        </is>
      </c>
      <c r="F141" s="14" t="inlineStr">
        <is>
          <t>10+</t>
        </is>
      </c>
      <c r="G141" s="14" t="inlineStr">
        <is>
          <t>Romanzo</t>
        </is>
      </c>
      <c r="H141" s="14" t="inlineStr">
        <is>
          <t>Identità e appartenenza</t>
        </is>
      </c>
      <c r="I141" s="14" t="inlineStr">
        <is>
          <t>No</t>
        </is>
      </c>
      <c r="J141" s="14" t="inlineStr">
        <is>
          <t>Catalogo</t>
        </is>
      </c>
      <c r="K141" s="14" t="inlineStr">
        <is>
          <t>10+, romanzo, narrativa</t>
        </is>
      </c>
      <c r="L141" s="14" t="inlineStr">
        <is>
          <t>https://www.camelozampa.com/gruppi-di-lettura/</t>
        </is>
      </c>
      <c r="M141" s="16" t="n">
        <v>16.9</v>
      </c>
      <c r="N141" s="14" t="inlineStr">
        <is>
          <t>Catalogo Camelozampa 2026</t>
        </is>
      </c>
      <c r="O141" s="16">
        <f>IF(ISNUMBER(M141),ROUND(M141*(1-Condizioni!$B$2),2),"")</f>
        <v/>
      </c>
      <c r="P141" s="17" t="inlineStr">
        <is>
          <t>Sì</t>
        </is>
      </c>
    </row>
    <row r="142">
      <c r="A142" s="14" t="inlineStr">
        <is>
          <t>effequ</t>
        </is>
      </c>
      <c r="B142" s="14" t="inlineStr">
        <is>
          <t>XY</t>
        </is>
      </c>
      <c r="C142" s="14" t="inlineStr">
        <is>
          <t>Lù Casini; ill. Caterina Di Paolo</t>
        </is>
      </c>
      <c r="D142" s="14" t="inlineStr">
        <is>
          <t>Scatoline</t>
        </is>
      </c>
      <c r="E142" s="14" t="inlineStr">
        <is>
          <t>da 5 anni</t>
        </is>
      </c>
      <c r="F142" s="14" t="inlineStr">
        <is>
          <t>3-6 anni</t>
        </is>
      </c>
      <c r="G142" s="14" t="inlineStr">
        <is>
          <t>Divulgazione/Saggio</t>
        </is>
      </c>
      <c r="H142" s="14" t="inlineStr">
        <is>
          <t>Identità e corpo</t>
        </is>
      </c>
      <c r="I142" s="14" t="inlineStr">
        <is>
          <t>No</t>
        </is>
      </c>
      <c r="J142" s="14" t="inlineStr">
        <is>
          <t>Catalogo</t>
        </is>
      </c>
      <c r="K142" s="14" t="inlineStr">
        <is>
          <t>3-6 anni</t>
        </is>
      </c>
      <c r="L142" s="14" t="inlineStr">
        <is>
          <t>https://www.effequ.it/</t>
        </is>
      </c>
      <c r="M142" s="16" t="n">
        <v>6</v>
      </c>
      <c r="N142" s="14" t="inlineStr">
        <is>
          <t>https://www.effequ.it/</t>
        </is>
      </c>
      <c r="O142" s="16">
        <f>IF(ISNUMBER(M142),ROUND(M142*(1-Condizioni!$B$2),2),"")</f>
        <v/>
      </c>
      <c r="P142" s="17" t="inlineStr">
        <is>
          <t>Sì</t>
        </is>
      </c>
    </row>
    <row r="143">
      <c r="A143" s="14" t="inlineStr">
        <is>
          <t>Settenove</t>
        </is>
      </c>
      <c r="B143" s="14" t="inlineStr">
        <is>
          <t>Io sono così</t>
        </is>
      </c>
      <c r="C143" s="14" t="inlineStr">
        <is>
          <t>F. Degl'Innocenti, A. Ferrara</t>
        </is>
      </c>
      <c r="D143" s="14" t="inlineStr">
        <is>
          <t>Albi illustrati / Narrativa / Educazione al genere</t>
        </is>
      </c>
      <c r="E143" s="14" t="inlineStr">
        <is>
          <t>4 anni</t>
        </is>
      </c>
      <c r="F143" s="14" t="inlineStr">
        <is>
          <t>3-6 anni</t>
        </is>
      </c>
      <c r="G143" s="14" t="inlineStr">
        <is>
          <t>Albo illustrato</t>
        </is>
      </c>
      <c r="H143" s="14" t="inlineStr">
        <is>
          <t>Identità e stereotipi di genere</t>
        </is>
      </c>
      <c r="I143" s="14" t="inlineStr">
        <is>
          <t>No</t>
        </is>
      </c>
      <c r="J143" s="14" t="inlineStr">
        <is>
          <t>Catalogo</t>
        </is>
      </c>
      <c r="K143" s="14" t="inlineStr">
        <is>
          <t>3-6 anni</t>
        </is>
      </c>
      <c r="L143" s="14" t="inlineStr">
        <is>
          <t>https://www.informafamiglie.it/bibliografia-e-filmografia/bibliografia/identita-e-stereotipi-di-genere</t>
        </is>
      </c>
      <c r="M143" s="16" t="n">
        <v>14</v>
      </c>
      <c r="N143" s="14" t="inlineStr">
        <is>
          <t>Sito Settenove (prezzo di copertina)</t>
        </is>
      </c>
      <c r="O143" s="16">
        <f>IF(ISNUMBER(M143),ROUND(M143*(1-Condizioni!$B$2),2),"")</f>
        <v/>
      </c>
      <c r="P143" s="17" t="inlineStr">
        <is>
          <t>Sì</t>
        </is>
      </c>
    </row>
    <row r="144">
      <c r="A144" s="14" t="inlineStr">
        <is>
          <t>Uovonero</t>
        </is>
      </c>
      <c r="B144" s="14" t="inlineStr">
        <is>
          <t>Con le ali sbagliate</t>
        </is>
      </c>
      <c r="C144" s="14" t="inlineStr">
        <is>
          <t>Gabriele Clima</t>
        </is>
      </c>
      <c r="D144" s="14" t="inlineStr">
        <is>
          <t>I Geodi</t>
        </is>
      </c>
      <c r="E144" s="14" t="inlineStr">
        <is>
          <t>12+, 14+</t>
        </is>
      </c>
      <c r="F144" s="14" t="inlineStr">
        <is>
          <t>Scuola media (11-13)</t>
        </is>
      </c>
      <c r="G144" s="14" t="inlineStr">
        <is>
          <t>Romanzo</t>
        </is>
      </c>
      <c r="H144" s="14" t="inlineStr">
        <is>
          <t>Identità sessuale e pregiudizi</t>
        </is>
      </c>
      <c r="I144" s="14" t="inlineStr">
        <is>
          <t>No</t>
        </is>
      </c>
      <c r="J144" s="14" t="inlineStr">
        <is>
          <t>Catalogo</t>
        </is>
      </c>
      <c r="K144" s="14" t="inlineStr">
        <is>
          <t>prima/seconda/terza media, romanzo, narrativa</t>
        </is>
      </c>
      <c r="L144" s="14" t="inlineStr">
        <is>
          <t>https://www.uovonero.com/libri</t>
        </is>
      </c>
      <c r="M144" s="16" t="n">
        <v>14</v>
      </c>
      <c r="N144" s="14" t="inlineStr">
        <is>
          <t>Catalogo Uovonero per librai</t>
        </is>
      </c>
      <c r="O144" s="16">
        <f>IF(ISNUMBER(M144),ROUND(M144*(1-Condizioni!$B$2),2),"")</f>
        <v/>
      </c>
      <c r="P144" s="17" t="inlineStr">
        <is>
          <t>Sì</t>
        </is>
      </c>
    </row>
    <row r="145">
      <c r="A145" s="14" t="inlineStr">
        <is>
          <t>Gallucci</t>
        </is>
      </c>
      <c r="B145" s="14" t="inlineStr">
        <is>
          <t>Tu sei importante</t>
        </is>
      </c>
      <c r="C145" s="14" t="inlineStr">
        <is>
          <t>(vedi catalogo)</t>
        </is>
      </c>
      <c r="D145" s="14" t="inlineStr">
        <is>
          <t>Illustrati</t>
        </is>
      </c>
      <c r="E145" s="14" t="inlineStr">
        <is>
          <t>da 4 anni</t>
        </is>
      </c>
      <c r="F145" s="14" t="inlineStr">
        <is>
          <t>3-6 anni</t>
        </is>
      </c>
      <c r="G145" s="14" t="inlineStr">
        <is>
          <t>Albo illustrato</t>
        </is>
      </c>
      <c r="H145" s="14" t="inlineStr">
        <is>
          <t>Inclusione e rappresentazione</t>
        </is>
      </c>
      <c r="I145" s="14" t="inlineStr">
        <is>
          <t>No</t>
        </is>
      </c>
      <c r="J145" s="14" t="inlineStr">
        <is>
          <t>Verificata (IBS / editore)</t>
        </is>
      </c>
      <c r="K145" s="14" t="inlineStr">
        <is>
          <t>3-6 anni</t>
        </is>
      </c>
      <c r="L145" s="14" t="inlineStr">
        <is>
          <t>https://www.ibs.it/libri/editori/gallucci</t>
        </is>
      </c>
      <c r="M145" s="16" t="n">
        <v>13</v>
      </c>
      <c r="N145" s="14" t="inlineStr">
        <is>
          <t>https://www.ibs.it/x/e/9788836242580</t>
        </is>
      </c>
      <c r="O145" s="16">
        <f>IF(ISNUMBER(M145),ROUND(M145*(1-Condizioni!$B$2),2),"")</f>
        <v/>
      </c>
      <c r="P145" s="17" t="inlineStr">
        <is>
          <t>Sì</t>
        </is>
      </c>
    </row>
    <row r="146">
      <c r="A146" s="14" t="inlineStr">
        <is>
          <t>La Meridiana</t>
        </is>
      </c>
      <c r="B146" s="14" t="inlineStr">
        <is>
          <t>Cinque racconti brevi con protagonisti adolescenti (collana Parimenti)</t>
        </is>
      </c>
      <c r="C146" s="14" t="inlineStr">
        <is>
          <t>AA.VV.</t>
        </is>
      </c>
      <c r="D146" s="14" t="inlineStr">
        <is>
          <t>Parimenti. Proprio perché cresco</t>
        </is>
      </c>
      <c r="E146" s="14" t="inlineStr">
        <is>
          <t>adolescenti / giovani-adulti</t>
        </is>
      </c>
      <c r="F146" s="14" t="inlineStr">
        <is>
          <t>Adolescenza (14+)</t>
        </is>
      </c>
      <c r="G146" s="14" t="inlineStr">
        <is>
          <t>Narrativa</t>
        </is>
      </c>
      <c r="H146" s="14" t="inlineStr">
        <is>
          <t>Inclusione: lettura per disabilità cognitive e linguistiche</t>
        </is>
      </c>
      <c r="I146" s="18" t="inlineStr">
        <is>
          <t>Sì</t>
        </is>
      </c>
      <c r="J146" s="14" t="inlineStr">
        <is>
          <t>Tolto: è lo stesso libro di “A Said piaceva il mare” (cinque storie di adolescenti, collana Parimenti)</t>
        </is>
      </c>
      <c r="K146" s="14" t="inlineStr">
        <is>
          <t>adolescenza, narrativa, CAA</t>
        </is>
      </c>
      <c r="L146" s="14" t="inlineStr">
        <is>
          <t>https://www.lameridiana.it/blog/post/cs-09112021/</t>
        </is>
      </c>
      <c r="M146" s="19" t="n"/>
      <c r="N146" s="14" t="inlineStr"/>
      <c r="O146" s="16">
        <f>IF(ISNUMBER(M146),ROUND(M146*(1-Condizioni!$B$2),2),"")</f>
        <v/>
      </c>
      <c r="P146" s="17" t="inlineStr">
        <is>
          <t>No</t>
        </is>
      </c>
    </row>
    <row r="147">
      <c r="A147" s="14" t="inlineStr">
        <is>
          <t>Minibombo</t>
        </is>
      </c>
      <c r="B147" s="14" t="inlineStr">
        <is>
          <t>Affamato come un lupo – versione in simboli (InBook)</t>
        </is>
      </c>
      <c r="C147" s="14" t="inlineStr">
        <is>
          <t>traduzione in simboli a cura di reti di biblioteche</t>
        </is>
      </c>
      <c r="D147" s="14" t="inlineStr">
        <is>
          <t>InBook (non edizione Minibombo)</t>
        </is>
      </c>
      <c r="E147" s="14" t="inlineStr">
        <is>
          <t>n.d.</t>
        </is>
      </c>
      <c r="F147" s="14" t="inlineStr">
        <is>
          <t>3-6 anni</t>
        </is>
      </c>
      <c r="G147" s="14" t="inlineStr">
        <is>
          <t>Libro in simboli (CAA)</t>
        </is>
      </c>
      <c r="H147" s="14" t="inlineStr">
        <is>
          <t>Inclusione: libro in simboli</t>
        </is>
      </c>
      <c r="I147" s="18" t="inlineStr">
        <is>
          <t>Sì</t>
        </is>
      </c>
      <c r="J147" s="14" t="inlineStr">
        <is>
          <t>Tolto: versione in simboli InBook, non in vendita</t>
        </is>
      </c>
      <c r="K147" s="14" t="inlineStr">
        <is>
          <t>3-6 anni, CAA</t>
        </is>
      </c>
      <c r="L147" s="14" t="inlineStr">
        <is>
          <t>https://www.055firenze.it/art/216489/libri-in-simboli-nasce-la-prima-Rete-Operativa-Toscana-delle-Biblioteche-Inbook-libri-in-simboli</t>
        </is>
      </c>
      <c r="M147" s="19" t="n"/>
      <c r="N147" s="14" t="inlineStr"/>
      <c r="O147" s="16">
        <f>IF(ISNUMBER(M147),ROUND(M147*(1-Condizioni!$B$2),2),"")</f>
        <v/>
      </c>
      <c r="P147" s="17" t="inlineStr">
        <is>
          <t>No</t>
        </is>
      </c>
    </row>
    <row r="148">
      <c r="A148" s="14" t="inlineStr">
        <is>
          <t>Minibombo</t>
        </is>
      </c>
      <c r="B148" s="14" t="inlineStr">
        <is>
          <t>Il libro gatto – versione in simboli (InBook)</t>
        </is>
      </c>
      <c r="C148" s="14" t="inlineStr">
        <is>
          <t>traduzione in simboli a cura di reti di biblioteche</t>
        </is>
      </c>
      <c r="D148" s="14" t="inlineStr">
        <is>
          <t>InBook (non edizione Minibombo)</t>
        </is>
      </c>
      <c r="E148" s="14" t="inlineStr">
        <is>
          <t>n.d.</t>
        </is>
      </c>
      <c r="F148" s="14" t="inlineStr">
        <is>
          <t>3-6 anni</t>
        </is>
      </c>
      <c r="G148" s="14" t="inlineStr">
        <is>
          <t>Libro in simboli (CAA)</t>
        </is>
      </c>
      <c r="H148" s="14" t="inlineStr">
        <is>
          <t>Inclusione: libro in simboli</t>
        </is>
      </c>
      <c r="I148" s="18" t="inlineStr">
        <is>
          <t>Sì</t>
        </is>
      </c>
      <c r="J148" s="14" t="inlineStr">
        <is>
          <t>Tolto: versione in simboli InBook, non in vendita</t>
        </is>
      </c>
      <c r="K148" s="14" t="inlineStr">
        <is>
          <t>3-6 anni, CAA</t>
        </is>
      </c>
      <c r="L148" s="14" t="inlineStr">
        <is>
          <t>https://www.055firenze.it/art/216489/libri-in-simboli-nasce-la-prima-Rete-Operativa-Toscana-delle-Biblioteche-Inbook-libri-in-simboli</t>
        </is>
      </c>
      <c r="M148" s="19" t="n"/>
      <c r="N148" s="14" t="inlineStr"/>
      <c r="O148" s="16">
        <f>IF(ISNUMBER(M148),ROUND(M148*(1-Condizioni!$B$2),2),"")</f>
        <v/>
      </c>
      <c r="P148" s="17" t="inlineStr">
        <is>
          <t>No</t>
        </is>
      </c>
    </row>
    <row r="149">
      <c r="A149" s="14" t="inlineStr">
        <is>
          <t>Minibombo</t>
        </is>
      </c>
      <c r="B149" s="14" t="inlineStr">
        <is>
          <t>Orso, buco! – versione in simboli (InBook)</t>
        </is>
      </c>
      <c r="C149" s="14" t="inlineStr">
        <is>
          <t>traduzione in simboli a cura di reti di biblioteche</t>
        </is>
      </c>
      <c r="D149" s="14" t="inlineStr">
        <is>
          <t>InBook (non edizione Minibombo)</t>
        </is>
      </c>
      <c r="E149" s="14" t="inlineStr">
        <is>
          <t>n.d.</t>
        </is>
      </c>
      <c r="F149" s="14" t="inlineStr">
        <is>
          <t>3-6 anni</t>
        </is>
      </c>
      <c r="G149" s="14" t="inlineStr">
        <is>
          <t>Libro in simboli (CAA)</t>
        </is>
      </c>
      <c r="H149" s="14" t="inlineStr">
        <is>
          <t>Inclusione: libro in simboli</t>
        </is>
      </c>
      <c r="I149" s="18" t="inlineStr">
        <is>
          <t>Sì</t>
        </is>
      </c>
      <c r="J149" s="14" t="inlineStr">
        <is>
          <t>Tolto: versione in simboli InBook, non in vendita</t>
        </is>
      </c>
      <c r="K149" s="14" t="inlineStr">
        <is>
          <t>3-6 anni, CAA</t>
        </is>
      </c>
      <c r="L149" s="14" t="inlineStr">
        <is>
          <t>https://www.055firenze.it/art/216489/libri-in-simboli-nasce-la-prima-Rete-Operativa-Toscana-delle-Biblioteche-Inbook-libri-in-simboli</t>
        </is>
      </c>
      <c r="M149" s="19" t="n"/>
      <c r="N149" s="14" t="inlineStr"/>
      <c r="O149" s="16">
        <f>IF(ISNUMBER(M149),ROUND(M149*(1-Condizioni!$B$2),2),"")</f>
        <v/>
      </c>
      <c r="P149" s="17" t="inlineStr">
        <is>
          <t>No</t>
        </is>
      </c>
    </row>
    <row r="150">
      <c r="A150" s="14" t="inlineStr">
        <is>
          <t>Lapis</t>
        </is>
      </c>
      <c r="B150" s="14" t="inlineStr">
        <is>
          <t>Foto di gruppo (versione in simboli InBook)</t>
        </is>
      </c>
      <c r="C150" s="14" t="inlineStr">
        <is>
          <t>Gek Tessaro</t>
        </is>
      </c>
      <c r="D150" s="14" t="inlineStr">
        <is>
          <t>InBook (traduzione di rete bibliotecaria)</t>
        </is>
      </c>
      <c r="E150" s="14" t="inlineStr">
        <is>
          <t>n.d.</t>
        </is>
      </c>
      <c r="F150" s="14" t="inlineStr">
        <is>
          <t>3-6 anni</t>
        </is>
      </c>
      <c r="G150" s="14" t="inlineStr">
        <is>
          <t>Libro in simboli (CAA)</t>
        </is>
      </c>
      <c r="H150" s="14" t="inlineStr">
        <is>
          <t>Inclusione: libro in simboli</t>
        </is>
      </c>
      <c r="I150" s="18" t="inlineStr">
        <is>
          <t>Sì</t>
        </is>
      </c>
      <c r="J150" s="14" t="inlineStr">
        <is>
          <t>Tolto: versione in simboli InBook, non in vendita</t>
        </is>
      </c>
      <c r="K150" s="14" t="inlineStr">
        <is>
          <t>3-6 anni, CAA</t>
        </is>
      </c>
      <c r="L150" s="14" t="inlineStr">
        <is>
          <t>https://www.055firenze.it/art/216489/libri-in-simboli-nasce-la-prima-Rete-Operativa-Toscana-delle-Biblioteche-Inbook-libri-in-simboli</t>
        </is>
      </c>
      <c r="M150" s="19" t="n"/>
      <c r="N150" s="14" t="inlineStr"/>
      <c r="O150" s="16">
        <f>IF(ISNUMBER(M150),ROUND(M150*(1-Condizioni!$B$2),2),"")</f>
        <v/>
      </c>
      <c r="P150" s="17" t="inlineStr">
        <is>
          <t>No</t>
        </is>
      </c>
    </row>
    <row r="151">
      <c r="A151" s="14" t="inlineStr">
        <is>
          <t>Dalia Edizioni</t>
        </is>
      </c>
      <c r="B151" s="14" t="inlineStr">
        <is>
          <t>Slò, la magia della lentezza</t>
        </is>
      </c>
      <c r="C151" s="14" t="inlineStr">
        <is>
          <t>Giulia Ceccarani</t>
        </is>
      </c>
      <c r="D151" s="14" t="inlineStr">
        <is>
          <t>Dalia Ragazzi</t>
        </is>
      </c>
      <c r="E151" s="14" t="inlineStr">
        <is>
          <t>5+</t>
        </is>
      </c>
      <c r="F151" s="14" t="inlineStr">
        <is>
          <t>3-6 anni</t>
        </is>
      </c>
      <c r="G151" s="14" t="inlineStr">
        <is>
          <t>Narrativa</t>
        </is>
      </c>
      <c r="H151" s="14" t="inlineStr">
        <is>
          <t>Lentezza, natura e rispetto</t>
        </is>
      </c>
      <c r="I151" s="14" t="inlineStr">
        <is>
          <t>No</t>
        </is>
      </c>
      <c r="J151" s="14" t="inlineStr">
        <is>
          <t>Catalogo</t>
        </is>
      </c>
      <c r="K151" s="14" t="inlineStr">
        <is>
          <t>3-6 anni, narrativa</t>
        </is>
      </c>
      <c r="L151" s="14" t="inlineStr">
        <is>
          <t>https://www.daliaedizioni.it/categoria-prodotto/illustrati-kids/</t>
        </is>
      </c>
      <c r="M151" s="16" t="n">
        <v>12.9</v>
      </c>
      <c r="N151" s="14" t="inlineStr">
        <is>
          <t>Sito Dalia Edizioni</t>
        </is>
      </c>
      <c r="O151" s="16">
        <f>IF(ISNUMBER(M151),ROUND(M151*(1-Condizioni!$B$2),2),"")</f>
        <v/>
      </c>
      <c r="P151" s="17" t="inlineStr">
        <is>
          <t>Sì</t>
        </is>
      </c>
    </row>
    <row r="152">
      <c r="A152" s="14" t="inlineStr">
        <is>
          <t>Dalia Edizioni</t>
        </is>
      </c>
      <c r="B152" s="14" t="inlineStr">
        <is>
          <t>Febe e i gatti ruba storie</t>
        </is>
      </c>
      <c r="C152" s="14" t="inlineStr">
        <is>
          <t>Elisa Campaci; ill. Roberta Procacci</t>
        </is>
      </c>
      <c r="D152" s="14" t="inlineStr">
        <is>
          <t>Gli spericolati</t>
        </is>
      </c>
      <c r="E152" s="14" t="inlineStr">
        <is>
          <t>8+</t>
        </is>
      </c>
      <c r="F152" s="14" t="inlineStr">
        <is>
          <t>8+</t>
        </is>
      </c>
      <c r="G152" s="14" t="inlineStr">
        <is>
          <t>Narrativa</t>
        </is>
      </c>
      <c r="H152" s="14" t="inlineStr">
        <is>
          <t>Lettura, scrittura e crescita</t>
        </is>
      </c>
      <c r="I152" s="14" t="inlineStr">
        <is>
          <t>No</t>
        </is>
      </c>
      <c r="J152" s="14" t="inlineStr">
        <is>
          <t>Catalogo</t>
        </is>
      </c>
      <c r="K152" s="14" t="inlineStr">
        <is>
          <t>8+, narrativa</t>
        </is>
      </c>
      <c r="L152" s="14" t="inlineStr">
        <is>
          <t>https://www.daliaedizioni.it/categoria-prodotto/illustrati-kids/</t>
        </is>
      </c>
      <c r="M152" s="16" t="n">
        <v>12.9</v>
      </c>
      <c r="N152" s="14" t="inlineStr">
        <is>
          <t>Sito Dalia Edizioni</t>
        </is>
      </c>
      <c r="O152" s="16">
        <f>IF(ISNUMBER(M152),ROUND(M152*(1-Condizioni!$B$2),2),"")</f>
        <v/>
      </c>
      <c r="P152" s="17" t="inlineStr">
        <is>
          <t>Sì</t>
        </is>
      </c>
    </row>
    <row r="153">
      <c r="A153" s="14" t="inlineStr">
        <is>
          <t>Edizioni Corsare</t>
        </is>
      </c>
      <c r="B153" s="14" t="inlineStr">
        <is>
          <t>Quattro giorni</t>
        </is>
      </c>
      <c r="C153" s="14" t="inlineStr">
        <is>
          <t>Antonella Giacon</t>
        </is>
      </c>
      <c r="D153" s="14" t="inlineStr">
        <is>
          <t>Narrativa YA / Border</t>
        </is>
      </c>
      <c r="E153" s="14" t="inlineStr">
        <is>
          <t>14+</t>
        </is>
      </c>
      <c r="F153" s="14" t="inlineStr">
        <is>
          <t>Adolescenza (14+)</t>
        </is>
      </c>
      <c r="G153" s="14" t="inlineStr">
        <is>
          <t>Romanzo</t>
        </is>
      </c>
      <c r="H153" s="14" t="inlineStr">
        <is>
          <t>Libertà e crescita</t>
        </is>
      </c>
      <c r="I153" s="14" t="inlineStr">
        <is>
          <t>No</t>
        </is>
      </c>
      <c r="J153" s="14" t="inlineStr">
        <is>
          <t>Catalogo</t>
        </is>
      </c>
      <c r="K153" s="14" t="inlineStr">
        <is>
          <t>adolescenza, romanzo, narrativa</t>
        </is>
      </c>
      <c r="L153" s="14" t="inlineStr">
        <is>
          <t>https://www.edizionicorsare.it/categoria-prodotto/collane/border-young-adult/</t>
        </is>
      </c>
      <c r="M153" s="16" t="n">
        <v>12</v>
      </c>
      <c r="N153" s="14" t="inlineStr">
        <is>
          <t>Catalogo Edizioni Corsare Primavera 2026</t>
        </is>
      </c>
      <c r="O153" s="16">
        <f>IF(ISNUMBER(M153),ROUND(M153*(1-Condizioni!$B$2),2),"")</f>
        <v/>
      </c>
      <c r="P153" s="17" t="inlineStr">
        <is>
          <t>Sì</t>
        </is>
      </c>
    </row>
    <row r="154">
      <c r="A154" s="14" t="inlineStr">
        <is>
          <t>Settenove</t>
        </is>
      </c>
      <c r="B154" s="14" t="inlineStr">
        <is>
          <t>Il piccolo giardiniere</t>
        </is>
      </c>
      <c r="C154" s="14" t="inlineStr">
        <is>
          <t>Emily Hughes</t>
        </is>
      </c>
      <c r="D154" s="14" t="inlineStr">
        <is>
          <t>Albi illustrati / Narrativa / Educazione al genere</t>
        </is>
      </c>
      <c r="E154" s="14" t="inlineStr">
        <is>
          <t>da 4 anni</t>
        </is>
      </c>
      <c r="F154" s="14" t="inlineStr">
        <is>
          <t>3-6 anni</t>
        </is>
      </c>
      <c r="G154" s="14" t="inlineStr">
        <is>
          <t>Albo illustrato</t>
        </is>
      </c>
      <c r="H154" s="14" t="inlineStr">
        <is>
          <t>Libertà e identità</t>
        </is>
      </c>
      <c r="I154" s="14" t="inlineStr">
        <is>
          <t>No</t>
        </is>
      </c>
      <c r="J154" s="14" t="inlineStr">
        <is>
          <t>Catalogo</t>
        </is>
      </c>
      <c r="K154" s="14" t="inlineStr">
        <is>
          <t>3-6 anni</t>
        </is>
      </c>
      <c r="L154" s="14" t="inlineStr">
        <is>
          <t>https://www.settenove.it/catalogo/narrativa/5</t>
        </is>
      </c>
      <c r="M154" s="16" t="n">
        <v>18</v>
      </c>
      <c r="N154" s="14" t="inlineStr">
        <is>
          <t>Sito Settenove (prezzo di copertina)</t>
        </is>
      </c>
      <c r="O154" s="16">
        <f>IF(ISNUMBER(M154),ROUND(M154*(1-Condizioni!$B$2),2),"")</f>
        <v/>
      </c>
      <c r="P154" s="17" t="inlineStr">
        <is>
          <t>Sì</t>
        </is>
      </c>
    </row>
    <row r="155">
      <c r="A155" s="14" t="inlineStr">
        <is>
          <t>Settenove</t>
        </is>
      </c>
      <c r="B155" s="14" t="inlineStr">
        <is>
          <t>Selvaggia</t>
        </is>
      </c>
      <c r="C155" s="14" t="inlineStr">
        <is>
          <t>Emily Hughes</t>
        </is>
      </c>
      <c r="D155" s="14" t="inlineStr">
        <is>
          <t>Albi illustrati / Narrativa / Educazione al genere</t>
        </is>
      </c>
      <c r="E155" s="14" t="inlineStr">
        <is>
          <t>da 4 anni</t>
        </is>
      </c>
      <c r="F155" s="14" t="inlineStr">
        <is>
          <t>3-6 anni</t>
        </is>
      </c>
      <c r="G155" s="14" t="inlineStr">
        <is>
          <t>Albo illustrato</t>
        </is>
      </c>
      <c r="H155" s="14" t="inlineStr">
        <is>
          <t>Libertà e identità</t>
        </is>
      </c>
      <c r="I155" s="14" t="inlineStr">
        <is>
          <t>No</t>
        </is>
      </c>
      <c r="J155" s="14" t="inlineStr">
        <is>
          <t>Verificata (IBS / editore)</t>
        </is>
      </c>
      <c r="K155" s="14" t="inlineStr">
        <is>
          <t>3-6 anni</t>
        </is>
      </c>
      <c r="L155" s="14" t="inlineStr">
        <is>
          <t>https://www.settenove.it/catalogo/narrativa/5</t>
        </is>
      </c>
      <c r="M155" s="16" t="n">
        <v>17</v>
      </c>
      <c r="N155" s="14" t="inlineStr">
        <is>
          <t>Sito Settenove (prezzo di copertina)</t>
        </is>
      </c>
      <c r="O155" s="16">
        <f>IF(ISNUMBER(M155),ROUND(M155*(1-Condizioni!$B$2),2),"")</f>
        <v/>
      </c>
      <c r="P155" s="17" t="inlineStr">
        <is>
          <t>Sì</t>
        </is>
      </c>
    </row>
    <row r="156">
      <c r="A156" s="14" t="inlineStr">
        <is>
          <t>Dalia Edizioni</t>
        </is>
      </c>
      <c r="B156" s="14" t="inlineStr">
        <is>
          <t>Alla scoperta della libertà</t>
        </is>
      </c>
      <c r="C156" s="14" t="inlineStr">
        <is>
          <t>Giulia Ceccarani</t>
        </is>
      </c>
      <c r="D156" s="14" t="inlineStr">
        <is>
          <t>Dalia Ragazzi</t>
        </is>
      </c>
      <c r="E156" s="14" t="inlineStr">
        <is>
          <t>5+</t>
        </is>
      </c>
      <c r="F156" s="14" t="inlineStr">
        <is>
          <t>3-6 anni</t>
        </is>
      </c>
      <c r="G156" s="14" t="inlineStr">
        <is>
          <t>Narrativa</t>
        </is>
      </c>
      <c r="H156" s="14" t="inlineStr">
        <is>
          <t>Libertà, regole ed educazione civica</t>
        </is>
      </c>
      <c r="I156" s="14" t="inlineStr">
        <is>
          <t>No</t>
        </is>
      </c>
      <c r="J156" s="14" t="inlineStr">
        <is>
          <t>Catalogo</t>
        </is>
      </c>
      <c r="K156" s="14" t="inlineStr">
        <is>
          <t>3-6 anni, narrativa</t>
        </is>
      </c>
      <c r="L156" s="14" t="inlineStr">
        <is>
          <t>https://www.daliaedizioni.it/categoria-prodotto/illustrati-kids/</t>
        </is>
      </c>
      <c r="M156" s="16" t="n">
        <v>12.9</v>
      </c>
      <c r="N156" s="14" t="inlineStr">
        <is>
          <t>Sito Dalia Edizioni</t>
        </is>
      </c>
      <c r="O156" s="16">
        <f>IF(ISNUMBER(M156),ROUND(M156*(1-Condizioni!$B$2),2),"")</f>
        <v/>
      </c>
      <c r="P156" s="17" t="inlineStr">
        <is>
          <t>Sì</t>
        </is>
      </c>
    </row>
    <row r="157">
      <c r="A157" s="14" t="inlineStr">
        <is>
          <t>Momo Edizioni</t>
        </is>
      </c>
      <c r="B157" s="14" t="inlineStr">
        <is>
          <t>Cambiare il mondo con i libri. L'incredibile storia di Giangiacomo Feltrinelli</t>
        </is>
      </c>
      <c r="C157" s="14" t="inlineStr">
        <is>
          <t>Mattia Tombolini; ill. Marta Baroni</t>
        </is>
      </c>
      <c r="D157" s="14" t="inlineStr">
        <is>
          <t>Libri Monelli</t>
        </is>
      </c>
      <c r="E157" s="14" t="inlineStr">
        <is>
          <t>da 8 anni</t>
        </is>
      </c>
      <c r="F157" s="14" t="inlineStr">
        <is>
          <t>8+</t>
        </is>
      </c>
      <c r="G157" s="14" t="inlineStr">
        <is>
          <t>Narrativa</t>
        </is>
      </c>
      <c r="H157" s="14" t="inlineStr">
        <is>
          <t>Libri, lettura e impegno civile</t>
        </is>
      </c>
      <c r="I157" s="14" t="inlineStr">
        <is>
          <t>No</t>
        </is>
      </c>
      <c r="J157" s="14" t="inlineStr">
        <is>
          <t>Verificata (IBS / editore)</t>
        </is>
      </c>
      <c r="K157" s="14" t="inlineStr">
        <is>
          <t>8+, narrativa</t>
        </is>
      </c>
      <c r="L157" s="14" t="inlineStr">
        <is>
          <t>https://momoedizioni.it/categoria/libri/libri-monelli/</t>
        </is>
      </c>
      <c r="M157" s="16" t="n">
        <v>13</v>
      </c>
      <c r="N157" s="14" t="inlineStr">
        <is>
          <t>Sito Momo Edizioni</t>
        </is>
      </c>
      <c r="O157" s="16">
        <f>IF(ISNUMBER(M157),ROUND(M157*(1-Condizioni!$B$2),2),"")</f>
        <v/>
      </c>
      <c r="P157" s="17" t="inlineStr">
        <is>
          <t>Sì</t>
        </is>
      </c>
    </row>
    <row r="158">
      <c r="A158" s="14" t="inlineStr">
        <is>
          <t>Uovonero</t>
        </is>
      </c>
      <c r="B158" s="14" t="inlineStr">
        <is>
          <t>In cielo, ma dove?</t>
        </is>
      </c>
      <c r="C158" s="14" t="inlineStr">
        <is>
          <t>A. Ossorio, A. Ferrara</t>
        </is>
      </c>
      <c r="D158" s="14" t="inlineStr">
        <is>
          <t>I Geodi</t>
        </is>
      </c>
      <c r="E158" s="14" t="inlineStr">
        <is>
          <t>3/6, 6/9</t>
        </is>
      </c>
      <c r="F158" s="14" t="inlineStr">
        <is>
          <t>3-6 anni</t>
        </is>
      </c>
      <c r="G158" s="14" t="inlineStr">
        <is>
          <t>Albo illustrato</t>
        </is>
      </c>
      <c r="H158" s="14" t="inlineStr">
        <is>
          <t>Lutto</t>
        </is>
      </c>
      <c r="I158" s="14" t="inlineStr">
        <is>
          <t>No</t>
        </is>
      </c>
      <c r="J158" s="14" t="inlineStr">
        <is>
          <t>Catalogo</t>
        </is>
      </c>
      <c r="K158" s="14" t="inlineStr">
        <is>
          <t>3-6 anni</t>
        </is>
      </c>
      <c r="L158" s="14" t="inlineStr">
        <is>
          <t>https://www.uovonero.com/libri</t>
        </is>
      </c>
      <c r="M158" s="16" t="n">
        <v>16</v>
      </c>
      <c r="N158" s="14" t="inlineStr">
        <is>
          <t>Catalogo Uovonero per librai</t>
        </is>
      </c>
      <c r="O158" s="16">
        <f>IF(ISNUMBER(M158),ROUND(M158*(1-Condizioni!$B$2),2),"")</f>
        <v/>
      </c>
      <c r="P158" s="17" t="inlineStr">
        <is>
          <t>Sì</t>
        </is>
      </c>
    </row>
    <row r="159">
      <c r="A159" s="14" t="inlineStr">
        <is>
          <t>Camelozampa</t>
        </is>
      </c>
      <c r="B159" s="14" t="inlineStr">
        <is>
          <t>Il giardino di Rita</t>
        </is>
      </c>
      <c r="C159" s="14" t="inlineStr">
        <is>
          <t>(vedi scheda)</t>
        </is>
      </c>
      <c r="D159" s="14" t="inlineStr">
        <is>
          <t>Le Piume (albi illustrati)</t>
        </is>
      </c>
      <c r="E159" s="14" t="inlineStr">
        <is>
          <t>collana prevalentemente da 4 anni</t>
        </is>
      </c>
      <c r="F159" s="14" t="inlineStr">
        <is>
          <t>3-6 anni</t>
        </is>
      </c>
      <c r="G159" s="14" t="inlineStr">
        <is>
          <t>Albo illustrato</t>
        </is>
      </c>
      <c r="H159" s="14" t="inlineStr">
        <is>
          <t>Lutto e trasformazione</t>
        </is>
      </c>
      <c r="I159" s="14" t="inlineStr">
        <is>
          <t>No</t>
        </is>
      </c>
      <c r="J159" s="15" t="inlineStr">
        <is>
          <t>Da verificare</t>
        </is>
      </c>
      <c r="K159" s="14" t="inlineStr">
        <is>
          <t>3-6 anni</t>
        </is>
      </c>
      <c r="L159" s="14" t="inlineStr">
        <is>
          <t>https://www.camelozampa.com/shop/categoria/collane/le-piume-albi-illustrati/</t>
        </is>
      </c>
      <c r="M159" s="16" t="n">
        <v>18.9</v>
      </c>
      <c r="N159" s="14" t="inlineStr">
        <is>
          <t>Catalogo Camelozampa 2026</t>
        </is>
      </c>
      <c r="O159" s="16">
        <f>IF(ISNUMBER(M159),ROUND(M159*(1-Condizioni!$B$2),2),"")</f>
        <v/>
      </c>
      <c r="P159" s="17" t="inlineStr">
        <is>
          <t>Sì</t>
        </is>
      </c>
    </row>
    <row r="160">
      <c r="A160" s="14" t="inlineStr">
        <is>
          <t>Uovonero</t>
        </is>
      </c>
      <c r="B160" s="14" t="inlineStr">
        <is>
          <t>Una canzone</t>
        </is>
      </c>
      <c r="C160" s="14" t="inlineStr">
        <is>
          <t>E. Vincenzi, I. Braiotta</t>
        </is>
      </c>
      <c r="D160" s="14" t="inlineStr">
        <is>
          <t>I Geodi</t>
        </is>
      </c>
      <c r="E160" s="14" t="inlineStr">
        <is>
          <t>3/6, 6/9</t>
        </is>
      </c>
      <c r="F160" s="14" t="inlineStr">
        <is>
          <t>3-6 anni</t>
        </is>
      </c>
      <c r="G160" s="14" t="inlineStr">
        <is>
          <t>Albo illustrato</t>
        </is>
      </c>
      <c r="H160" s="14" t="inlineStr">
        <is>
          <t>Malattia (Alzheimer) e nonni</t>
        </is>
      </c>
      <c r="I160" s="14" t="inlineStr">
        <is>
          <t>No</t>
        </is>
      </c>
      <c r="J160" s="14" t="inlineStr">
        <is>
          <t>Catalogo</t>
        </is>
      </c>
      <c r="K160" s="14" t="inlineStr">
        <is>
          <t>3-6 anni</t>
        </is>
      </c>
      <c r="L160" s="14" t="inlineStr">
        <is>
          <t>https://www.uovonero.com/libri</t>
        </is>
      </c>
      <c r="M160" s="16" t="n">
        <v>16</v>
      </c>
      <c r="N160" s="14" t="inlineStr">
        <is>
          <t>Catalogo Uovonero per librai</t>
        </is>
      </c>
      <c r="O160" s="16">
        <f>IF(ISNUMBER(M160),ROUND(M160*(1-Condizioni!$B$2),2),"")</f>
        <v/>
      </c>
      <c r="P160" s="17" t="inlineStr">
        <is>
          <t>Sì</t>
        </is>
      </c>
    </row>
    <row r="161">
      <c r="A161" s="14" t="inlineStr">
        <is>
          <t>Pelledoca</t>
        </is>
      </c>
      <c r="B161" s="14" t="inlineStr">
        <is>
          <t>Sei Fuori</t>
        </is>
      </c>
      <c r="C161" s="14" t="inlineStr">
        <is>
          <t>Antonio Ferrara</t>
        </is>
      </c>
      <c r="D161" s="14" t="inlineStr">
        <is>
          <t>NeroInchiostro</t>
        </is>
      </c>
      <c r="E161" s="14" t="inlineStr">
        <is>
          <t>Dagli 11 anni</t>
        </is>
      </c>
      <c r="F161" s="14" t="inlineStr">
        <is>
          <t>Scuola media (11-13)</t>
        </is>
      </c>
      <c r="G161" s="14" t="inlineStr">
        <is>
          <t>Romanzo</t>
        </is>
      </c>
      <c r="H161" s="14" t="inlineStr">
        <is>
          <t>Malattia rara e crescita</t>
        </is>
      </c>
      <c r="I161" s="14" t="inlineStr">
        <is>
          <t>No</t>
        </is>
      </c>
      <c r="J161" s="14" t="inlineStr">
        <is>
          <t>Catalogo</t>
        </is>
      </c>
      <c r="K161" s="14" t="inlineStr">
        <is>
          <t>prima/seconda/terza media, romanzo, narrativa</t>
        </is>
      </c>
      <c r="L161" s="14" t="inlineStr">
        <is>
          <t>Catalogo Pelledoca 2025 (ISBN 9788832790603)</t>
        </is>
      </c>
      <c r="M161" s="16" t="n">
        <v>16</v>
      </c>
      <c r="N161" s="14" t="inlineStr">
        <is>
          <t>Catalogo Pelledoca 2025</t>
        </is>
      </c>
      <c r="O161" s="16">
        <f>IF(ISNUMBER(M161),ROUND(M161*(1-Condizioni!$B$2),2),"")</f>
        <v/>
      </c>
      <c r="P161" s="17" t="inlineStr">
        <is>
          <t>No</t>
        </is>
      </c>
    </row>
    <row r="162">
      <c r="A162" s="14" t="inlineStr">
        <is>
          <t>Pelledoca</t>
        </is>
      </c>
      <c r="B162" s="14" t="inlineStr">
        <is>
          <t>La Spada non Mi Ha Salvata</t>
        </is>
      </c>
      <c r="C162" s="14" t="inlineStr">
        <is>
          <t>Matteo Corradini</t>
        </is>
      </c>
      <c r="D162" s="14" t="inlineStr">
        <is>
          <t>NeroInchiostro</t>
        </is>
      </c>
      <c r="E162" s="14" t="inlineStr">
        <is>
          <t>Dai 12 anni</t>
        </is>
      </c>
      <c r="F162" s="14" t="inlineStr">
        <is>
          <t>Scuola media (11-13)</t>
        </is>
      </c>
      <c r="G162" s="14" t="inlineStr">
        <is>
          <t>Romanzo</t>
        </is>
      </c>
      <c r="H162" s="14" t="inlineStr">
        <is>
          <t>Memoria (Helene Mayer)</t>
        </is>
      </c>
      <c r="I162" s="14" t="inlineStr">
        <is>
          <t>No</t>
        </is>
      </c>
      <c r="J162" s="14" t="inlineStr">
        <is>
          <t>Catalogo</t>
        </is>
      </c>
      <c r="K162" s="14" t="inlineStr">
        <is>
          <t>prima/seconda/terza media, romanzo, narrativa</t>
        </is>
      </c>
      <c r="L162" s="14" t="inlineStr">
        <is>
          <t>Catalogo Pelledoca 2025 (ISBN 9788832791198)</t>
        </is>
      </c>
      <c r="M162" s="16" t="n">
        <v>16</v>
      </c>
      <c r="N162" s="14" t="inlineStr">
        <is>
          <t>Catalogo Pelledoca 2025</t>
        </is>
      </c>
      <c r="O162" s="16">
        <f>IF(ISNUMBER(M162),ROUND(M162*(1-Condizioni!$B$2),2),"")</f>
        <v/>
      </c>
      <c r="P162" s="17" t="inlineStr">
        <is>
          <t>No</t>
        </is>
      </c>
    </row>
    <row r="163">
      <c r="A163" s="14" t="inlineStr">
        <is>
          <t>Uovonero</t>
        </is>
      </c>
      <c r="B163" s="14" t="inlineStr">
        <is>
          <t>Tre dita</t>
        </is>
      </c>
      <c r="C163" s="14" t="inlineStr">
        <is>
          <t>Massimo Canuti</t>
        </is>
      </c>
      <c r="D163" s="14" t="inlineStr">
        <is>
          <t>I Geodi</t>
        </is>
      </c>
      <c r="E163" s="14" t="inlineStr">
        <is>
          <t>12+</t>
        </is>
      </c>
      <c r="F163" s="14" t="inlineStr">
        <is>
          <t>Scuola media (11-13)</t>
        </is>
      </c>
      <c r="G163" s="14" t="inlineStr">
        <is>
          <t>Romanzo</t>
        </is>
      </c>
      <c r="H163" s="14" t="inlineStr">
        <is>
          <t>Memoria (Seconda guerra mondiale)</t>
        </is>
      </c>
      <c r="I163" s="14" t="inlineStr">
        <is>
          <t>No</t>
        </is>
      </c>
      <c r="J163" s="14" t="inlineStr">
        <is>
          <t>Catalogo</t>
        </is>
      </c>
      <c r="K163" s="14" t="inlineStr">
        <is>
          <t>prima/seconda/terza media, romanzo, narrativa</t>
        </is>
      </c>
      <c r="L163" s="14" t="inlineStr">
        <is>
          <t>https://www.uovonero.com/libri</t>
        </is>
      </c>
      <c r="M163" s="16" t="n">
        <v>16.5</v>
      </c>
      <c r="N163" s="14" t="inlineStr">
        <is>
          <t>Catalogo Uovonero per librai</t>
        </is>
      </c>
      <c r="O163" s="16">
        <f>IF(ISNUMBER(M163),ROUND(M163*(1-Condizioni!$B$2),2),"")</f>
        <v/>
      </c>
      <c r="P163" s="17" t="inlineStr">
        <is>
          <t>Sì</t>
        </is>
      </c>
    </row>
    <row r="164">
      <c r="A164" s="14" t="inlineStr">
        <is>
          <t>Uovonero</t>
        </is>
      </c>
      <c r="B164" s="14" t="inlineStr">
        <is>
          <t>La vecchia casa sul canale</t>
        </is>
      </c>
      <c r="C164" s="14" t="inlineStr">
        <is>
          <t>Britta Teckentrup</t>
        </is>
      </c>
      <c r="D164" s="14" t="inlineStr">
        <is>
          <t>I Geodi</t>
        </is>
      </c>
      <c r="E164" s="14" t="inlineStr">
        <is>
          <t>6/9, 9/12</t>
        </is>
      </c>
      <c r="F164" s="14" t="inlineStr">
        <is>
          <t>Prime letture (6-8)</t>
        </is>
      </c>
      <c r="G164" s="14" t="inlineStr">
        <is>
          <t>Albo illustrato</t>
        </is>
      </c>
      <c r="H164" s="14" t="inlineStr">
        <is>
          <t>Memoria (la casa di Anne Frank)</t>
        </is>
      </c>
      <c r="I164" s="14" t="inlineStr">
        <is>
          <t>No</t>
        </is>
      </c>
      <c r="J164" s="14" t="inlineStr">
        <is>
          <t>Catalogo</t>
        </is>
      </c>
      <c r="K164" s="14" t="inlineStr">
        <is>
          <t>prime letture</t>
        </is>
      </c>
      <c r="L164" s="14" t="inlineStr">
        <is>
          <t>https://www.uovonero.com/libri</t>
        </is>
      </c>
      <c r="M164" s="16" t="n">
        <v>20</v>
      </c>
      <c r="N164" s="14" t="inlineStr">
        <is>
          <t>Catalogo Uovonero per librai</t>
        </is>
      </c>
      <c r="O164" s="16">
        <f>IF(ISNUMBER(M164),ROUND(M164*(1-Condizioni!$B$2),2),"")</f>
        <v/>
      </c>
      <c r="P164" s="17" t="inlineStr">
        <is>
          <t>Sì</t>
        </is>
      </c>
    </row>
    <row r="165">
      <c r="A165" s="14" t="inlineStr">
        <is>
          <t>Uovonero</t>
        </is>
      </c>
      <c r="B165" s="14" t="inlineStr">
        <is>
          <t>Può succedere ancora?</t>
        </is>
      </c>
      <c r="C165" s="14" t="inlineStr">
        <is>
          <t>Jesper Lundqvist</t>
        </is>
      </c>
      <c r="D165" s="14" t="inlineStr">
        <is>
          <t>I Geodi</t>
        </is>
      </c>
      <c r="E165" s="14" t="inlineStr">
        <is>
          <t>9/12</t>
        </is>
      </c>
      <c r="F165" s="14" t="inlineStr">
        <is>
          <t>9+</t>
        </is>
      </c>
      <c r="G165" s="14" t="inlineStr">
        <is>
          <t>Divulgazione/Saggio</t>
        </is>
      </c>
      <c r="H165" s="14" t="inlineStr">
        <is>
          <t>Memoria della Shoah</t>
        </is>
      </c>
      <c r="I165" s="14" t="inlineStr">
        <is>
          <t>No</t>
        </is>
      </c>
      <c r="J165" s="14" t="inlineStr">
        <is>
          <t>Catalogo</t>
        </is>
      </c>
      <c r="K165" s="14" t="inlineStr">
        <is>
          <t>9+</t>
        </is>
      </c>
      <c r="L165" s="14" t="inlineStr">
        <is>
          <t>https://www.uovonero.com/libri</t>
        </is>
      </c>
      <c r="M165" s="16" t="n">
        <v>22</v>
      </c>
      <c r="N165" s="14" t="inlineStr">
        <is>
          <t>Catalogo Uovonero per librai</t>
        </is>
      </c>
      <c r="O165" s="16">
        <f>IF(ISNUMBER(M165),ROUND(M165*(1-Condizioni!$B$2),2),"")</f>
        <v/>
      </c>
      <c r="P165" s="17" t="inlineStr">
        <is>
          <t>Sì</t>
        </is>
      </c>
    </row>
    <row r="166">
      <c r="A166" s="14" t="inlineStr">
        <is>
          <t>La Meridiana</t>
        </is>
      </c>
      <c r="B166" s="14" t="inlineStr">
        <is>
          <t>Il diario di Anna Frank</t>
        </is>
      </c>
      <c r="C166" s="14" t="inlineStr">
        <is>
          <t>Anna Frank</t>
        </is>
      </c>
      <c r="D166" s="14" t="inlineStr">
        <is>
          <t>Libri accessibili in CAA e in simboli (anche Parimenti. Proprio perché cresco)</t>
        </is>
      </c>
      <c r="E166" s="14" t="inlineStr">
        <is>
          <t>n.d. (collana Parimenti per giovani-adulti)</t>
        </is>
      </c>
      <c r="F166" s="14" t="inlineStr">
        <is>
          <t>Adolescenza (14+)</t>
        </is>
      </c>
      <c r="G166" s="14" t="inlineStr">
        <is>
          <t>Narrativa</t>
        </is>
      </c>
      <c r="H166" s="14" t="inlineStr">
        <is>
          <t>Memoria della Shoah</t>
        </is>
      </c>
      <c r="I166" s="18" t="inlineStr">
        <is>
          <t>Sì</t>
        </is>
      </c>
      <c r="J166" s="15" t="inlineStr">
        <is>
          <t>Da verificare</t>
        </is>
      </c>
      <c r="K166" s="14" t="inlineStr">
        <is>
          <t>adolescenza, narrativa, CAA</t>
        </is>
      </c>
      <c r="L166" s="14" t="inlineStr">
        <is>
          <t>https://www.lameridiana.it/categorie/libri-per-una-cultura-accessibile/libri-accessibili.html</t>
        </is>
      </c>
      <c r="M166" s="16" t="n">
        <v>12.34</v>
      </c>
      <c r="N166" s="14" t="inlineStr">
        <is>
          <t>https://www.lameridiana.it/categorie/libri-per-una-cultura-accessibile/libri-accessibili.html (prezzo 'da' indicato sul sito, formato non specificato: verificare)</t>
        </is>
      </c>
      <c r="O166" s="16">
        <f>IF(ISNUMBER(M166),ROUND(M166*(1-Condizioni!$B$2),2),"")</f>
        <v/>
      </c>
      <c r="P166" s="17" t="inlineStr">
        <is>
          <t>Sì</t>
        </is>
      </c>
    </row>
    <row r="167">
      <c r="A167" s="14" t="inlineStr">
        <is>
          <t>Pelledoca</t>
        </is>
      </c>
      <c r="B167" s="14" t="inlineStr">
        <is>
          <t>In Fondo al Buio</t>
        </is>
      </c>
      <c r="C167" s="14" t="inlineStr">
        <is>
          <t>Raffaella Romagnolo</t>
        </is>
      </c>
      <c r="D167" s="14" t="inlineStr">
        <is>
          <t>NeroInchiostro</t>
        </is>
      </c>
      <c r="E167" s="14" t="inlineStr">
        <is>
          <t>Dagli 11 anni</t>
        </is>
      </c>
      <c r="F167" s="14" t="inlineStr">
        <is>
          <t>Scuola media (11-13)</t>
        </is>
      </c>
      <c r="G167" s="14" t="inlineStr">
        <is>
          <t>Romanzo</t>
        </is>
      </c>
      <c r="H167" s="14" t="inlineStr">
        <is>
          <t>Memoria della Shoah</t>
        </is>
      </c>
      <c r="I167" s="14" t="inlineStr">
        <is>
          <t>No</t>
        </is>
      </c>
      <c r="J167" s="14" t="inlineStr">
        <is>
          <t>Catalogo</t>
        </is>
      </c>
      <c r="K167" s="14" t="inlineStr">
        <is>
          <t>prima/seconda/terza media, romanzo, narrativa</t>
        </is>
      </c>
      <c r="L167" s="14" t="inlineStr">
        <is>
          <t>Catalogo Pelledoca 2025 (ISBN 9788832791112)</t>
        </is>
      </c>
      <c r="M167" s="16" t="n">
        <v>16</v>
      </c>
      <c r="N167" s="14" t="inlineStr">
        <is>
          <t>Catalogo Pelledoca 2025</t>
        </is>
      </c>
      <c r="O167" s="16">
        <f>IF(ISNUMBER(M167),ROUND(M167*(1-Condizioni!$B$2),2),"")</f>
        <v/>
      </c>
      <c r="P167" s="17" t="inlineStr">
        <is>
          <t>No</t>
        </is>
      </c>
    </row>
    <row r="168">
      <c r="A168" s="14" t="inlineStr">
        <is>
          <t>BeccoGiallo</t>
        </is>
      </c>
      <c r="B168" s="14" t="inlineStr">
        <is>
          <t>La Shoah spiegata alle bambine e ai bambini</t>
        </is>
      </c>
      <c r="C168" s="14" t="inlineStr">
        <is>
          <t>Paolo Valentini e Chiara Abastanotti</t>
        </is>
      </c>
      <c r="D168" s="14" t="inlineStr">
        <is>
          <t>Kids / CriticalKids</t>
        </is>
      </c>
      <c r="E168" s="14" t="inlineStr">
        <is>
          <t>da 5 anni</t>
        </is>
      </c>
      <c r="F168" s="14" t="inlineStr">
        <is>
          <t>3-6 anni</t>
        </is>
      </c>
      <c r="G168" s="14" t="inlineStr">
        <is>
          <t>Divulgazione/Saggio</t>
        </is>
      </c>
      <c r="H168" s="14" t="inlineStr">
        <is>
          <t>Memoria della Shoah</t>
        </is>
      </c>
      <c r="I168" s="14" t="inlineStr">
        <is>
          <t>No</t>
        </is>
      </c>
      <c r="J168" s="14" t="inlineStr">
        <is>
          <t>Catalogo</t>
        </is>
      </c>
      <c r="K168" s="14" t="inlineStr">
        <is>
          <t>3-6 anni</t>
        </is>
      </c>
      <c r="L168" s="14" t="inlineStr">
        <is>
          <t>https://www.beccogiallo.it/categoria-prodotto/kids/</t>
        </is>
      </c>
      <c r="M168" s="16" t="n">
        <v>16</v>
      </c>
      <c r="N168" s="14" t="inlineStr">
        <is>
          <t>Sito BeccoGiallo (prezzo di listino)</t>
        </is>
      </c>
      <c r="O168" s="16">
        <f>IF(ISNUMBER(M168),ROUND(M168*(1-Condizioni!$B$2),2),"")</f>
        <v/>
      </c>
      <c r="P168" s="17" t="inlineStr">
        <is>
          <t>Sì</t>
        </is>
      </c>
    </row>
    <row r="169">
      <c r="A169" s="14" t="inlineStr">
        <is>
          <t>Uovonero</t>
        </is>
      </c>
      <c r="B169" s="14" t="inlineStr">
        <is>
          <t>L'orco del piano di sotto</t>
        </is>
      </c>
      <c r="C169" s="14" t="inlineStr">
        <is>
          <t>Olivier Dupin; ill. Barroux</t>
        </is>
      </c>
      <c r="D169" s="14" t="inlineStr">
        <is>
          <t>I Geodi</t>
        </is>
      </c>
      <c r="E169" s="14" t="inlineStr">
        <is>
          <t>6/9</t>
        </is>
      </c>
      <c r="F169" s="14" t="inlineStr">
        <is>
          <t>Prime letture (6-8)</t>
        </is>
      </c>
      <c r="G169" s="14" t="inlineStr">
        <is>
          <t>Albo illustrato</t>
        </is>
      </c>
      <c r="H169" s="14" t="inlineStr">
        <is>
          <t>Memoria della Shoah / Giusti</t>
        </is>
      </c>
      <c r="I169" s="14" t="inlineStr">
        <is>
          <t>No</t>
        </is>
      </c>
      <c r="J169" s="14" t="inlineStr">
        <is>
          <t>Catalogo</t>
        </is>
      </c>
      <c r="K169" s="14" t="inlineStr">
        <is>
          <t>prime letture</t>
        </is>
      </c>
      <c r="L169" s="14" t="inlineStr">
        <is>
          <t>https://www.uovonero.com/libri</t>
        </is>
      </c>
      <c r="M169" s="16" t="n">
        <v>18.5</v>
      </c>
      <c r="N169" s="14" t="inlineStr">
        <is>
          <t>Catalogo Uovonero per librai</t>
        </is>
      </c>
      <c r="O169" s="16">
        <f>IF(ISNUMBER(M169),ROUND(M169*(1-Condizioni!$B$2),2),"")</f>
        <v/>
      </c>
      <c r="P169" s="17" t="inlineStr">
        <is>
          <t>Sì</t>
        </is>
      </c>
    </row>
    <row r="170">
      <c r="A170" s="14" t="inlineStr">
        <is>
          <t>La Meridiana</t>
        </is>
      </c>
      <c r="B170" s="14" t="inlineStr">
        <is>
          <t>A Said piaceva il mare</t>
        </is>
      </c>
      <c r="C170" s="14" t="inlineStr">
        <is>
          <t>n.d.</t>
        </is>
      </c>
      <c r="D170" s="14" t="inlineStr">
        <is>
          <t>Libri accessibili in CAA e in simboli (anche Parimenti. Proprio perché cresco)</t>
        </is>
      </c>
      <c r="E170" s="14" t="inlineStr">
        <is>
          <t>n.d. (collana Parimenti per giovani-adulti)</t>
        </is>
      </c>
      <c r="F170" s="14" t="inlineStr">
        <is>
          <t>10+</t>
        </is>
      </c>
      <c r="G170" s="14" t="inlineStr">
        <is>
          <t>Narrativa</t>
        </is>
      </c>
      <c r="H170" s="14" t="inlineStr">
        <is>
          <t>Migrazione / accoglienza (da verificare)</t>
        </is>
      </c>
      <c r="I170" s="18" t="inlineStr">
        <is>
          <t>Sì</t>
        </is>
      </c>
      <c r="J170" s="15" t="inlineStr">
        <is>
          <t>Da verificare</t>
        </is>
      </c>
      <c r="K170" s="14" t="inlineStr">
        <is>
          <t>10+, narrativa, CAA</t>
        </is>
      </c>
      <c r="L170" s="14" t="inlineStr">
        <is>
          <t>https://www.lameridiana.it/categorie/libri-per-una-cultura-accessibile/libri-accessibili.html</t>
        </is>
      </c>
      <c r="M170" s="16" t="n">
        <v>12.34</v>
      </c>
      <c r="N170" s="14" t="inlineStr">
        <is>
          <t>https://www.lameridiana.it/categorie/libri-per-una-cultura-accessibile/libri-accessibili.html (prezzo 'da' indicato sul sito, formato non specificato: verificare)</t>
        </is>
      </c>
      <c r="O170" s="16">
        <f>IF(ISNUMBER(M170),ROUND(M170*(1-Condizioni!$B$2),2),"")</f>
        <v/>
      </c>
      <c r="P170" s="17" t="inlineStr">
        <is>
          <t>Sì</t>
        </is>
      </c>
    </row>
    <row r="171">
      <c r="A171" s="14" t="inlineStr">
        <is>
          <t>La Meridiana</t>
        </is>
      </c>
      <c r="B171" s="14" t="inlineStr">
        <is>
          <t>Il mio Afghanistan (CAA)</t>
        </is>
      </c>
      <c r="C171" s="14" t="inlineStr">
        <is>
          <t>n.d.</t>
        </is>
      </c>
      <c r="D171" s="14" t="inlineStr">
        <is>
          <t>Libri accessibili in CAA e in simboli (anche Parimenti. Proprio perché cresco)</t>
        </is>
      </c>
      <c r="E171" s="14" t="inlineStr">
        <is>
          <t>da 12 anni</t>
        </is>
      </c>
      <c r="F171" s="14" t="inlineStr">
        <is>
          <t>Scuola media (11-13)</t>
        </is>
      </c>
      <c r="G171" s="14" t="inlineStr">
        <is>
          <t>Narrativa</t>
        </is>
      </c>
      <c r="H171" s="14" t="inlineStr">
        <is>
          <t>Migrazione / culture (da verificare)</t>
        </is>
      </c>
      <c r="I171" s="18" t="inlineStr">
        <is>
          <t>Sì</t>
        </is>
      </c>
      <c r="J171" s="14" t="inlineStr">
        <is>
          <t>Verificata (Bottegart)</t>
        </is>
      </c>
      <c r="K171" s="14" t="inlineStr">
        <is>
          <t>prima/seconda/terza media, narrativa, CAA</t>
        </is>
      </c>
      <c r="L171" s="14" t="inlineStr">
        <is>
          <t>https://www.lameridiana.it/categorie/libri-per-una-cultura-accessibile/libri-accessibili.html</t>
        </is>
      </c>
      <c r="M171" s="16" t="n">
        <v>12.34</v>
      </c>
      <c r="N171" s="14" t="inlineStr">
        <is>
          <t>https://www.lameridiana.it/categorie/libri-per-una-cultura-accessibile/libri-accessibili.html (prezzo 'da' indicato sul sito, formato non specificato: verificare)</t>
        </is>
      </c>
      <c r="O171" s="16">
        <f>IF(ISNUMBER(M171),ROUND(M171*(1-Condizioni!$B$2),2),"")</f>
        <v/>
      </c>
      <c r="P171" s="17" t="inlineStr">
        <is>
          <t>Sì</t>
        </is>
      </c>
    </row>
    <row r="172">
      <c r="A172" s="14" t="inlineStr">
        <is>
          <t>BeccoGiallo</t>
        </is>
      </c>
      <c r="B172" s="14" t="inlineStr">
        <is>
          <t>L’immigrazione spiegata ai bambini</t>
        </is>
      </c>
      <c r="C172" s="14" t="inlineStr">
        <is>
          <t>Marco Rizzo; ill. Lelio Bonaccorso</t>
        </is>
      </c>
      <c r="D172" s="14" t="inlineStr">
        <is>
          <t>Kids / CriticalKids</t>
        </is>
      </c>
      <c r="E172" s="14" t="inlineStr">
        <is>
          <t>da 7 anni</t>
        </is>
      </c>
      <c r="F172" s="14" t="inlineStr">
        <is>
          <t>Prime letture (6-8)</t>
        </is>
      </c>
      <c r="G172" s="14" t="inlineStr">
        <is>
          <t>Divulgazione/Saggio</t>
        </is>
      </c>
      <c r="H172" s="14" t="inlineStr">
        <is>
          <t>Migrazione e accoglienza</t>
        </is>
      </c>
      <c r="I172" s="14" t="inlineStr">
        <is>
          <t>No</t>
        </is>
      </c>
      <c r="J172" s="14" t="inlineStr">
        <is>
          <t>Verificata (IBS / editore)</t>
        </is>
      </c>
      <c r="K172" s="14" t="inlineStr">
        <is>
          <t>prime letture</t>
        </is>
      </c>
      <c r="L172" s="14" t="inlineStr">
        <is>
          <t>https://www.beccogiallo.it/categoria-prodotto/kids/criticalkids/</t>
        </is>
      </c>
      <c r="M172" s="16" t="n">
        <v>13</v>
      </c>
      <c r="N172" s="14" t="inlineStr">
        <is>
          <t>Sito BeccoGiallo (prezzo di listino)</t>
        </is>
      </c>
      <c r="O172" s="16">
        <f>IF(ISNUMBER(M172),ROUND(M172*(1-Condizioni!$B$2),2),"")</f>
        <v/>
      </c>
      <c r="P172" s="17" t="inlineStr">
        <is>
          <t>Sì</t>
        </is>
      </c>
    </row>
    <row r="173">
      <c r="A173" s="14" t="inlineStr">
        <is>
          <t>Uovonero</t>
        </is>
      </c>
      <c r="B173" s="14" t="inlineStr">
        <is>
          <t>Il pavee e la ragazza</t>
        </is>
      </c>
      <c r="C173" s="14" t="inlineStr">
        <is>
          <t>Siobhan Dowd; ill. Emma Shoard</t>
        </is>
      </c>
      <c r="D173" s="14" t="inlineStr">
        <is>
          <t>I Geodi</t>
        </is>
      </c>
      <c r="E173" s="14" t="inlineStr">
        <is>
          <t>9/12, 12+, 14+</t>
        </is>
      </c>
      <c r="F173" s="14" t="inlineStr">
        <is>
          <t>Scuola media (11-13)</t>
        </is>
      </c>
      <c r="G173" s="14" t="inlineStr">
        <is>
          <t>Narrativa</t>
        </is>
      </c>
      <c r="H173" s="14" t="inlineStr">
        <is>
          <t>Minoranze (comunità Pavee)</t>
        </is>
      </c>
      <c r="I173" s="14" t="inlineStr">
        <is>
          <t>No</t>
        </is>
      </c>
      <c r="J173" s="14" t="inlineStr">
        <is>
          <t>Catalogo</t>
        </is>
      </c>
      <c r="K173" s="14" t="inlineStr">
        <is>
          <t>prima/seconda/terza media, narrativa</t>
        </is>
      </c>
      <c r="L173" s="14" t="inlineStr">
        <is>
          <t>https://www.uovonero.com/libri</t>
        </is>
      </c>
      <c r="M173" s="16" t="n">
        <v>15</v>
      </c>
      <c r="N173" s="14" t="inlineStr">
        <is>
          <t>Catalogo Uovonero per librai</t>
        </is>
      </c>
      <c r="O173" s="16">
        <f>IF(ISNUMBER(M173),ROUND(M173*(1-Condizioni!$B$2),2),"")</f>
        <v/>
      </c>
      <c r="P173" s="17" t="inlineStr">
        <is>
          <t>Sì</t>
        </is>
      </c>
    </row>
    <row r="174">
      <c r="A174" s="14" t="inlineStr">
        <is>
          <t>Dalia Edizioni</t>
        </is>
      </c>
      <c r="B174" s="14" t="inlineStr">
        <is>
          <t>Holly e i segreti della grotta stellata</t>
        </is>
      </c>
      <c r="C174" s="14" t="inlineStr">
        <is>
          <t>Massimiliano Valentini</t>
        </is>
      </c>
      <c r="D174" s="14" t="inlineStr">
        <is>
          <t>Gli spericolati</t>
        </is>
      </c>
      <c r="E174" s="14" t="inlineStr">
        <is>
          <t>n.d.</t>
        </is>
      </c>
      <c r="F174" s="14" t="inlineStr">
        <is>
          <t>n.d. / tutte le età</t>
        </is>
      </c>
      <c r="G174" s="14" t="inlineStr">
        <is>
          <t>Narrativa</t>
        </is>
      </c>
      <c r="H174" s="14" t="inlineStr">
        <is>
          <t>Natura e ambiente</t>
        </is>
      </c>
      <c r="I174" s="14" t="inlineStr">
        <is>
          <t>No</t>
        </is>
      </c>
      <c r="J174" s="15" t="inlineStr">
        <is>
          <t>Da verificare</t>
        </is>
      </c>
      <c r="K174" s="14" t="inlineStr">
        <is>
          <t>narrativa</t>
        </is>
      </c>
      <c r="L174" s="14" t="inlineStr">
        <is>
          <t>https://www.daliaedizioni.it/categoria-prodotto/illustrati-kids/</t>
        </is>
      </c>
      <c r="M174" s="16" t="n">
        <v>13.5</v>
      </c>
      <c r="N174" s="14" t="inlineStr">
        <is>
          <t>Sito Dalia Edizioni</t>
        </is>
      </c>
      <c r="O174" s="16">
        <f>IF(ISNUMBER(M174),ROUND(M174*(1-Condizioni!$B$2),2),"")</f>
        <v/>
      </c>
      <c r="P174" s="17" t="inlineStr">
        <is>
          <t>No</t>
        </is>
      </c>
    </row>
    <row r="175">
      <c r="A175" s="14" t="inlineStr">
        <is>
          <t>Camelozampa</t>
        </is>
      </c>
      <c r="B175" s="14" t="inlineStr">
        <is>
          <t>Il cortile selvaggio</t>
        </is>
      </c>
      <c r="C175" s="14" t="inlineStr">
        <is>
          <t>(vedi scheda)</t>
        </is>
      </c>
      <c r="D175" s="14" t="inlineStr">
        <is>
          <t>Le Piume (albi illustrati)</t>
        </is>
      </c>
      <c r="E175" s="14" t="inlineStr">
        <is>
          <t>dai 4 anni</t>
        </is>
      </c>
      <c r="F175" s="14" t="inlineStr">
        <is>
          <t>3-6 anni</t>
        </is>
      </c>
      <c r="G175" s="14" t="inlineStr">
        <is>
          <t>Albo illustrato</t>
        </is>
      </c>
      <c r="H175" s="14" t="inlineStr">
        <is>
          <t>Natura e legami</t>
        </is>
      </c>
      <c r="I175" s="14" t="inlineStr">
        <is>
          <t>No</t>
        </is>
      </c>
      <c r="J175" s="14" t="inlineStr">
        <is>
          <t>Catalogo</t>
        </is>
      </c>
      <c r="K175" s="14" t="inlineStr">
        <is>
          <t>3-6 anni</t>
        </is>
      </c>
      <c r="L175" s="14" t="inlineStr">
        <is>
          <t>https://www.camelozampa.com/shop/categoria/collane/le-piume-albi-illustrati/</t>
        </is>
      </c>
      <c r="M175" s="16" t="n">
        <v>19.9</v>
      </c>
      <c r="N175" s="14" t="inlineStr">
        <is>
          <t>Catalogo Camelozampa 2026</t>
        </is>
      </c>
      <c r="O175" s="16">
        <f>IF(ISNUMBER(M175),ROUND(M175*(1-Condizioni!$B$2),2),"")</f>
        <v/>
      </c>
      <c r="P175" s="17" t="inlineStr">
        <is>
          <t>Sì</t>
        </is>
      </c>
    </row>
    <row r="176">
      <c r="A176" s="14" t="inlineStr">
        <is>
          <t>effequ</t>
        </is>
      </c>
      <c r="B176" s="14" t="inlineStr">
        <is>
          <t>ZAMPA</t>
        </is>
      </c>
      <c r="C176" s="14" t="inlineStr">
        <is>
          <t>Francesca Matteoni; ill. Prisca Milanese</t>
        </is>
      </c>
      <c r="D176" s="14" t="inlineStr">
        <is>
          <t>Scatoline</t>
        </is>
      </c>
      <c r="E176" s="14" t="inlineStr">
        <is>
          <t>da 5 anni</t>
        </is>
      </c>
      <c r="F176" s="14" t="inlineStr">
        <is>
          <t>3-6 anni</t>
        </is>
      </c>
      <c r="G176" s="14" t="inlineStr">
        <is>
          <t>Divulgazione/Saggio</t>
        </is>
      </c>
      <c r="H176" s="14" t="inlineStr">
        <is>
          <t>Natura e relazioni tra esseri viventi</t>
        </is>
      </c>
      <c r="I176" s="14" t="inlineStr">
        <is>
          <t>No</t>
        </is>
      </c>
      <c r="J176" s="14" t="inlineStr">
        <is>
          <t>Catalogo</t>
        </is>
      </c>
      <c r="K176" s="14" t="inlineStr">
        <is>
          <t>3-6 anni</t>
        </is>
      </c>
      <c r="L176" s="14" t="inlineStr">
        <is>
          <t>https://www.effequ.it/</t>
        </is>
      </c>
      <c r="M176" s="16" t="n">
        <v>6</v>
      </c>
      <c r="N176" s="14" t="inlineStr">
        <is>
          <t>https://www.effequ.it/</t>
        </is>
      </c>
      <c r="O176" s="16">
        <f>IF(ISNUMBER(M176),ROUND(M176*(1-Condizioni!$B$2),2),"")</f>
        <v/>
      </c>
      <c r="P176" s="17" t="inlineStr">
        <is>
          <t>Sì</t>
        </is>
      </c>
    </row>
    <row r="177">
      <c r="A177" s="14" t="inlineStr">
        <is>
          <t>Uovonero</t>
        </is>
      </c>
      <c r="B177" s="14" t="inlineStr">
        <is>
          <t>Come un incantesimo</t>
        </is>
      </c>
      <c r="C177" s="14" t="inlineStr">
        <is>
          <t>Elle McNicoll</t>
        </is>
      </c>
      <c r="D177" s="14" t="inlineStr">
        <is>
          <t>I Geodi</t>
        </is>
      </c>
      <c r="E177" s="14" t="inlineStr">
        <is>
          <t>12+</t>
        </is>
      </c>
      <c r="F177" s="14" t="inlineStr">
        <is>
          <t>Scuola media (11-13)</t>
        </is>
      </c>
      <c r="G177" s="14" t="inlineStr">
        <is>
          <t>Romanzo</t>
        </is>
      </c>
      <c r="H177" s="14" t="inlineStr">
        <is>
          <t>Neurodivergenza</t>
        </is>
      </c>
      <c r="I177" s="14" t="inlineStr">
        <is>
          <t>No</t>
        </is>
      </c>
      <c r="J177" s="14" t="inlineStr">
        <is>
          <t>Catalogo</t>
        </is>
      </c>
      <c r="K177" s="14" t="inlineStr">
        <is>
          <t>prima/seconda/terza media, romanzo, narrativa</t>
        </is>
      </c>
      <c r="L177" s="14" t="inlineStr">
        <is>
          <t>https://www.uovonero.com/libri</t>
        </is>
      </c>
      <c r="M177" s="16" t="n">
        <v>16</v>
      </c>
      <c r="N177" s="14" t="inlineStr">
        <is>
          <t>Catalogo Uovonero per librai</t>
        </is>
      </c>
      <c r="O177" s="16">
        <f>IF(ISNUMBER(M177),ROUND(M177*(1-Condizioni!$B$2),2),"")</f>
        <v/>
      </c>
      <c r="P177" s="17" t="inlineStr">
        <is>
          <t>Sì</t>
        </is>
      </c>
    </row>
    <row r="178">
      <c r="A178" s="14" t="inlineStr">
        <is>
          <t>Edizioni Corsare</t>
        </is>
      </c>
      <c r="B178" s="14" t="inlineStr">
        <is>
          <t>Il Rubacoccole</t>
        </is>
      </c>
      <c r="C178" s="14" t="inlineStr">
        <is>
          <t>Maria Gianola</t>
        </is>
      </c>
      <c r="D178" s="14" t="inlineStr">
        <is>
          <t>Area ragazzi (albi illustrati)</t>
        </is>
      </c>
      <c r="E178" s="14" t="inlineStr">
        <is>
          <t>da 3 anni</t>
        </is>
      </c>
      <c r="F178" s="14" t="inlineStr">
        <is>
          <t>3-6 anni</t>
        </is>
      </c>
      <c r="G178" s="14" t="inlineStr">
        <is>
          <t>Albo illustrato</t>
        </is>
      </c>
      <c r="H178" s="14" t="inlineStr">
        <is>
          <t>Nuovo fratellino e gelosia</t>
        </is>
      </c>
      <c r="I178" s="14" t="inlineStr">
        <is>
          <t>No</t>
        </is>
      </c>
      <c r="J178" s="14" t="inlineStr">
        <is>
          <t>Catalogo</t>
        </is>
      </c>
      <c r="K178" s="14" t="inlineStr">
        <is>
          <t>3-6 anni</t>
        </is>
      </c>
      <c r="L178" s="14" t="inlineStr">
        <is>
          <t>Catalogo Edizioni Corsare Primavera 2026</t>
        </is>
      </c>
      <c r="M178" s="16" t="n">
        <v>15</v>
      </c>
      <c r="N178" s="14" t="inlineStr">
        <is>
          <t>Catalogo Edizioni Corsare Primavera 2026</t>
        </is>
      </c>
      <c r="O178" s="16">
        <f>IF(ISNUMBER(M178),ROUND(M178*(1-Condizioni!$B$2),2),"")</f>
        <v/>
      </c>
      <c r="P178" s="17" t="inlineStr">
        <is>
          <t>Sì</t>
        </is>
      </c>
    </row>
    <row r="179">
      <c r="A179" s="14" t="inlineStr">
        <is>
          <t>Edizioni Corsare</t>
        </is>
      </c>
      <c r="B179" s="14" t="inlineStr">
        <is>
          <t>Cromosomi</t>
        </is>
      </c>
      <c r="C179" s="14" t="inlineStr">
        <is>
          <t>Fabian Negrin; ill. Kalina Muhova</t>
        </is>
      </c>
      <c r="D179" s="14" t="inlineStr">
        <is>
          <t>Area ragazzi (albi illustrati)</t>
        </is>
      </c>
      <c r="E179" s="14" t="inlineStr">
        <is>
          <t>da 5 anni e per tutti</t>
        </is>
      </c>
      <c r="F179" s="14" t="inlineStr">
        <is>
          <t>3-6 anni</t>
        </is>
      </c>
      <c r="G179" s="14" t="inlineStr">
        <is>
          <t>Albo illustrato</t>
        </is>
      </c>
      <c r="H179" s="14" t="inlineStr">
        <is>
          <t>Origine comune degli esseri umani e famiglie</t>
        </is>
      </c>
      <c r="I179" s="14" t="inlineStr">
        <is>
          <t>No</t>
        </is>
      </c>
      <c r="J179" s="14" t="inlineStr">
        <is>
          <t>Catalogo</t>
        </is>
      </c>
      <c r="K179" s="14" t="inlineStr">
        <is>
          <t>3-6 anni</t>
        </is>
      </c>
      <c r="L179" s="14" t="inlineStr">
        <is>
          <t>Catalogo Edizioni Corsare Primavera 2026</t>
        </is>
      </c>
      <c r="M179" s="16" t="n">
        <v>18.9</v>
      </c>
      <c r="N179" s="14" t="inlineStr">
        <is>
          <t>Catalogo Edizioni Corsare Primavera 2026</t>
        </is>
      </c>
      <c r="O179" s="16">
        <f>IF(ISNUMBER(M179),ROUND(M179*(1-Condizioni!$B$2),2),"")</f>
        <v/>
      </c>
      <c r="P179" s="17" t="inlineStr">
        <is>
          <t>Sì</t>
        </is>
      </c>
    </row>
    <row r="180">
      <c r="A180" s="14" t="inlineStr">
        <is>
          <t>Settenove</t>
        </is>
      </c>
      <c r="B180" s="14" t="inlineStr">
        <is>
          <t>Il mondo ha bisogno delle ragazze (di me)</t>
        </is>
      </c>
      <c r="C180" s="14" t="inlineStr">
        <is>
          <t>Alessandra Spada</t>
        </is>
      </c>
      <c r="D180" s="14" t="inlineStr">
        <is>
          <t>Albi illustrati / Narrativa / Educazione al genere</t>
        </is>
      </c>
      <c r="E180" s="14" t="inlineStr">
        <is>
          <t>da 10 anni</t>
        </is>
      </c>
      <c r="F180" s="14" t="inlineStr">
        <is>
          <t>10+</t>
        </is>
      </c>
      <c r="G180" s="14" t="inlineStr">
        <is>
          <t>Narrativa</t>
        </is>
      </c>
      <c r="H180" s="14" t="inlineStr">
        <is>
          <t>Parità di genere</t>
        </is>
      </c>
      <c r="I180" s="14" t="inlineStr">
        <is>
          <t>No</t>
        </is>
      </c>
      <c r="J180" s="14" t="inlineStr">
        <is>
          <t>Catalogo</t>
        </is>
      </c>
      <c r="K180" s="14" t="inlineStr">
        <is>
          <t>10+, narrativa</t>
        </is>
      </c>
      <c r="L180" s="14" t="inlineStr">
        <is>
          <t>https://www.settenove.it/catalogo/narrativa/5</t>
        </is>
      </c>
      <c r="M180" s="16" t="n">
        <v>14.9</v>
      </c>
      <c r="N180" s="14" t="inlineStr">
        <is>
          <t>Sito Settenove (prezzo di copertina)</t>
        </is>
      </c>
      <c r="O180" s="16">
        <f>IF(ISNUMBER(M180),ROUND(M180*(1-Condizioni!$B$2),2),"")</f>
        <v/>
      </c>
      <c r="P180" s="17" t="inlineStr">
        <is>
          <t>Sì</t>
        </is>
      </c>
    </row>
    <row r="181">
      <c r="A181" s="14" t="inlineStr">
        <is>
          <t>Edizioni Corsare</t>
        </is>
      </c>
      <c r="B181" s="14" t="inlineStr">
        <is>
          <t>Americhea</t>
        </is>
      </c>
      <c r="C181" s="14" t="inlineStr">
        <is>
          <t>Antonella Restelli; ill. Sara Cimarosti</t>
        </is>
      </c>
      <c r="D181" s="14" t="inlineStr">
        <is>
          <t>Narrativa YA / Border</t>
        </is>
      </c>
      <c r="E181" s="14" t="inlineStr">
        <is>
          <t>14+</t>
        </is>
      </c>
      <c r="F181" s="14" t="inlineStr">
        <is>
          <t>Adolescenza (14+)</t>
        </is>
      </c>
      <c r="G181" s="14" t="inlineStr">
        <is>
          <t>Romanzo</t>
        </is>
      </c>
      <c r="H181" s="14" t="inlineStr">
        <is>
          <t>Parità di genere e violenza</t>
        </is>
      </c>
      <c r="I181" s="14" t="inlineStr">
        <is>
          <t>No</t>
        </is>
      </c>
      <c r="J181" s="14" t="inlineStr">
        <is>
          <t>Catalogo</t>
        </is>
      </c>
      <c r="K181" s="14" t="inlineStr">
        <is>
          <t>adolescenza, romanzo, narrativa</t>
        </is>
      </c>
      <c r="L181" s="14" t="inlineStr">
        <is>
          <t>https://www.edizionicorsare.it/categoria-prodotto/collane/border-young-adult/</t>
        </is>
      </c>
      <c r="M181" s="16" t="n">
        <v>16</v>
      </c>
      <c r="N181" s="14" t="inlineStr">
        <is>
          <t>Catalogo Edizioni Corsare Primavera 2026</t>
        </is>
      </c>
      <c r="O181" s="16">
        <f>IF(ISNUMBER(M181),ROUND(M181*(1-Condizioni!$B$2),2),"")</f>
        <v/>
      </c>
      <c r="P181" s="17" t="inlineStr">
        <is>
          <t>Sì</t>
        </is>
      </c>
    </row>
    <row r="182">
      <c r="A182" s="14" t="inlineStr">
        <is>
          <t>Settenove</t>
        </is>
      </c>
      <c r="B182" s="14" t="inlineStr">
        <is>
          <t>Giorgia e Giorgio. W i nonni!</t>
        </is>
      </c>
      <c r="C182" s="14" t="inlineStr">
        <is>
          <t>C. Obber; ill. S. Vinciguerra</t>
        </is>
      </c>
      <c r="D182" s="14" t="inlineStr">
        <is>
          <t>Albi illustrati / Narrativa / Educazione al genere</t>
        </is>
      </c>
      <c r="E182" s="14" t="inlineStr">
        <is>
          <t>da 3 anni</t>
        </is>
      </c>
      <c r="F182" s="14" t="inlineStr">
        <is>
          <t>3-6 anni</t>
        </is>
      </c>
      <c r="G182" s="14" t="inlineStr">
        <is>
          <t>Albo illustrato</t>
        </is>
      </c>
      <c r="H182" s="14" t="inlineStr">
        <is>
          <t>Parità e famiglia (serie Giorgia e Giorgio)</t>
        </is>
      </c>
      <c r="I182" s="14" t="inlineStr">
        <is>
          <t>No</t>
        </is>
      </c>
      <c r="J182" s="14" t="inlineStr">
        <is>
          <t>Catalogo</t>
        </is>
      </c>
      <c r="K182" s="14" t="inlineStr">
        <is>
          <t>3-6 anni</t>
        </is>
      </c>
      <c r="L182" s="14" t="inlineStr">
        <is>
          <t>https://www.settenove.it/catalogo/narrativa/5</t>
        </is>
      </c>
      <c r="M182" s="16" t="n">
        <v>13.5</v>
      </c>
      <c r="N182" s="14" t="inlineStr">
        <is>
          <t>Sito Settenove (prezzo di copertina)</t>
        </is>
      </c>
      <c r="O182" s="16">
        <f>IF(ISNUMBER(M182),ROUND(M182*(1-Condizioni!$B$2),2),"")</f>
        <v/>
      </c>
      <c r="P182" s="17" t="inlineStr">
        <is>
          <t>Sì</t>
        </is>
      </c>
    </row>
    <row r="183">
      <c r="A183" s="14" t="inlineStr">
        <is>
          <t>Edizioni Corsare</t>
        </is>
      </c>
      <c r="B183" s="14" t="inlineStr">
        <is>
          <t>MALdiPAURA</t>
        </is>
      </c>
      <c r="C183" s="14" t="inlineStr">
        <is>
          <t>Chiara Ingrao; ill. Giulia Pintus</t>
        </is>
      </c>
      <c r="D183" s="14" t="inlineStr">
        <is>
          <t>Area ragazzi (albi illustrati)</t>
        </is>
      </c>
      <c r="E183" s="14" t="inlineStr">
        <is>
          <t>da 5 anni e per tutti</t>
        </is>
      </c>
      <c r="F183" s="14" t="inlineStr">
        <is>
          <t>3-6 anni</t>
        </is>
      </c>
      <c r="G183" s="14" t="inlineStr">
        <is>
          <t>Albo illustrato</t>
        </is>
      </c>
      <c r="H183" s="14" t="inlineStr">
        <is>
          <t>Paure di grandi e piccoli</t>
        </is>
      </c>
      <c r="I183" s="14" t="inlineStr">
        <is>
          <t>No</t>
        </is>
      </c>
      <c r="J183" s="14" t="inlineStr">
        <is>
          <t>Catalogo</t>
        </is>
      </c>
      <c r="K183" s="14" t="inlineStr">
        <is>
          <t>3-6 anni</t>
        </is>
      </c>
      <c r="L183" s="14" t="inlineStr">
        <is>
          <t>Catalogo Edizioni Corsare Primavera 2026</t>
        </is>
      </c>
      <c r="M183" s="16" t="n">
        <v>16</v>
      </c>
      <c r="N183" s="14" t="inlineStr">
        <is>
          <t>Catalogo Edizioni Corsare Primavera 2026</t>
        </is>
      </c>
      <c r="O183" s="16">
        <f>IF(ISNUMBER(M183),ROUND(M183*(1-Condizioni!$B$2),2),"")</f>
        <v/>
      </c>
      <c r="P183" s="17" t="inlineStr">
        <is>
          <t>Sì</t>
        </is>
      </c>
    </row>
    <row r="184">
      <c r="A184" s="14" t="inlineStr">
        <is>
          <t>Pelledoca</t>
        </is>
      </c>
      <c r="B184" s="14" t="inlineStr">
        <is>
          <t>Le Regole della Rabbia</t>
        </is>
      </c>
      <c r="C184" s="14" t="inlineStr">
        <is>
          <t>Mariapaola Pesce</t>
        </is>
      </c>
      <c r="D184" s="14" t="inlineStr">
        <is>
          <t>NeroInchiostro</t>
        </is>
      </c>
      <c r="E184" s="14" t="inlineStr">
        <is>
          <t>Dai 12 anni</t>
        </is>
      </c>
      <c r="F184" s="14" t="inlineStr">
        <is>
          <t>Scuola media (11-13)</t>
        </is>
      </c>
      <c r="G184" s="14" t="inlineStr">
        <is>
          <t>Romanzo</t>
        </is>
      </c>
      <c r="H184" s="14" t="inlineStr">
        <is>
          <t>Perdita e rabbia</t>
        </is>
      </c>
      <c r="I184" s="14" t="inlineStr">
        <is>
          <t>No</t>
        </is>
      </c>
      <c r="J184" s="14" t="inlineStr">
        <is>
          <t>Catalogo</t>
        </is>
      </c>
      <c r="K184" s="14" t="inlineStr">
        <is>
          <t>prima/seconda/terza media, romanzo, narrativa</t>
        </is>
      </c>
      <c r="L184" s="14" t="inlineStr">
        <is>
          <t>Catalogo Pelledoca 2025 (ISBN 9788832790498)</t>
        </is>
      </c>
      <c r="M184" s="16" t="n">
        <v>16</v>
      </c>
      <c r="N184" s="14" t="inlineStr">
        <is>
          <t>Catalogo Pelledoca 2025</t>
        </is>
      </c>
      <c r="O184" s="16">
        <f>IF(ISNUMBER(M184),ROUND(M184*(1-Condizioni!$B$2),2),"")</f>
        <v/>
      </c>
      <c r="P184" s="17" t="inlineStr">
        <is>
          <t>No</t>
        </is>
      </c>
    </row>
    <row r="185">
      <c r="A185" s="14" t="inlineStr">
        <is>
          <t>Camelozampa</t>
        </is>
      </c>
      <c r="B185" s="14" t="inlineStr">
        <is>
          <t>Isidoro e la luna</t>
        </is>
      </c>
      <c r="C185" s="14" t="inlineStr">
        <is>
          <t>(vedi scheda)</t>
        </is>
      </c>
      <c r="D185" s="14" t="inlineStr">
        <is>
          <t>Narrativa / Gruppi di lettura</t>
        </is>
      </c>
      <c r="E185" s="14" t="inlineStr">
        <is>
          <t>da 7 anni</t>
        </is>
      </c>
      <c r="F185" s="14" t="inlineStr">
        <is>
          <t>Prime letture (6-8)</t>
        </is>
      </c>
      <c r="G185" s="14" t="inlineStr">
        <is>
          <t>Avventura</t>
        </is>
      </c>
      <c r="H185" s="14" t="inlineStr">
        <is>
          <t>Potere della parola</t>
        </is>
      </c>
      <c r="I185" s="14" t="inlineStr">
        <is>
          <t>No</t>
        </is>
      </c>
      <c r="J185" s="14" t="inlineStr">
        <is>
          <t>Catalogo</t>
        </is>
      </c>
      <c r="K185" s="14" t="inlineStr">
        <is>
          <t>prime letture, avventura, narrativa</t>
        </is>
      </c>
      <c r="L185" s="14" t="inlineStr">
        <is>
          <t>https://www.camelozampa.com/gruppi-di-lettura/</t>
        </is>
      </c>
      <c r="M185" s="16" t="n">
        <v>15.9</v>
      </c>
      <c r="N185" s="14" t="inlineStr">
        <is>
          <t>Catalogo Camelozampa 2026</t>
        </is>
      </c>
      <c r="O185" s="16">
        <f>IF(ISNUMBER(M185),ROUND(M185*(1-Condizioni!$B$2),2),"")</f>
        <v/>
      </c>
      <c r="P185" s="17" t="inlineStr">
        <is>
          <t>Sì</t>
        </is>
      </c>
    </row>
    <row r="186">
      <c r="A186" s="14" t="inlineStr">
        <is>
          <t>Edizioni Corsare</t>
        </is>
      </c>
      <c r="B186" s="14" t="inlineStr">
        <is>
          <t>Alieni</t>
        </is>
      </c>
      <c r="C186" s="14" t="inlineStr">
        <is>
          <t>Stefania Gatti</t>
        </is>
      </c>
      <c r="D186" s="14" t="inlineStr">
        <is>
          <t>Storie corsare</t>
        </is>
      </c>
      <c r="E186" s="14" t="inlineStr">
        <is>
          <t>da 9 anni</t>
        </is>
      </c>
      <c r="F186" s="14" t="inlineStr">
        <is>
          <t>9+</t>
        </is>
      </c>
      <c r="G186" s="14" t="inlineStr">
        <is>
          <t>Avventura</t>
        </is>
      </c>
      <c r="H186" s="14" t="inlineStr">
        <is>
          <t>Prese in giro, amicizia e ambiente</t>
        </is>
      </c>
      <c r="I186" s="14" t="inlineStr">
        <is>
          <t>No</t>
        </is>
      </c>
      <c r="J186" s="14" t="inlineStr">
        <is>
          <t>Catalogo</t>
        </is>
      </c>
      <c r="K186" s="14" t="inlineStr">
        <is>
          <t>9+, avventura, narrativa</t>
        </is>
      </c>
      <c r="L186" s="14" t="inlineStr">
        <is>
          <t>https://www.edizionicorsare.it/categoria-prodotto/collane/storie-corsare/</t>
        </is>
      </c>
      <c r="M186" s="16" t="n">
        <v>12</v>
      </c>
      <c r="N186" s="14" t="inlineStr">
        <is>
          <t>Catalogo Edizioni Corsare Primavera 2026</t>
        </is>
      </c>
      <c r="O186" s="16">
        <f>IF(ISNUMBER(M186),ROUND(M186*(1-Condizioni!$B$2),2),"")</f>
        <v/>
      </c>
      <c r="P186" s="17" t="inlineStr">
        <is>
          <t>Sì</t>
        </is>
      </c>
    </row>
    <row r="187">
      <c r="A187" s="14" t="inlineStr">
        <is>
          <t>Edizioni Corsare</t>
        </is>
      </c>
      <c r="B187" s="14" t="inlineStr">
        <is>
          <t>Farfalle</t>
        </is>
      </c>
      <c r="C187" s="14" t="inlineStr">
        <is>
          <t>Lisa Riccardi; ill. Anna Mosca</t>
        </is>
      </c>
      <c r="D187" s="14" t="inlineStr">
        <is>
          <t>Area ragazzi (albi illustrati)</t>
        </is>
      </c>
      <c r="E187" s="14" t="inlineStr">
        <is>
          <t>da 5 anni</t>
        </is>
      </c>
      <c r="F187" s="14" t="inlineStr">
        <is>
          <t>3-6 anni</t>
        </is>
      </c>
      <c r="G187" s="14" t="inlineStr">
        <is>
          <t>Albo illustrato</t>
        </is>
      </c>
      <c r="H187" s="14" t="inlineStr">
        <is>
          <t>Primi amori ed emozioni</t>
        </is>
      </c>
      <c r="I187" s="14" t="inlineStr">
        <is>
          <t>No</t>
        </is>
      </c>
      <c r="J187" s="14" t="inlineStr">
        <is>
          <t>Catalogo</t>
        </is>
      </c>
      <c r="K187" s="14" t="inlineStr">
        <is>
          <t>3-6 anni</t>
        </is>
      </c>
      <c r="L187" s="14" t="inlineStr">
        <is>
          <t>https://www.libraccio.it/editore/edizioni-corsare/libri.html</t>
        </is>
      </c>
      <c r="M187" s="16" t="n">
        <v>18</v>
      </c>
      <c r="N187" s="14" t="inlineStr">
        <is>
          <t>Catalogo Edizioni Corsare Primavera 2026</t>
        </is>
      </c>
      <c r="O187" s="16">
        <f>IF(ISNUMBER(M187),ROUND(M187*(1-Condizioni!$B$2),2),"")</f>
        <v/>
      </c>
      <c r="P187" s="17" t="inlineStr">
        <is>
          <t>Sì</t>
        </is>
      </c>
    </row>
    <row r="188">
      <c r="A188" s="14" t="inlineStr">
        <is>
          <t>BeccoGiallo</t>
        </is>
      </c>
      <c r="B188" s="14" t="inlineStr">
        <is>
          <t>Il razzismo spiegato ai bambini</t>
        </is>
      </c>
      <c r="C188" s="14" t="inlineStr">
        <is>
          <t>Mattia Ferri, Roberta Taboni e Marco Bonatti</t>
        </is>
      </c>
      <c r="D188" s="14" t="inlineStr">
        <is>
          <t>Kids / CriticalKids</t>
        </is>
      </c>
      <c r="E188" s="14" t="inlineStr">
        <is>
          <t>da 5 anni</t>
        </is>
      </c>
      <c r="F188" s="14" t="inlineStr">
        <is>
          <t>3-6 anni</t>
        </is>
      </c>
      <c r="G188" s="14" t="inlineStr">
        <is>
          <t>Divulgazione/Saggio</t>
        </is>
      </c>
      <c r="H188" s="14" t="inlineStr">
        <is>
          <t>Razzismo e pregiudizio</t>
        </is>
      </c>
      <c r="I188" s="14" t="inlineStr">
        <is>
          <t>No</t>
        </is>
      </c>
      <c r="J188" s="14" t="inlineStr">
        <is>
          <t>Collana</t>
        </is>
      </c>
      <c r="K188" s="14" t="inlineStr">
        <is>
          <t>3-6 anni</t>
        </is>
      </c>
      <c r="L188" s="14" t="inlineStr">
        <is>
          <t>https://www.beccogiallo.it/categoria-prodotto/kids/criticalkids/</t>
        </is>
      </c>
      <c r="M188" s="16" t="n">
        <v>14</v>
      </c>
      <c r="N188" s="14" t="inlineStr">
        <is>
          <t>Sito BeccoGiallo (prezzo di listino)</t>
        </is>
      </c>
      <c r="O188" s="16">
        <f>IF(ISNUMBER(M188),ROUND(M188*(1-Condizioni!$B$2),2),"")</f>
        <v/>
      </c>
      <c r="P188" s="17" t="inlineStr">
        <is>
          <t>Sì</t>
        </is>
      </c>
    </row>
    <row r="189">
      <c r="A189" s="14" t="inlineStr">
        <is>
          <t>effequ</t>
        </is>
      </c>
      <c r="B189" s="14" t="inlineStr">
        <is>
          <t>VIETATO</t>
        </is>
      </c>
      <c r="C189" s="14" t="inlineStr">
        <is>
          <t>Simone Tempia; ill. Marianna Balducci</t>
        </is>
      </c>
      <c r="D189" s="14" t="inlineStr">
        <is>
          <t>Scatoline</t>
        </is>
      </c>
      <c r="E189" s="14" t="inlineStr">
        <is>
          <t>da 5 anni</t>
        </is>
      </c>
      <c r="F189" s="14" t="inlineStr">
        <is>
          <t>3-6 anni</t>
        </is>
      </c>
      <c r="G189" s="14" t="inlineStr">
        <is>
          <t>Divulgazione/Saggio</t>
        </is>
      </c>
      <c r="H189" s="14" t="inlineStr">
        <is>
          <t>Regole e limiti</t>
        </is>
      </c>
      <c r="I189" s="14" t="inlineStr">
        <is>
          <t>No</t>
        </is>
      </c>
      <c r="J189" s="14" t="inlineStr">
        <is>
          <t>Catalogo</t>
        </is>
      </c>
      <c r="K189" s="14" t="inlineStr">
        <is>
          <t>3-6 anni</t>
        </is>
      </c>
      <c r="L189" s="14" t="inlineStr">
        <is>
          <t>https://www.effequ.it/</t>
        </is>
      </c>
      <c r="M189" s="16" t="n">
        <v>6</v>
      </c>
      <c r="N189" s="14" t="inlineStr">
        <is>
          <t>https://www.effequ.it/</t>
        </is>
      </c>
      <c r="O189" s="16">
        <f>IF(ISNUMBER(M189),ROUND(M189*(1-Condizioni!$B$2),2),"")</f>
        <v/>
      </c>
      <c r="P189" s="17" t="inlineStr">
        <is>
          <t>Sì</t>
        </is>
      </c>
    </row>
    <row r="190">
      <c r="A190" s="14" t="inlineStr">
        <is>
          <t>Tunuè</t>
        </is>
      </c>
      <c r="B190" s="14" t="inlineStr">
        <is>
          <t>Noi due</t>
        </is>
      </c>
      <c r="C190" s="14" t="inlineStr">
        <is>
          <t>n.d.</t>
        </is>
      </c>
      <c r="D190" s="14" t="inlineStr">
        <is>
          <t>Young Adult</t>
        </is>
      </c>
      <c r="E190" s="14" t="inlineStr">
        <is>
          <t>12-21</t>
        </is>
      </c>
      <c r="F190" s="14" t="inlineStr">
        <is>
          <t>Adolescenza (14+)</t>
        </is>
      </c>
      <c r="G190" s="14" t="inlineStr">
        <is>
          <t>Graphic novel/Fumetto</t>
        </is>
      </c>
      <c r="H190" s="14" t="inlineStr">
        <is>
          <t>Relazioni</t>
        </is>
      </c>
      <c r="I190" s="14" t="inlineStr">
        <is>
          <t>No</t>
        </is>
      </c>
      <c r="J190" s="14" t="inlineStr">
        <is>
          <t>Catalogo</t>
        </is>
      </c>
      <c r="K190" s="14" t="inlineStr">
        <is>
          <t>adolescenza</t>
        </is>
      </c>
      <c r="L190" s="14" t="inlineStr">
        <is>
          <t>https://www.tunue.com/product-category/young-adult/</t>
        </is>
      </c>
      <c r="M190" s="16" t="n">
        <v>17.5</v>
      </c>
      <c r="N190" s="14" t="inlineStr">
        <is>
          <t>https://www.ibs.it/x/e/9788867906895</t>
        </is>
      </c>
      <c r="O190" s="16">
        <f>IF(ISNUMBER(M190),ROUND(M190*(1-Condizioni!$B$2),2),"")</f>
        <v/>
      </c>
      <c r="P190" s="17" t="inlineStr">
        <is>
          <t>Sì</t>
        </is>
      </c>
    </row>
    <row r="191">
      <c r="A191" s="14" t="inlineStr">
        <is>
          <t>Camelozampa</t>
        </is>
      </c>
      <c r="B191" s="14" t="inlineStr">
        <is>
          <t>Quell'estate con Yente</t>
        </is>
      </c>
      <c r="C191" s="14" t="inlineStr">
        <is>
          <t>(vedi scheda)</t>
        </is>
      </c>
      <c r="D191" s="14" t="inlineStr">
        <is>
          <t>Narrativa / Gruppi di lettura</t>
        </is>
      </c>
      <c r="E191" s="14" t="inlineStr">
        <is>
          <t>10-14 anni</t>
        </is>
      </c>
      <c r="F191" s="14" t="inlineStr">
        <is>
          <t>Scuola media (11-13)</t>
        </is>
      </c>
      <c r="G191" s="14" t="inlineStr">
        <is>
          <t>Romanzo</t>
        </is>
      </c>
      <c r="H191" s="14" t="inlineStr">
        <is>
          <t>Relazioni tossiche</t>
        </is>
      </c>
      <c r="I191" s="14" t="inlineStr">
        <is>
          <t>No</t>
        </is>
      </c>
      <c r="J191" s="14" t="inlineStr">
        <is>
          <t>Catalogo</t>
        </is>
      </c>
      <c r="K191" s="14" t="inlineStr">
        <is>
          <t>prima/seconda/terza media, romanzo, narrativa</t>
        </is>
      </c>
      <c r="L191" s="14" t="inlineStr">
        <is>
          <t>https://www.camelozampa.com/gruppi-di-lettura/</t>
        </is>
      </c>
      <c r="M191" s="16" t="n">
        <v>16.9</v>
      </c>
      <c r="N191" s="14" t="inlineStr">
        <is>
          <t>Catalogo Camelozampa 2026</t>
        </is>
      </c>
      <c r="O191" s="16">
        <f>IF(ISNUMBER(M191),ROUND(M191*(1-Condizioni!$B$2),2),"")</f>
        <v/>
      </c>
      <c r="P191" s="17" t="inlineStr">
        <is>
          <t>Sì</t>
        </is>
      </c>
    </row>
    <row r="192">
      <c r="A192" s="14" t="inlineStr">
        <is>
          <t>BeccoGiallo</t>
        </is>
      </c>
      <c r="B192" s="14" t="inlineStr">
        <is>
          <t>La Resistenza spiegata ai bambini</t>
        </is>
      </c>
      <c r="C192" s="14" t="inlineStr">
        <is>
          <t>Francesca Parmigiani</t>
        </is>
      </c>
      <c r="D192" s="14" t="inlineStr">
        <is>
          <t>Kids / CriticalKids</t>
        </is>
      </c>
      <c r="E192" s="14" t="inlineStr">
        <is>
          <t>da 9 anni</t>
        </is>
      </c>
      <c r="F192" s="14" t="inlineStr">
        <is>
          <t>9+</t>
        </is>
      </c>
      <c r="G192" s="14" t="inlineStr">
        <is>
          <t>Divulgazione/Saggio</t>
        </is>
      </c>
      <c r="H192" s="14" t="inlineStr">
        <is>
          <t>Resistenza e libertà</t>
        </is>
      </c>
      <c r="I192" s="14" t="inlineStr">
        <is>
          <t>No</t>
        </is>
      </c>
      <c r="J192" s="14" t="inlineStr">
        <is>
          <t>Verificata (IBS / editore)</t>
        </is>
      </c>
      <c r="K192" s="14" t="inlineStr">
        <is>
          <t>9+</t>
        </is>
      </c>
      <c r="L192" s="14" t="inlineStr">
        <is>
          <t>https://www.beccogiallo.it/categoria-prodotto/kids/</t>
        </is>
      </c>
      <c r="M192" s="16" t="n">
        <v>14</v>
      </c>
      <c r="N192" s="14" t="inlineStr">
        <is>
          <t>Sito BeccoGiallo (prezzo di listino)</t>
        </is>
      </c>
      <c r="O192" s="16">
        <f>IF(ISNUMBER(M192),ROUND(M192*(1-Condizioni!$B$2),2),"")</f>
        <v/>
      </c>
      <c r="P192" s="17" t="inlineStr">
        <is>
          <t>Sì</t>
        </is>
      </c>
    </row>
    <row r="193">
      <c r="A193" s="14" t="inlineStr">
        <is>
          <t>Camelozampa</t>
        </is>
      </c>
      <c r="B193" s="14" t="inlineStr">
        <is>
          <t>Vulcano</t>
        </is>
      </c>
      <c r="C193" s="14" t="inlineStr">
        <is>
          <t>(vedi scheda)</t>
        </is>
      </c>
      <c r="D193" s="14" t="inlineStr">
        <is>
          <t>Narrativa / Gruppi di lettura</t>
        </is>
      </c>
      <c r="E193" s="14" t="inlineStr">
        <is>
          <t>14-18 anni</t>
        </is>
      </c>
      <c r="F193" s="14" t="inlineStr">
        <is>
          <t>Adolescenza (14+)</t>
        </is>
      </c>
      <c r="G193" s="14" t="inlineStr">
        <is>
          <t>Romanzo</t>
        </is>
      </c>
      <c r="H193" s="14" t="inlineStr">
        <is>
          <t>Ricerca di sé</t>
        </is>
      </c>
      <c r="I193" s="14" t="inlineStr">
        <is>
          <t>No</t>
        </is>
      </c>
      <c r="J193" s="14" t="inlineStr">
        <is>
          <t>Catalogo</t>
        </is>
      </c>
      <c r="K193" s="14" t="inlineStr">
        <is>
          <t>adolescenza, romanzo, narrativa</t>
        </is>
      </c>
      <c r="L193" s="14" t="inlineStr">
        <is>
          <t>https://www.camelozampa.com/gruppi-di-lettura/</t>
        </is>
      </c>
      <c r="M193" s="16" t="n">
        <v>18.9</v>
      </c>
      <c r="N193" s="14" t="inlineStr">
        <is>
          <t>Catalogo Camelozampa 2026</t>
        </is>
      </c>
      <c r="O193" s="16">
        <f>IF(ISNUMBER(M193),ROUND(M193*(1-Condizioni!$B$2),2),"")</f>
        <v/>
      </c>
      <c r="P193" s="17" t="inlineStr">
        <is>
          <t>Sì</t>
        </is>
      </c>
    </row>
    <row r="194">
      <c r="A194" s="14" t="inlineStr">
        <is>
          <t>Momo Edizioni</t>
        </is>
      </c>
      <c r="B194" s="14" t="inlineStr">
        <is>
          <t>Animalia. Il mio primo bestiario</t>
        </is>
      </c>
      <c r="C194" s="14" t="inlineStr">
        <is>
          <t>Marco Iuffrida</t>
        </is>
      </c>
      <c r="D194" s="14" t="inlineStr">
        <is>
          <t>Libri Monelli</t>
        </is>
      </c>
      <c r="E194" s="14" t="inlineStr">
        <is>
          <t>da 4 anni</t>
        </is>
      </c>
      <c r="F194" s="14" t="inlineStr">
        <is>
          <t>3-6 anni</t>
        </is>
      </c>
      <c r="G194" s="14" t="inlineStr">
        <is>
          <t>Albo illustrato</t>
        </is>
      </c>
      <c r="H194" s="14" t="inlineStr">
        <is>
          <t>Rispetto per gli animali e conoscenza di sé</t>
        </is>
      </c>
      <c r="I194" s="14" t="inlineStr">
        <is>
          <t>No</t>
        </is>
      </c>
      <c r="J194" s="14" t="inlineStr">
        <is>
          <t>Catalogo</t>
        </is>
      </c>
      <c r="K194" s="14" t="inlineStr">
        <is>
          <t>3-6 anni</t>
        </is>
      </c>
      <c r="L194" s="14" t="inlineStr">
        <is>
          <t>https://momoedizioni.it/categoria/libri/libri-monelli/</t>
        </is>
      </c>
      <c r="M194" s="16" t="n">
        <v>15</v>
      </c>
      <c r="N194" s="14" t="inlineStr">
        <is>
          <t>Sito Momo Edizioni</t>
        </is>
      </c>
      <c r="O194" s="16">
        <f>IF(ISNUMBER(M194),ROUND(M194*(1-Condizioni!$B$2),2),"")</f>
        <v/>
      </c>
      <c r="P194" s="17" t="inlineStr">
        <is>
          <t>Sì</t>
        </is>
      </c>
    </row>
    <row r="195">
      <c r="A195" s="14" t="inlineStr">
        <is>
          <t>Edizioni Corsare</t>
        </is>
      </c>
      <c r="B195" s="14" t="inlineStr">
        <is>
          <t>Roka il figlio della terra</t>
        </is>
      </c>
      <c r="C195" s="14" t="inlineStr">
        <is>
          <t>Dino Ticli</t>
        </is>
      </c>
      <c r="D195" s="14" t="inlineStr">
        <is>
          <t>Storie corsare</t>
        </is>
      </c>
      <c r="E195" s="14" t="inlineStr">
        <is>
          <t>da 9 anni</t>
        </is>
      </c>
      <c r="F195" s="14" t="inlineStr">
        <is>
          <t>9+</t>
        </is>
      </c>
      <c r="G195" s="14" t="inlineStr">
        <is>
          <t>Avventura</t>
        </is>
      </c>
      <c r="H195" s="14" t="inlineStr">
        <is>
          <t>Rispetto per l’altro e preistoria</t>
        </is>
      </c>
      <c r="I195" s="14" t="inlineStr">
        <is>
          <t>No</t>
        </is>
      </c>
      <c r="J195" s="14" t="inlineStr">
        <is>
          <t>Catalogo</t>
        </is>
      </c>
      <c r="K195" s="14" t="inlineStr">
        <is>
          <t>9+, avventura, narrativa</t>
        </is>
      </c>
      <c r="L195" s="14" t="inlineStr">
        <is>
          <t>https://www.edizionicorsare.it/categoria-prodotto/collane/storie-corsare/</t>
        </is>
      </c>
      <c r="M195" s="16" t="n">
        <v>12</v>
      </c>
      <c r="N195" s="14" t="inlineStr">
        <is>
          <t>Catalogo Edizioni Corsare Primavera 2026</t>
        </is>
      </c>
      <c r="O195" s="16">
        <f>IF(ISNUMBER(M195),ROUND(M195*(1-Condizioni!$B$2),2),"")</f>
        <v/>
      </c>
      <c r="P195" s="17" t="inlineStr">
        <is>
          <t>Sì</t>
        </is>
      </c>
    </row>
    <row r="196">
      <c r="A196" s="14" t="inlineStr">
        <is>
          <t>Settenove</t>
        </is>
      </c>
      <c r="B196" s="14" t="inlineStr">
        <is>
          <t>Papà aspetta un bimbo!</t>
        </is>
      </c>
      <c r="C196" s="14" t="inlineStr">
        <is>
          <t>F. Loew; ill. S.-Y. Barroux</t>
        </is>
      </c>
      <c r="D196" s="14" t="inlineStr">
        <is>
          <t>Albi illustrati / Narrativa / Educazione al genere</t>
        </is>
      </c>
      <c r="E196" s="14" t="inlineStr">
        <is>
          <t>da 4 anni</t>
        </is>
      </c>
      <c r="F196" s="14" t="inlineStr">
        <is>
          <t>3-6 anni</t>
        </is>
      </c>
      <c r="G196" s="14" t="inlineStr">
        <is>
          <t>Albo illustrato</t>
        </is>
      </c>
      <c r="H196" s="14" t="inlineStr">
        <is>
          <t>Ruoli familiari e genitorialità</t>
        </is>
      </c>
      <c r="I196" s="14" t="inlineStr">
        <is>
          <t>No</t>
        </is>
      </c>
      <c r="J196" s="14" t="inlineStr">
        <is>
          <t>Verificata (IBS / editore)</t>
        </is>
      </c>
      <c r="K196" s="14" t="inlineStr">
        <is>
          <t>3-6 anni</t>
        </is>
      </c>
      <c r="L196" s="14" t="inlineStr">
        <is>
          <t>https://www.settenove.it/catalogo/narrativa/5</t>
        </is>
      </c>
      <c r="M196" s="16" t="n">
        <v>16</v>
      </c>
      <c r="N196" s="14" t="inlineStr">
        <is>
          <t>Sito Settenove (prezzo di copertina)</t>
        </is>
      </c>
      <c r="O196" s="16">
        <f>IF(ISNUMBER(M196),ROUND(M196*(1-Condizioni!$B$2),2),"")</f>
        <v/>
      </c>
      <c r="P196" s="17" t="inlineStr">
        <is>
          <t>Sì</t>
        </is>
      </c>
    </row>
    <row r="197">
      <c r="A197" s="14" t="inlineStr">
        <is>
          <t>Camelozampa</t>
        </is>
      </c>
      <c r="B197" s="14" t="inlineStr">
        <is>
          <t>Lemming e fiocchi di neve</t>
        </is>
      </c>
      <c r="C197" s="14" t="inlineStr">
        <is>
          <t>(vedi scheda)</t>
        </is>
      </c>
      <c r="D197" s="14" t="inlineStr">
        <is>
          <t>Narrativa / Gruppi di lettura</t>
        </is>
      </c>
      <c r="E197" s="14" t="inlineStr">
        <is>
          <t>dai 14 anni</t>
        </is>
      </c>
      <c r="F197" s="14" t="inlineStr">
        <is>
          <t>Adolescenza (14+)</t>
        </is>
      </c>
      <c r="G197" s="14" t="inlineStr">
        <is>
          <t>Romanzo</t>
        </is>
      </c>
      <c r="H197" s="14" t="inlineStr">
        <is>
          <t>Salute mentale</t>
        </is>
      </c>
      <c r="I197" s="14" t="inlineStr">
        <is>
          <t>No</t>
        </is>
      </c>
      <c r="J197" s="14" t="inlineStr">
        <is>
          <t>Catalogo</t>
        </is>
      </c>
      <c r="K197" s="14" t="inlineStr">
        <is>
          <t>adolescenza, romanzo, narrativa</t>
        </is>
      </c>
      <c r="L197" s="14" t="inlineStr">
        <is>
          <t>https://www.camelozampa.com/gruppi-di-lettura/</t>
        </is>
      </c>
      <c r="M197" s="16" t="n">
        <v>19.9</v>
      </c>
      <c r="N197" s="14" t="inlineStr">
        <is>
          <t>Catalogo Camelozampa 2026</t>
        </is>
      </c>
      <c r="O197" s="16">
        <f>IF(ISNUMBER(M197),ROUND(M197*(1-Condizioni!$B$2),2),"")</f>
        <v/>
      </c>
      <c r="P197" s="17" t="inlineStr">
        <is>
          <t>Sì</t>
        </is>
      </c>
    </row>
    <row r="198">
      <c r="A198" s="14" t="inlineStr">
        <is>
          <t>BeccoGiallo</t>
        </is>
      </c>
      <c r="B198" s="14" t="inlineStr">
        <is>
          <t>Paleo Stories – Estinzione</t>
        </is>
      </c>
      <c r="C198" s="14" t="inlineStr">
        <is>
          <t>Emanuele Apostolidis, Elena Ghezzo e Michela Peloso</t>
        </is>
      </c>
      <c r="D198" s="14" t="inlineStr">
        <is>
          <t>Kids</t>
        </is>
      </c>
      <c r="E198" s="14" t="inlineStr">
        <is>
          <t>da 6 anni</t>
        </is>
      </c>
      <c r="F198" s="14" t="inlineStr">
        <is>
          <t>Prime letture (6-8)</t>
        </is>
      </c>
      <c r="G198" s="14" t="inlineStr">
        <is>
          <t>Graphic novel/Fumetto</t>
        </is>
      </c>
      <c r="H198" s="14" t="inlineStr">
        <is>
          <t>Scienza e paleontologia</t>
        </is>
      </c>
      <c r="I198" s="14" t="inlineStr">
        <is>
          <t>No</t>
        </is>
      </c>
      <c r="J198" s="14" t="inlineStr">
        <is>
          <t>Catalogo</t>
        </is>
      </c>
      <c r="K198" s="14" t="inlineStr">
        <is>
          <t>prime letture</t>
        </is>
      </c>
      <c r="L198" s="14" t="inlineStr">
        <is>
          <t>https://www.beccogiallo.it/categoria-prodotto/kids/</t>
        </is>
      </c>
      <c r="M198" s="16" t="n">
        <v>13</v>
      </c>
      <c r="N198" s="14" t="inlineStr">
        <is>
          <t>https://www.ibs.it/x/e/9788833143620</t>
        </is>
      </c>
      <c r="O198" s="16">
        <f>IF(ISNUMBER(M198),ROUND(M198*(1-Condizioni!$B$2),2),"")</f>
        <v/>
      </c>
      <c r="P198" s="17" t="inlineStr">
        <is>
          <t>Sì</t>
        </is>
      </c>
    </row>
    <row r="199">
      <c r="A199" s="14" t="inlineStr">
        <is>
          <t>Edizioni Corsare</t>
        </is>
      </c>
      <c r="B199" s="14" t="inlineStr">
        <is>
          <t>Viola, la gallina e il soldato</t>
        </is>
      </c>
      <c r="C199" s="14" t="inlineStr">
        <is>
          <t>M. Beatrice Masella</t>
        </is>
      </c>
      <c r="D199" s="14" t="inlineStr">
        <is>
          <t>Storie corsare</t>
        </is>
      </c>
      <c r="E199" s="14" t="inlineStr">
        <is>
          <t>da 9 anni</t>
        </is>
      </c>
      <c r="F199" s="14" t="inlineStr">
        <is>
          <t>9+</t>
        </is>
      </c>
      <c r="G199" s="14" t="inlineStr">
        <is>
          <t>Romanzo</t>
        </is>
      </c>
      <c r="H199" s="14" t="inlineStr">
        <is>
          <t>Seconda guerra mondiale e coraggio</t>
        </is>
      </c>
      <c r="I199" s="14" t="inlineStr">
        <is>
          <t>No</t>
        </is>
      </c>
      <c r="J199" s="14" t="inlineStr">
        <is>
          <t>Catalogo</t>
        </is>
      </c>
      <c r="K199" s="14" t="inlineStr">
        <is>
          <t>9+, romanzo, narrativa</t>
        </is>
      </c>
      <c r="L199" s="14" t="inlineStr">
        <is>
          <t>https://www.edizionicorsare.it/categoria-prodotto/collane/storie-corsare/</t>
        </is>
      </c>
      <c r="M199" s="16" t="n">
        <v>12</v>
      </c>
      <c r="N199" s="14" t="inlineStr">
        <is>
          <t>Catalogo Edizioni Corsare Primavera 2026</t>
        </is>
      </c>
      <c r="O199" s="16">
        <f>IF(ISNUMBER(M199),ROUND(M199*(1-Condizioni!$B$2),2),"")</f>
        <v/>
      </c>
      <c r="P199" s="17" t="inlineStr">
        <is>
          <t>Sì</t>
        </is>
      </c>
    </row>
    <row r="200">
      <c r="A200" s="14" t="inlineStr">
        <is>
          <t>Pelledoca</t>
        </is>
      </c>
      <c r="B200" s="14" t="inlineStr">
        <is>
          <t>Dark Web</t>
        </is>
      </c>
      <c r="C200" s="14" t="inlineStr">
        <is>
          <t>Sara Magnoli</t>
        </is>
      </c>
      <c r="D200" s="14" t="inlineStr">
        <is>
          <t>NeroInchiostro</t>
        </is>
      </c>
      <c r="E200" s="14" t="inlineStr">
        <is>
          <t>Dai 12 anni</t>
        </is>
      </c>
      <c r="F200" s="14" t="inlineStr">
        <is>
          <t>Scuola media (11-13)</t>
        </is>
      </c>
      <c r="G200" s="14" t="inlineStr">
        <is>
          <t>Romanzo</t>
        </is>
      </c>
      <c r="H200" s="14" t="inlineStr">
        <is>
          <t>Social network e influencer</t>
        </is>
      </c>
      <c r="I200" s="14" t="inlineStr">
        <is>
          <t>No</t>
        </is>
      </c>
      <c r="J200" s="14" t="inlineStr">
        <is>
          <t>Catalogo</t>
        </is>
      </c>
      <c r="K200" s="14" t="inlineStr">
        <is>
          <t>prima/seconda/terza media, romanzo, narrativa</t>
        </is>
      </c>
      <c r="L200" s="14" t="inlineStr">
        <is>
          <t>Catalogo Pelledoca 2025 (ISBN 9788832790207)</t>
        </is>
      </c>
      <c r="M200" s="16" t="n">
        <v>16</v>
      </c>
      <c r="N200" s="14" t="inlineStr">
        <is>
          <t>Catalogo Pelledoca 2025</t>
        </is>
      </c>
      <c r="O200" s="16">
        <f>IF(ISNUMBER(M200),ROUND(M200*(1-Condizioni!$B$2),2),"")</f>
        <v/>
      </c>
      <c r="P200" s="17" t="inlineStr">
        <is>
          <t>Sì</t>
        </is>
      </c>
    </row>
    <row r="201">
      <c r="A201" s="14" t="inlineStr">
        <is>
          <t>Momo Edizioni</t>
        </is>
      </c>
      <c r="B201" s="14" t="inlineStr">
        <is>
          <t>Libera dal ciclo</t>
        </is>
      </c>
      <c r="C201" s="14" t="inlineStr">
        <is>
          <t>Flavia Fazi</t>
        </is>
      </c>
      <c r="D201" s="14" t="inlineStr">
        <is>
          <t>Libri Monelli</t>
        </is>
      </c>
      <c r="E201" s="14" t="inlineStr">
        <is>
          <t>da 10 anni</t>
        </is>
      </c>
      <c r="F201" s="14" t="inlineStr">
        <is>
          <t>10+</t>
        </is>
      </c>
      <c r="G201" s="14" t="inlineStr">
        <is>
          <t>Divulgazione/Saggio</t>
        </is>
      </c>
      <c r="H201" s="14" t="inlineStr">
        <is>
          <t>Società e attualità</t>
        </is>
      </c>
      <c r="I201" s="14" t="inlineStr">
        <is>
          <t>No</t>
        </is>
      </c>
      <c r="J201" s="14" t="inlineStr">
        <is>
          <t>Catalogo</t>
        </is>
      </c>
      <c r="K201" s="14" t="inlineStr">
        <is>
          <t>10+</t>
        </is>
      </c>
      <c r="L201" s="14" t="inlineStr">
        <is>
          <t>https://momoedizioni.it/categoria/libri/libri-monelli/</t>
        </is>
      </c>
      <c r="M201" s="16" t="n">
        <v>10</v>
      </c>
      <c r="N201" s="14" t="inlineStr">
        <is>
          <t>Sito Momo Edizioni</t>
        </is>
      </c>
      <c r="O201" s="16">
        <f>IF(ISNUMBER(M201),ROUND(M201*(1-Condizioni!$B$2),2),"")</f>
        <v/>
      </c>
      <c r="P201" s="17" t="inlineStr">
        <is>
          <t>Sì</t>
        </is>
      </c>
    </row>
    <row r="202">
      <c r="A202" s="14" t="inlineStr">
        <is>
          <t>Edizioni Corsare</t>
        </is>
      </c>
      <c r="B202" s="14" t="inlineStr">
        <is>
          <t>L'ultimo tornado</t>
        </is>
      </c>
      <c r="C202" s="14" t="inlineStr">
        <is>
          <t>Alberto Bellini</t>
        </is>
      </c>
      <c r="D202" s="14" t="inlineStr">
        <is>
          <t>Narrativa YA / Border</t>
        </is>
      </c>
      <c r="E202" s="14" t="inlineStr">
        <is>
          <t>14+</t>
        </is>
      </c>
      <c r="F202" s="14" t="inlineStr">
        <is>
          <t>Adolescenza (14+)</t>
        </is>
      </c>
      <c r="G202" s="14" t="inlineStr">
        <is>
          <t>Romanzo</t>
        </is>
      </c>
      <c r="H202" s="14" t="inlineStr">
        <is>
          <t>Solitudine e crescita</t>
        </is>
      </c>
      <c r="I202" s="14" t="inlineStr">
        <is>
          <t>No</t>
        </is>
      </c>
      <c r="J202" s="14" t="inlineStr">
        <is>
          <t>Catalogo</t>
        </is>
      </c>
      <c r="K202" s="14" t="inlineStr">
        <is>
          <t>adolescenza, romanzo, narrativa</t>
        </is>
      </c>
      <c r="L202" s="14" t="inlineStr">
        <is>
          <t>https://www.edizionicorsare.it/categoria-prodotto/collane/border-young-adult/</t>
        </is>
      </c>
      <c r="M202" s="16" t="n">
        <v>14</v>
      </c>
      <c r="N202" s="14" t="inlineStr">
        <is>
          <t>Catalogo Edizioni Corsare Primavera 2026</t>
        </is>
      </c>
      <c r="O202" s="16">
        <f>IF(ISNUMBER(M202),ROUND(M202*(1-Condizioni!$B$2),2),"")</f>
        <v/>
      </c>
      <c r="P202" s="17" t="inlineStr">
        <is>
          <t>Sì</t>
        </is>
      </c>
    </row>
    <row r="203">
      <c r="A203" s="14" t="inlineStr">
        <is>
          <t>Edizioni Corsare</t>
        </is>
      </c>
      <c r="B203" s="14" t="inlineStr">
        <is>
          <t>Wonder Football Club (serie)</t>
        </is>
      </c>
      <c r="C203" s="14" t="inlineStr">
        <is>
          <t>Marco Innocenti</t>
        </is>
      </c>
      <c r="D203" s="14" t="inlineStr">
        <is>
          <t>Wonder Football Club</t>
        </is>
      </c>
      <c r="E203" s="14" t="inlineStr">
        <is>
          <t>da 10 anni</t>
        </is>
      </c>
      <c r="F203" s="14" t="inlineStr">
        <is>
          <t>10+</t>
        </is>
      </c>
      <c r="G203" s="14" t="inlineStr">
        <is>
          <t>Romanzo</t>
        </is>
      </c>
      <c r="H203" s="14" t="inlineStr">
        <is>
          <t>Sport, amicizia e lavoro di squadra</t>
        </is>
      </c>
      <c r="I203" s="14" t="inlineStr">
        <is>
          <t>No</t>
        </is>
      </c>
      <c r="J203" s="14" t="inlineStr">
        <is>
          <t>Catalogo</t>
        </is>
      </c>
      <c r="K203" s="14" t="inlineStr">
        <is>
          <t>10+, romanzo, narrativa</t>
        </is>
      </c>
      <c r="L203" s="14" t="inlineStr">
        <is>
          <t>https://www.ibs.it/libri/collane/storie-corsare-p204353</t>
        </is>
      </c>
      <c r="M203" s="16" t="n">
        <v>12</v>
      </c>
      <c r="N203" s="14" t="inlineStr">
        <is>
          <t>Catalogo Edizioni Corsare Primavera 2026</t>
        </is>
      </c>
      <c r="O203" s="16">
        <f>IF(ISNUMBER(M203),ROUND(M203*(1-Condizioni!$B$2),2),"")</f>
        <v/>
      </c>
      <c r="P203" s="17" t="inlineStr">
        <is>
          <t>Sì</t>
        </is>
      </c>
    </row>
    <row r="204">
      <c r="A204" s="14" t="inlineStr">
        <is>
          <t>Settenove</t>
        </is>
      </c>
      <c r="B204" s="14" t="inlineStr">
        <is>
          <t>C'è qualcosa di più noioso che essere una principessa rosa?</t>
        </is>
      </c>
      <c r="C204" s="14" t="inlineStr">
        <is>
          <t>Raquel Díaz Reguera</t>
        </is>
      </c>
      <c r="D204" s="14" t="inlineStr">
        <is>
          <t>Albi illustrati / Narrativa / Educazione al genere</t>
        </is>
      </c>
      <c r="E204" s="14" t="inlineStr">
        <is>
          <t>da 4 anni</t>
        </is>
      </c>
      <c r="F204" s="14" t="inlineStr">
        <is>
          <t>3-6 anni</t>
        </is>
      </c>
      <c r="G204" s="14" t="inlineStr">
        <is>
          <t>Albo illustrato</t>
        </is>
      </c>
      <c r="H204" s="14" t="inlineStr">
        <is>
          <t>Stereotipi di genere</t>
        </is>
      </c>
      <c r="I204" s="14" t="inlineStr">
        <is>
          <t>No</t>
        </is>
      </c>
      <c r="J204" s="14" t="inlineStr">
        <is>
          <t>Catalogo</t>
        </is>
      </c>
      <c r="K204" s="14" t="inlineStr">
        <is>
          <t>3-6 anni</t>
        </is>
      </c>
      <c r="L204" s="14" t="inlineStr">
        <is>
          <t>https://www.informafamiglie.it/bibliografia-e-filmografia/bibliografia/identita-e-stereotipi-di-genere</t>
        </is>
      </c>
      <c r="M204" s="16" t="n">
        <v>16.5</v>
      </c>
      <c r="N204" s="14" t="inlineStr">
        <is>
          <t>Sito Settenove (prezzo di copertina)</t>
        </is>
      </c>
      <c r="O204" s="16">
        <f>IF(ISNUMBER(M204),ROUND(M204*(1-Condizioni!$B$2),2),"")</f>
        <v/>
      </c>
      <c r="P204" s="17" t="inlineStr">
        <is>
          <t>Sì</t>
        </is>
      </c>
    </row>
    <row r="205">
      <c r="A205" s="14" t="inlineStr">
        <is>
          <t>Settenove</t>
        </is>
      </c>
      <c r="B205" s="14" t="inlineStr">
        <is>
          <t>Ettore. L'uomo straordinariamente forte</t>
        </is>
      </c>
      <c r="C205" s="14" t="inlineStr">
        <is>
          <t>Magali Le Huche</t>
        </is>
      </c>
      <c r="D205" s="14" t="inlineStr">
        <is>
          <t>Albi illustrati / Narrativa / Educazione al genere</t>
        </is>
      </c>
      <c r="E205" s="14" t="inlineStr">
        <is>
          <t>5 anni</t>
        </is>
      </c>
      <c r="F205" s="14" t="inlineStr">
        <is>
          <t>3-6 anni</t>
        </is>
      </c>
      <c r="G205" s="14" t="inlineStr">
        <is>
          <t>Albo illustrato</t>
        </is>
      </c>
      <c r="H205" s="14" t="inlineStr">
        <is>
          <t>Stereotipi di genere</t>
        </is>
      </c>
      <c r="I205" s="14" t="inlineStr">
        <is>
          <t>No</t>
        </is>
      </c>
      <c r="J205" s="14" t="inlineStr">
        <is>
          <t>Catalogo</t>
        </is>
      </c>
      <c r="K205" s="14" t="inlineStr">
        <is>
          <t>3-6 anni</t>
        </is>
      </c>
      <c r="L205" s="14" t="inlineStr">
        <is>
          <t>https://www.informafamiglie.it/bibliografia-e-filmografia/bibliografia/identita-e-stereotipi-di-genere</t>
        </is>
      </c>
      <c r="M205" s="16" t="n">
        <v>16.5</v>
      </c>
      <c r="N205" s="14" t="inlineStr">
        <is>
          <t>Sito Settenove (prezzo di copertina)</t>
        </is>
      </c>
      <c r="O205" s="16">
        <f>IF(ISNUMBER(M205),ROUND(M205*(1-Condizioni!$B$2),2),"")</f>
        <v/>
      </c>
      <c r="P205" s="17" t="inlineStr">
        <is>
          <t>Sì</t>
        </is>
      </c>
    </row>
    <row r="206">
      <c r="A206" s="14" t="inlineStr">
        <is>
          <t>Settenove</t>
        </is>
      </c>
      <c r="B206" s="14" t="inlineStr">
        <is>
          <t>Mi piace Spiderman... e allora?</t>
        </is>
      </c>
      <c r="C206" s="14" t="inlineStr">
        <is>
          <t>G. Vezzoli, M. Di Lauro</t>
        </is>
      </c>
      <c r="D206" s="14" t="inlineStr">
        <is>
          <t>Albi illustrati / Narrativa / Educazione al genere</t>
        </is>
      </c>
      <c r="E206" s="14" t="inlineStr">
        <is>
          <t>da 5 anni</t>
        </is>
      </c>
      <c r="F206" s="14" t="inlineStr">
        <is>
          <t>3-6 anni</t>
        </is>
      </c>
      <c r="G206" s="14" t="inlineStr">
        <is>
          <t>Albo illustrato</t>
        </is>
      </c>
      <c r="H206" s="14" t="inlineStr">
        <is>
          <t>Stereotipi di genere</t>
        </is>
      </c>
      <c r="I206" s="14" t="inlineStr">
        <is>
          <t>No</t>
        </is>
      </c>
      <c r="J206" s="14" t="inlineStr">
        <is>
          <t>Catalogo</t>
        </is>
      </c>
      <c r="K206" s="14" t="inlineStr">
        <is>
          <t>3-6 anni</t>
        </is>
      </c>
      <c r="L206" s="14" t="inlineStr">
        <is>
          <t>https://www.informafamiglie.it/bibliografia-e-filmografia/bibliografia/identita-e-stereotipi-di-genere</t>
        </is>
      </c>
      <c r="M206" s="16" t="n">
        <v>13</v>
      </c>
      <c r="N206" s="14" t="inlineStr">
        <is>
          <t>Sito Settenove (prezzo di copertina)</t>
        </is>
      </c>
      <c r="O206" s="16">
        <f>IF(ISNUMBER(M206),ROUND(M206*(1-Condizioni!$B$2),2),"")</f>
        <v/>
      </c>
      <c r="P206" s="17" t="inlineStr">
        <is>
          <t>Sì</t>
        </is>
      </c>
    </row>
    <row r="207">
      <c r="A207" s="14" t="inlineStr">
        <is>
          <t>Settenove</t>
        </is>
      </c>
      <c r="B207" s="14" t="inlineStr">
        <is>
          <t>June e Lea</t>
        </is>
      </c>
      <c r="C207" s="14" t="inlineStr">
        <is>
          <t>Sandrine Bonini; ill. Sandra Desmazières</t>
        </is>
      </c>
      <c r="D207" s="14" t="inlineStr">
        <is>
          <t>Albi illustrati / Narrativa / Educazione al genere</t>
        </is>
      </c>
      <c r="E207" s="14" t="inlineStr">
        <is>
          <t>da 6 anni</t>
        </is>
      </c>
      <c r="F207" s="14" t="inlineStr">
        <is>
          <t>Prime letture (6-8)</t>
        </is>
      </c>
      <c r="G207" s="14" t="inlineStr">
        <is>
          <t>Narrativa</t>
        </is>
      </c>
      <c r="H207" s="14" t="inlineStr">
        <is>
          <t>Stereotipi di genere / passaggio all'adolescenza</t>
        </is>
      </c>
      <c r="I207" s="14" t="inlineStr">
        <is>
          <t>No</t>
        </is>
      </c>
      <c r="J207" s="14" t="inlineStr">
        <is>
          <t>Catalogo</t>
        </is>
      </c>
      <c r="K207" s="14" t="inlineStr">
        <is>
          <t>prime letture, narrativa</t>
        </is>
      </c>
      <c r="L207" s="14" t="inlineStr">
        <is>
          <t>https://www.settenove.it/articoli/june-e-lea/303</t>
        </is>
      </c>
      <c r="M207" s="16" t="n">
        <v>19</v>
      </c>
      <c r="N207" s="14" t="inlineStr">
        <is>
          <t>Sito Settenove (prezzo di copertina)</t>
        </is>
      </c>
      <c r="O207" s="16">
        <f>IF(ISNUMBER(M207),ROUND(M207*(1-Condizioni!$B$2),2),"")</f>
        <v/>
      </c>
      <c r="P207" s="17" t="inlineStr">
        <is>
          <t>Sì</t>
        </is>
      </c>
    </row>
    <row r="208">
      <c r="A208" s="14" t="inlineStr">
        <is>
          <t>Settenove</t>
        </is>
      </c>
      <c r="B208" s="14" t="inlineStr">
        <is>
          <t>Rompi le scatole! Idee e storie per fare a pezzi stereotipi e pregiudizi</t>
        </is>
      </c>
      <c r="C208" s="14" t="inlineStr">
        <is>
          <t>Pina Caporaso</t>
        </is>
      </c>
      <c r="D208" s="14" t="inlineStr">
        <is>
          <t>Albi illustrati / Narrativa / Educazione al genere</t>
        </is>
      </c>
      <c r="E208" s="14" t="inlineStr">
        <is>
          <t>da 11 anni</t>
        </is>
      </c>
      <c r="F208" s="14" t="inlineStr">
        <is>
          <t>Scuola media (11-13)</t>
        </is>
      </c>
      <c r="G208" s="14" t="inlineStr">
        <is>
          <t>Divulgazione/Saggio</t>
        </is>
      </c>
      <c r="H208" s="14" t="inlineStr">
        <is>
          <t>Stereotipi e pregiudizi</t>
        </is>
      </c>
      <c r="I208" s="14" t="inlineStr">
        <is>
          <t>No</t>
        </is>
      </c>
      <c r="J208" s="14" t="inlineStr">
        <is>
          <t>Catalogo</t>
        </is>
      </c>
      <c r="K208" s="14" t="inlineStr">
        <is>
          <t>prima/seconda/terza media</t>
        </is>
      </c>
      <c r="L208" s="14" t="inlineStr">
        <is>
          <t>https://www.ibs.it/libri/editori/settenove</t>
        </is>
      </c>
      <c r="M208" s="16" t="n">
        <v>17</v>
      </c>
      <c r="N208" s="14" t="inlineStr">
        <is>
          <t>Sito Settenove (prezzo di copertina)</t>
        </is>
      </c>
      <c r="O208" s="16">
        <f>IF(ISNUMBER(M208),ROUND(M208*(1-Condizioni!$B$2),2),"")</f>
        <v/>
      </c>
      <c r="P208" s="17" t="inlineStr">
        <is>
          <t>Sì</t>
        </is>
      </c>
    </row>
    <row r="209">
      <c r="A209" s="14" t="inlineStr">
        <is>
          <t>Settenove</t>
        </is>
      </c>
      <c r="B209" s="14" t="inlineStr">
        <is>
          <t>Una damigella NON in pericolo!</t>
        </is>
      </c>
      <c r="C209" s="14" t="inlineStr">
        <is>
          <t>Bethan Stevens</t>
        </is>
      </c>
      <c r="D209" s="14" t="inlineStr">
        <is>
          <t>Albi illustrati / Narrativa / Educazione al genere</t>
        </is>
      </c>
      <c r="E209" s="14" t="inlineStr">
        <is>
          <t>da 5 anni</t>
        </is>
      </c>
      <c r="F209" s="14" t="inlineStr">
        <is>
          <t>3-6 anni</t>
        </is>
      </c>
      <c r="G209" s="14" t="inlineStr">
        <is>
          <t>Albo illustrato</t>
        </is>
      </c>
      <c r="H209" s="14" t="inlineStr">
        <is>
          <t>Stereotipi nelle fiabe</t>
        </is>
      </c>
      <c r="I209" s="14" t="inlineStr">
        <is>
          <t>No</t>
        </is>
      </c>
      <c r="J209" s="14" t="inlineStr">
        <is>
          <t>Catalogo</t>
        </is>
      </c>
      <c r="K209" s="14" t="inlineStr">
        <is>
          <t>3-6 anni</t>
        </is>
      </c>
      <c r="L209" s="14" t="inlineStr">
        <is>
          <t>https://www.settenove.it/catalogo/narrativa/5</t>
        </is>
      </c>
      <c r="M209" s="16" t="n">
        <v>19</v>
      </c>
      <c r="N209" s="14" t="inlineStr">
        <is>
          <t>Sito Settenove (prezzo di copertina)</t>
        </is>
      </c>
      <c r="O209" s="16">
        <f>IF(ISNUMBER(M209),ROUND(M209*(1-Condizioni!$B$2),2),"")</f>
        <v/>
      </c>
      <c r="P209" s="17" t="inlineStr">
        <is>
          <t>Sì</t>
        </is>
      </c>
    </row>
    <row r="210">
      <c r="A210" s="14" t="inlineStr">
        <is>
          <t>Settenove</t>
        </is>
      </c>
      <c r="B210" s="14" t="inlineStr">
        <is>
          <t>La strana storia di Cappuccetto Blu</t>
        </is>
      </c>
      <c r="C210" s="14" t="inlineStr">
        <is>
          <t>Guia Risari; ill. Clémence Pollet</t>
        </is>
      </c>
      <c r="D210" s="14" t="inlineStr">
        <is>
          <t>Albi illustrati / Narrativa / Educazione al genere</t>
        </is>
      </c>
      <c r="E210" s="14" t="inlineStr">
        <is>
          <t>da 7 anni</t>
        </is>
      </c>
      <c r="F210" s="14" t="inlineStr">
        <is>
          <t>Prime letture (6-8)</t>
        </is>
      </c>
      <c r="G210" s="14" t="inlineStr">
        <is>
          <t>Albo illustrato</t>
        </is>
      </c>
      <c r="H210" s="14" t="inlineStr">
        <is>
          <t>Stereotipi nelle fiabe</t>
        </is>
      </c>
      <c r="I210" s="14" t="inlineStr">
        <is>
          <t>No</t>
        </is>
      </c>
      <c r="J210" s="14" t="inlineStr">
        <is>
          <t>Verificata (IBS / editore)</t>
        </is>
      </c>
      <c r="K210" s="14" t="inlineStr">
        <is>
          <t>prime letture</t>
        </is>
      </c>
      <c r="L210" s="14" t="inlineStr">
        <is>
          <t>https://www.settenove.it/catalogo/narrativa/5</t>
        </is>
      </c>
      <c r="M210" s="16" t="n">
        <v>17</v>
      </c>
      <c r="N210" s="14" t="inlineStr">
        <is>
          <t>Sito Settenove (prezzo di copertina)</t>
        </is>
      </c>
      <c r="O210" s="16">
        <f>IF(ISNUMBER(M210),ROUND(M210*(1-Condizioni!$B$2),2),"")</f>
        <v/>
      </c>
      <c r="P210" s="17" t="inlineStr">
        <is>
          <t>Sì</t>
        </is>
      </c>
    </row>
    <row r="211">
      <c r="A211" s="14" t="inlineStr">
        <is>
          <t>Settenove</t>
        </is>
      </c>
      <c r="B211" s="14" t="inlineStr">
        <is>
          <t>Come un fiume. Una storia chiamata femminismo</t>
        </is>
      </c>
      <c r="C211" s="14" t="inlineStr">
        <is>
          <t>Emilia Zazza, Anna Arianna Melone</t>
        </is>
      </c>
      <c r="D211" s="14" t="inlineStr">
        <is>
          <t>Albi illustrati / Narrativa / Educazione al genere</t>
        </is>
      </c>
      <c r="E211" s="14" t="inlineStr">
        <is>
          <t>da 11 anni</t>
        </is>
      </c>
      <c r="F211" s="14" t="inlineStr">
        <is>
          <t>Scuola media (11-13)</t>
        </is>
      </c>
      <c r="G211" s="14" t="inlineStr">
        <is>
          <t>Divulgazione/Saggio</t>
        </is>
      </c>
      <c r="H211" s="14" t="inlineStr">
        <is>
          <t>Storia del femminismo</t>
        </is>
      </c>
      <c r="I211" s="14" t="inlineStr">
        <is>
          <t>No</t>
        </is>
      </c>
      <c r="J211" s="14" t="inlineStr">
        <is>
          <t>Catalogo</t>
        </is>
      </c>
      <c r="K211" s="14" t="inlineStr">
        <is>
          <t>prima/seconda/terza media</t>
        </is>
      </c>
      <c r="L211" s="14" t="inlineStr">
        <is>
          <t>https://www.settenove.it/catalogo/narrativa/5</t>
        </is>
      </c>
      <c r="M211" s="16" t="n">
        <v>17</v>
      </c>
      <c r="N211" s="14" t="inlineStr">
        <is>
          <t>Sito Settenove (prezzo di copertina)</t>
        </is>
      </c>
      <c r="O211" s="16">
        <f>IF(ISNUMBER(M211),ROUND(M211*(1-Condizioni!$B$2),2),"")</f>
        <v/>
      </c>
      <c r="P211" s="17" t="inlineStr">
        <is>
          <t>Sì</t>
        </is>
      </c>
    </row>
    <row r="212">
      <c r="A212" s="14" t="inlineStr">
        <is>
          <t>Dalia Edizioni</t>
        </is>
      </c>
      <c r="B212" s="14" t="inlineStr">
        <is>
          <t>Il mistero di Pyrgi. Avventura tra gli Etruschi</t>
        </is>
      </c>
      <c r="C212" s="14" t="inlineStr">
        <is>
          <t>Chiarastella Campanelli; ill. Chiara Bongiovanni</t>
        </is>
      </c>
      <c r="D212" s="14" t="inlineStr">
        <is>
          <t>Dalia Ragazzi</t>
        </is>
      </c>
      <c r="E212" s="14" t="inlineStr">
        <is>
          <t>5+</t>
        </is>
      </c>
      <c r="F212" s="14" t="inlineStr">
        <is>
          <t>3-6 anni</t>
        </is>
      </c>
      <c r="G212" s="14" t="inlineStr">
        <is>
          <t>Narrativa</t>
        </is>
      </c>
      <c r="H212" s="14" t="inlineStr">
        <is>
          <t>Storia: gli Etruschi</t>
        </is>
      </c>
      <c r="I212" s="14" t="inlineStr">
        <is>
          <t>No</t>
        </is>
      </c>
      <c r="J212" s="14" t="inlineStr">
        <is>
          <t>Catalogo</t>
        </is>
      </c>
      <c r="K212" s="14" t="inlineStr">
        <is>
          <t>3-6 anni, narrativa</t>
        </is>
      </c>
      <c r="L212" s="14" t="inlineStr">
        <is>
          <t>https://www.daliaedizioni.it/categoria-prodotto/illustrati-kids/</t>
        </is>
      </c>
      <c r="M212" s="16" t="n">
        <v>12.9</v>
      </c>
      <c r="N212" s="14" t="inlineStr">
        <is>
          <t>Sito Dalia Edizioni</t>
        </is>
      </c>
      <c r="O212" s="16">
        <f>IF(ISNUMBER(M212),ROUND(M212*(1-Condizioni!$B$2),2),"")</f>
        <v/>
      </c>
      <c r="P212" s="17" t="inlineStr">
        <is>
          <t>Sì</t>
        </is>
      </c>
    </row>
    <row r="213">
      <c r="A213" s="14" t="inlineStr">
        <is>
          <t>Lapis</t>
        </is>
      </c>
      <c r="B213" s="14" t="inlineStr">
        <is>
          <t>Collana I lapislazzuli</t>
        </is>
      </c>
      <c r="C213" s="14" t="inlineStr">
        <is>
          <t>Cognolato; Lorenzoni; ecc.</t>
        </is>
      </c>
      <c r="D213" s="14" t="inlineStr">
        <is>
          <t>I lapislazzuli</t>
        </is>
      </c>
      <c r="E213" s="14" t="inlineStr">
        <is>
          <t>dai 4 anni</t>
        </is>
      </c>
      <c r="F213" s="14" t="inlineStr">
        <is>
          <t>3-6 anni</t>
        </is>
      </c>
      <c r="G213" s="14" t="inlineStr">
        <is>
          <t>Albo illustrato</t>
        </is>
      </c>
      <c r="H213" s="14" t="inlineStr">
        <is>
          <t>Temi sociali (storia, guerre, persone e luoghi)</t>
        </is>
      </c>
      <c r="I213" s="14" t="inlineStr">
        <is>
          <t>No</t>
        </is>
      </c>
      <c r="J213" s="14" t="inlineStr">
        <is>
          <t>Collana</t>
        </is>
      </c>
      <c r="K213" s="14" t="inlineStr">
        <is>
          <t>3-6 anni</t>
        </is>
      </c>
      <c r="L213" s="14" t="inlineStr">
        <is>
          <t>https://www.edizionilapis.it/collane</t>
        </is>
      </c>
      <c r="M213" s="19" t="n"/>
      <c r="N213" s="14" t="inlineStr"/>
      <c r="O213" s="16">
        <f>IF(ISNUMBER(M213),ROUND(M213*(1-Condizioni!$B$2),2),"")</f>
        <v/>
      </c>
      <c r="P213" s="17" t="inlineStr">
        <is>
          <t>Sì</t>
        </is>
      </c>
    </row>
    <row r="214">
      <c r="A214" s="14" t="inlineStr">
        <is>
          <t>Edizioni Corsare</t>
        </is>
      </c>
      <c r="B214" s="14" t="inlineStr">
        <is>
          <t>La mia casa piccola</t>
        </is>
      </c>
      <c r="C214" s="14" t="inlineStr">
        <is>
          <t>Elisa Sabatinelli; ill. Anna Aparicio Català</t>
        </is>
      </c>
      <c r="D214" s="14" t="inlineStr">
        <is>
          <t>Area ragazzi (albi illustrati)</t>
        </is>
      </c>
      <c r="E214" s="14" t="inlineStr">
        <is>
          <t>da 4 anni</t>
        </is>
      </c>
      <c r="F214" s="14" t="inlineStr">
        <is>
          <t>3-6 anni</t>
        </is>
      </c>
      <c r="G214" s="14" t="inlineStr">
        <is>
          <t>Albo illustrato</t>
        </is>
      </c>
      <c r="H214" s="14" t="inlineStr">
        <is>
          <t>Traslochi e paura del nuovo</t>
        </is>
      </c>
      <c r="I214" s="14" t="inlineStr">
        <is>
          <t>No</t>
        </is>
      </c>
      <c r="J214" s="14" t="inlineStr">
        <is>
          <t>Catalogo</t>
        </is>
      </c>
      <c r="K214" s="14" t="inlineStr">
        <is>
          <t>3-6 anni</t>
        </is>
      </c>
      <c r="L214" s="14" t="inlineStr">
        <is>
          <t>Catalogo Edizioni Corsare Primavera 2026</t>
        </is>
      </c>
      <c r="M214" s="16" t="n">
        <v>18</v>
      </c>
      <c r="N214" s="14" t="inlineStr">
        <is>
          <t>Catalogo Edizioni Corsare Primavera 2026</t>
        </is>
      </c>
      <c r="O214" s="16">
        <f>IF(ISNUMBER(M214),ROUND(M214*(1-Condizioni!$B$2),2),"")</f>
        <v/>
      </c>
      <c r="P214" s="17" t="inlineStr">
        <is>
          <t>Sì</t>
        </is>
      </c>
    </row>
    <row r="215">
      <c r="A215" s="14" t="inlineStr">
        <is>
          <t>Uovonero</t>
        </is>
      </c>
      <c r="B215" s="14" t="inlineStr">
        <is>
          <t>Rumple Buttercup</t>
        </is>
      </c>
      <c r="C215" s="14" t="inlineStr">
        <is>
          <t>Matthew Gray Gubler</t>
        </is>
      </c>
      <c r="D215" s="14" t="inlineStr">
        <is>
          <t>I Geodi</t>
        </is>
      </c>
      <c r="E215" s="14" t="inlineStr">
        <is>
          <t>6/9</t>
        </is>
      </c>
      <c r="F215" s="14" t="inlineStr">
        <is>
          <t>Prime letture (6-8)</t>
        </is>
      </c>
      <c r="G215" s="14" t="inlineStr">
        <is>
          <t>Albo illustrato</t>
        </is>
      </c>
      <c r="H215" s="14" t="inlineStr">
        <is>
          <t>Unicità e amicizia</t>
        </is>
      </c>
      <c r="I215" s="14" t="inlineStr">
        <is>
          <t>No</t>
        </is>
      </c>
      <c r="J215" s="14" t="inlineStr">
        <is>
          <t>Catalogo</t>
        </is>
      </c>
      <c r="K215" s="14" t="inlineStr">
        <is>
          <t>prime letture</t>
        </is>
      </c>
      <c r="L215" s="14" t="inlineStr">
        <is>
          <t>https://www.uovonero.com/libri</t>
        </is>
      </c>
      <c r="M215" s="16" t="n">
        <v>17.5</v>
      </c>
      <c r="N215" s="14" t="inlineStr">
        <is>
          <t>Catalogo Uovonero per librai</t>
        </is>
      </c>
      <c r="O215" s="16">
        <f>IF(ISNUMBER(M215),ROUND(M215*(1-Condizioni!$B$2),2),"")</f>
        <v/>
      </c>
      <c r="P215" s="17" t="inlineStr">
        <is>
          <t>Sì</t>
        </is>
      </c>
    </row>
    <row r="216">
      <c r="A216" s="14" t="inlineStr">
        <is>
          <t>effequ</t>
        </is>
      </c>
      <c r="B216" s="14" t="inlineStr">
        <is>
          <t>WEB</t>
        </is>
      </c>
      <c r="C216" s="14" t="inlineStr">
        <is>
          <t>Antonio Pavolini; ill. Nicola Giorgio</t>
        </is>
      </c>
      <c r="D216" s="14" t="inlineStr">
        <is>
          <t>Scatoline</t>
        </is>
      </c>
      <c r="E216" s="14" t="inlineStr">
        <is>
          <t>da 5 anni</t>
        </is>
      </c>
      <c r="F216" s="14" t="inlineStr">
        <is>
          <t>3-6 anni</t>
        </is>
      </c>
      <c r="G216" s="14" t="inlineStr">
        <is>
          <t>Divulgazione/Saggio</t>
        </is>
      </c>
      <c r="H216" s="14" t="inlineStr">
        <is>
          <t>Uso consapevole di internet</t>
        </is>
      </c>
      <c r="I216" s="14" t="inlineStr">
        <is>
          <t>No</t>
        </is>
      </c>
      <c r="J216" s="14" t="inlineStr">
        <is>
          <t>Catalogo</t>
        </is>
      </c>
      <c r="K216" s="14" t="inlineStr">
        <is>
          <t>3-6 anni</t>
        </is>
      </c>
      <c r="L216" s="14" t="inlineStr">
        <is>
          <t>https://www.effequ.it/</t>
        </is>
      </c>
      <c r="M216" s="16" t="n">
        <v>6</v>
      </c>
      <c r="N216" s="14" t="inlineStr">
        <is>
          <t>https://www.effequ.it/</t>
        </is>
      </c>
      <c r="O216" s="16">
        <f>IF(ISNUMBER(M216),ROUND(M216*(1-Condizioni!$B$2),2),"")</f>
        <v/>
      </c>
      <c r="P216" s="17" t="inlineStr">
        <is>
          <t>Sì</t>
        </is>
      </c>
    </row>
    <row r="217">
      <c r="A217" s="14" t="inlineStr">
        <is>
          <t>Edizioni Corsare</t>
        </is>
      </c>
      <c r="B217" s="14" t="inlineStr">
        <is>
          <t>Pericolo smartphone</t>
        </is>
      </c>
      <c r="C217" s="14" t="inlineStr">
        <is>
          <t>(vedi scheda)</t>
        </is>
      </c>
      <c r="D217" s="14" t="inlineStr">
        <is>
          <t>Storie corsare</t>
        </is>
      </c>
      <c r="E217" s="14" t="inlineStr">
        <is>
          <t>9-13 anni (+ guida per adulti)</t>
        </is>
      </c>
      <c r="F217" s="14" t="inlineStr">
        <is>
          <t>9+</t>
        </is>
      </c>
      <c r="G217" s="14" t="inlineStr">
        <is>
          <t>Divulgazione/Saggio</t>
        </is>
      </c>
      <c r="H217" s="14" t="inlineStr">
        <is>
          <t>Uso consapevole di web e social</t>
        </is>
      </c>
      <c r="I217" s="14" t="inlineStr">
        <is>
          <t>No</t>
        </is>
      </c>
      <c r="J217" s="14" t="inlineStr">
        <is>
          <t>Collana</t>
        </is>
      </c>
      <c r="K217" s="14" t="inlineStr">
        <is>
          <t>9+</t>
        </is>
      </c>
      <c r="L217" s="14" t="inlineStr">
        <is>
          <t>https://www.edizionicorsare.it/categoria-prodotto/collane/storie-corsare/</t>
        </is>
      </c>
      <c r="M217" s="16" t="n">
        <v>12</v>
      </c>
      <c r="N217" s="14" t="inlineStr">
        <is>
          <t>https://www.ibs.it/x/e/9788899136277</t>
        </is>
      </c>
      <c r="O217" s="16">
        <f>IF(ISNUMBER(M217),ROUND(M217*(1-Condizioni!$B$2),2),"")</f>
        <v/>
      </c>
      <c r="P217" s="17" t="inlineStr">
        <is>
          <t>Sì</t>
        </is>
      </c>
    </row>
    <row r="218">
      <c r="A218" s="14" t="inlineStr">
        <is>
          <t>Pelledoca</t>
        </is>
      </c>
      <c r="B218" s="14" t="inlineStr">
        <is>
          <t>The Next Level</t>
        </is>
      </c>
      <c r="C218" s="14" t="inlineStr">
        <is>
          <t>Carla Anzile</t>
        </is>
      </c>
      <c r="D218" s="14" t="inlineStr">
        <is>
          <t>NeroInchiostro</t>
        </is>
      </c>
      <c r="E218" s="14" t="inlineStr">
        <is>
          <t>Dai 12 anni</t>
        </is>
      </c>
      <c r="F218" s="14" t="inlineStr">
        <is>
          <t>Scuola media (11-13)</t>
        </is>
      </c>
      <c r="G218" s="14" t="inlineStr">
        <is>
          <t>Romanzo</t>
        </is>
      </c>
      <c r="H218" s="14" t="inlineStr">
        <is>
          <t>Videogiochi e realtà</t>
        </is>
      </c>
      <c r="I218" s="14" t="inlineStr">
        <is>
          <t>No</t>
        </is>
      </c>
      <c r="J218" s="14" t="inlineStr">
        <is>
          <t>Catalogo</t>
        </is>
      </c>
      <c r="K218" s="14" t="inlineStr">
        <is>
          <t>prima/seconda/terza media, romanzo, narrativa</t>
        </is>
      </c>
      <c r="L218" s="14" t="inlineStr">
        <is>
          <t>Catalogo Pelledoca 2025 (ISBN 9788832791044)</t>
        </is>
      </c>
      <c r="M218" s="16" t="n">
        <v>16</v>
      </c>
      <c r="N218" s="14" t="inlineStr">
        <is>
          <t>Catalogo Pelledoca 2025</t>
        </is>
      </c>
      <c r="O218" s="16">
        <f>IF(ISNUMBER(M218),ROUND(M218*(1-Condizioni!$B$2),2),"")</f>
        <v/>
      </c>
      <c r="P218" s="17" t="inlineStr">
        <is>
          <t>No</t>
        </is>
      </c>
    </row>
    <row r="219">
      <c r="A219" s="14" t="inlineStr">
        <is>
          <t>La Meridiana</t>
        </is>
      </c>
      <c r="B219" s="14" t="inlineStr">
        <is>
          <t>Di sole e di tempesta</t>
        </is>
      </c>
      <c r="C219" s="14" t="inlineStr">
        <is>
          <t>G. Boari, E. Buccoliero</t>
        </is>
      </c>
      <c r="D219" s="14" t="inlineStr">
        <is>
          <t>Percorsi educativi</t>
        </is>
      </c>
      <c r="E219" s="14" t="inlineStr">
        <is>
          <t>per educatori/insegnanti</t>
        </is>
      </c>
      <c r="F219" s="14" t="inlineStr">
        <is>
          <t>n.d. / tutte le età</t>
        </is>
      </c>
      <c r="G219" s="14" t="inlineStr">
        <is>
          <t>Divulgazione/Saggio</t>
        </is>
      </c>
      <c r="H219" s="14" t="inlineStr">
        <is>
          <t>Violenza assistita: sostegno ai bambini</t>
        </is>
      </c>
      <c r="I219" s="14" t="inlineStr">
        <is>
          <t>No</t>
        </is>
      </c>
      <c r="J219" s="14" t="inlineStr">
        <is>
          <t>Catalogo</t>
        </is>
      </c>
      <c r="K219" s="14" t="inlineStr"/>
      <c r="L219" s="14" t="inlineStr">
        <is>
          <t>https://www.bookrepublic.it/ebooks/editore/edizioni-la-meridiana/</t>
        </is>
      </c>
      <c r="M219" s="19" t="n"/>
      <c r="N219" s="14" t="inlineStr"/>
      <c r="O219" s="16">
        <f>IF(ISNUMBER(M219),ROUND(M219*(1-Condizioni!$B$2),2),"")</f>
        <v/>
      </c>
      <c r="P219" s="17" t="inlineStr">
        <is>
          <t>Sì</t>
        </is>
      </c>
    </row>
    <row r="220">
      <c r="A220" s="14" t="inlineStr">
        <is>
          <t>Settenove</t>
        </is>
      </c>
      <c r="B220" s="14" t="inlineStr">
        <is>
          <t>E io qui, nuda</t>
        </is>
      </c>
      <c r="C220" s="14" t="inlineStr">
        <is>
          <t>Cristina Obber</t>
        </is>
      </c>
      <c r="D220" s="14" t="inlineStr">
        <is>
          <t>Albi illustrati / Narrativa / Educazione al genere</t>
        </is>
      </c>
      <c r="E220" s="14" t="inlineStr">
        <is>
          <t>14+</t>
        </is>
      </c>
      <c r="F220" s="14" t="inlineStr">
        <is>
          <t>Adolescenza (14+)</t>
        </is>
      </c>
      <c r="G220" s="14" t="inlineStr">
        <is>
          <t>Narrativa</t>
        </is>
      </c>
      <c r="H220" s="14" t="inlineStr">
        <is>
          <t>Violenza e consenso</t>
        </is>
      </c>
      <c r="I220" s="14" t="inlineStr">
        <is>
          <t>No</t>
        </is>
      </c>
      <c r="J220" s="14" t="inlineStr">
        <is>
          <t>Catalogo</t>
        </is>
      </c>
      <c r="K220" s="14" t="inlineStr">
        <is>
          <t>adolescenza, narrativa</t>
        </is>
      </c>
      <c r="L220" s="14" t="inlineStr">
        <is>
          <t>https://www.settenove.it/catalogo/narrativa/5</t>
        </is>
      </c>
      <c r="M220" s="16" t="n">
        <v>16.5</v>
      </c>
      <c r="N220" s="14" t="inlineStr">
        <is>
          <t>Sito Settenove (prezzo di copertina)</t>
        </is>
      </c>
      <c r="O220" s="16">
        <f>IF(ISNUMBER(M220),ROUND(M220*(1-Condizioni!$B$2),2),"")</f>
        <v/>
      </c>
      <c r="P220" s="17" t="inlineStr">
        <is>
          <t>Sì</t>
        </is>
      </c>
    </row>
    <row r="221">
      <c r="A221" s="14" t="inlineStr">
        <is>
          <t>Pelledoca</t>
        </is>
      </c>
      <c r="B221" s="14" t="inlineStr">
        <is>
          <t>The Screen - Impresso nei Miei Occhi</t>
        </is>
      </c>
      <c r="C221" s="14" t="inlineStr">
        <is>
          <t>Alessandro Pasquinucci</t>
        </is>
      </c>
      <c r="D221" s="14" t="inlineStr">
        <is>
          <t>NeroInchiostro</t>
        </is>
      </c>
      <c r="E221" s="14" t="inlineStr">
        <is>
          <t>Dai 14 anni</t>
        </is>
      </c>
      <c r="F221" s="14" t="inlineStr">
        <is>
          <t>Adolescenza (14+)</t>
        </is>
      </c>
      <c r="G221" s="14" t="inlineStr">
        <is>
          <t>Romanzo</t>
        </is>
      </c>
      <c r="H221" s="14" t="inlineStr">
        <is>
          <t>Violenza online</t>
        </is>
      </c>
      <c r="I221" s="14" t="inlineStr">
        <is>
          <t>No</t>
        </is>
      </c>
      <c r="J221" s="14" t="inlineStr">
        <is>
          <t>Catalogo</t>
        </is>
      </c>
      <c r="K221" s="14" t="inlineStr">
        <is>
          <t>adolescenza, romanzo, narrativa</t>
        </is>
      </c>
      <c r="L221" s="14" t="inlineStr">
        <is>
          <t>Catalogo Pelledoca 2025 (ISBN 9788832790870)</t>
        </is>
      </c>
      <c r="M221" s="16" t="n">
        <v>16</v>
      </c>
      <c r="N221" s="14" t="inlineStr">
        <is>
          <t>Catalogo Pelledoca 2025</t>
        </is>
      </c>
      <c r="O221" s="16">
        <f>IF(ISNUMBER(M221),ROUND(M221*(1-Condizioni!$B$2),2),"")</f>
        <v/>
      </c>
      <c r="P221" s="17" t="inlineStr">
        <is>
          <t>No</t>
        </is>
      </c>
    </row>
    <row r="222">
      <c r="A222" s="14" t="inlineStr">
        <is>
          <t>Edizioni Corsare</t>
        </is>
      </c>
      <c r="B222" s="14" t="inlineStr">
        <is>
          <t>Curare le pietre</t>
        </is>
      </c>
      <c r="C222" s="14" t="inlineStr">
        <is>
          <t>Antonella Giacon</t>
        </is>
      </c>
      <c r="D222" s="14" t="inlineStr">
        <is>
          <t>Narrativa YA / Border</t>
        </is>
      </c>
      <c r="E222" s="14" t="inlineStr">
        <is>
          <t>14+</t>
        </is>
      </c>
      <c r="F222" s="14" t="inlineStr">
        <is>
          <t>Adolescenza (14+)</t>
        </is>
      </c>
      <c r="G222" s="14" t="inlineStr">
        <is>
          <t>Romanzo</t>
        </is>
      </c>
      <c r="H222" s="14" t="inlineStr">
        <is>
          <t>Volontariato e solidarietà</t>
        </is>
      </c>
      <c r="I222" s="14" t="inlineStr">
        <is>
          <t>No</t>
        </is>
      </c>
      <c r="J222" s="14" t="inlineStr">
        <is>
          <t>Catalogo</t>
        </is>
      </c>
      <c r="K222" s="14" t="inlineStr">
        <is>
          <t>adolescenza, romanzo, narrativa</t>
        </is>
      </c>
      <c r="L222" s="14" t="inlineStr">
        <is>
          <t>https://www.edizionicorsare.it/categoria-prodotto/collane/border-young-adult/</t>
        </is>
      </c>
      <c r="M222" s="16" t="n">
        <v>13</v>
      </c>
      <c r="N222" s="14" t="inlineStr">
        <is>
          <t>Catalogo Edizioni Corsare Primavera 2026</t>
        </is>
      </c>
      <c r="O222" s="16">
        <f>IF(ISNUMBER(M222),ROUND(M222*(1-Condizioni!$B$2),2),"")</f>
        <v/>
      </c>
      <c r="P222" s="17" t="inlineStr">
        <is>
          <t>Sì</t>
        </is>
      </c>
    </row>
  </sheetData>
  <autoFilter ref="A1:P2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Settenove</t>
        </is>
      </c>
      <c r="B2" s="14" t="inlineStr">
        <is>
          <t>Ada al contrario</t>
        </is>
      </c>
      <c r="C2" s="14" t="inlineStr">
        <is>
          <t>Guia Risari; ill. Francesca Buonanno</t>
        </is>
      </c>
      <c r="D2" s="14" t="inlineStr">
        <is>
          <t>Albi illustrati / Narrativa / Educazione al genere</t>
        </is>
      </c>
      <c r="E2" s="14" t="inlineStr">
        <is>
          <t>da 4 anni</t>
        </is>
      </c>
      <c r="F2" s="14" t="inlineStr">
        <is>
          <t>3-6 anni</t>
        </is>
      </c>
      <c r="G2" s="14" t="inlineStr">
        <is>
          <t>Albo illustrato</t>
        </is>
      </c>
      <c r="H2" s="14" t="inlineStr">
        <is>
          <t>Autismo (Asperger) e diritto alla diversità</t>
        </is>
      </c>
      <c r="I2" s="14" t="inlineStr">
        <is>
          <t>No</t>
        </is>
      </c>
      <c r="J2" s="14" t="inlineStr">
        <is>
          <t>Catalogo</t>
        </is>
      </c>
      <c r="K2" s="14" t="inlineStr">
        <is>
          <t>3-6 anni</t>
        </is>
      </c>
      <c r="L2" s="14" t="inlineStr">
        <is>
          <t>https://www.ibs.it/ada-al-contrario-ediz-a-libro-guia-risari/e/9788898947423</t>
        </is>
      </c>
      <c r="M2" s="16" t="n">
        <v>16.5</v>
      </c>
      <c r="N2" s="14" t="inlineStr">
        <is>
          <t>Sito Settenove (prezzo di copertina)</t>
        </is>
      </c>
      <c r="O2" s="16">
        <f>IF(ISNUMBER(M2),ROUND(M2*(1-Condizioni!$B$2),2),"")</f>
        <v/>
      </c>
      <c r="P2" s="17" t="inlineStr">
        <is>
          <t>Sì</t>
        </is>
      </c>
    </row>
    <row r="3">
      <c r="A3" s="14" t="inlineStr">
        <is>
          <t>Settenove</t>
        </is>
      </c>
      <c r="B3" s="14" t="inlineStr">
        <is>
          <t>Beaver, come Castoro</t>
        </is>
      </c>
      <c r="C3" s="14" t="inlineStr">
        <is>
          <t>Serena Ballista; ill. Martina Paderni</t>
        </is>
      </c>
      <c r="D3" s="14" t="inlineStr">
        <is>
          <t>Albi illustrati / Narrativa / Educazione al genere</t>
        </is>
      </c>
      <c r="E3" s="14" t="inlineStr">
        <is>
          <t>da 4 anni</t>
        </is>
      </c>
      <c r="F3" s="14" t="inlineStr">
        <is>
          <t>3-6 anni</t>
        </is>
      </c>
      <c r="G3" s="14" t="inlineStr">
        <is>
          <t>Albo illustrato</t>
        </is>
      </c>
      <c r="H3" s="14" t="inlineStr">
        <is>
          <t>Identità</t>
        </is>
      </c>
      <c r="I3" s="14" t="inlineStr">
        <is>
          <t>No</t>
        </is>
      </c>
      <c r="J3" s="14" t="inlineStr">
        <is>
          <t>Catalogo</t>
        </is>
      </c>
      <c r="K3" s="14" t="inlineStr">
        <is>
          <t>3-6 anni</t>
        </is>
      </c>
      <c r="L3" s="14" t="inlineStr">
        <is>
          <t>https://www.settenove.it/catalogo/narrativa/5</t>
        </is>
      </c>
      <c r="M3" s="16" t="n">
        <v>14</v>
      </c>
      <c r="N3" s="14" t="inlineStr">
        <is>
          <t>Sito Settenove (prezzo di copertina)</t>
        </is>
      </c>
      <c r="O3" s="16">
        <f>IF(ISNUMBER(M3),ROUND(M3*(1-Condizioni!$B$2),2),"")</f>
        <v/>
      </c>
      <c r="P3" s="17" t="inlineStr">
        <is>
          <t>Sì</t>
        </is>
      </c>
    </row>
    <row r="4">
      <c r="A4" s="14" t="inlineStr">
        <is>
          <t>Settenove</t>
        </is>
      </c>
      <c r="B4" s="14" t="inlineStr">
        <is>
          <t>C'è qualcosa di più noioso che essere una principessa rosa?</t>
        </is>
      </c>
      <c r="C4" s="14" t="inlineStr">
        <is>
          <t>Raquel Díaz Reguera</t>
        </is>
      </c>
      <c r="D4" s="14" t="inlineStr">
        <is>
          <t>Albi illustrati / Narrativa / Educazione al genere</t>
        </is>
      </c>
      <c r="E4" s="14" t="inlineStr">
        <is>
          <t>da 4 anni</t>
        </is>
      </c>
      <c r="F4" s="14" t="inlineStr">
        <is>
          <t>3-6 anni</t>
        </is>
      </c>
      <c r="G4" s="14" t="inlineStr">
        <is>
          <t>Albo illustrato</t>
        </is>
      </c>
      <c r="H4" s="14" t="inlineStr">
        <is>
          <t>Stereotipi di genere</t>
        </is>
      </c>
      <c r="I4" s="14" t="inlineStr">
        <is>
          <t>No</t>
        </is>
      </c>
      <c r="J4" s="14" t="inlineStr">
        <is>
          <t>Catalogo</t>
        </is>
      </c>
      <c r="K4" s="14" t="inlineStr">
        <is>
          <t>3-6 anni</t>
        </is>
      </c>
      <c r="L4" s="14" t="inlineStr">
        <is>
          <t>https://www.informafamiglie.it/bibliografia-e-filmografia/bibliografia/identita-e-stereotipi-di-genere</t>
        </is>
      </c>
      <c r="M4" s="16" t="n">
        <v>16.5</v>
      </c>
      <c r="N4" s="14" t="inlineStr">
        <is>
          <t>Sito Settenove (prezzo di copertina)</t>
        </is>
      </c>
      <c r="O4" s="16">
        <f>IF(ISNUMBER(M4),ROUND(M4*(1-Condizioni!$B$2),2),"")</f>
        <v/>
      </c>
      <c r="P4" s="17" t="inlineStr">
        <is>
          <t>Sì</t>
        </is>
      </c>
    </row>
    <row r="5">
      <c r="A5" s="14" t="inlineStr">
        <is>
          <t>Settenove</t>
        </is>
      </c>
      <c r="B5" s="14" t="inlineStr">
        <is>
          <t>Ettore. L'uomo straordinariamente forte</t>
        </is>
      </c>
      <c r="C5" s="14" t="inlineStr">
        <is>
          <t>Magali Le Huche</t>
        </is>
      </c>
      <c r="D5" s="14" t="inlineStr">
        <is>
          <t>Albi illustrati / Narrativa / Educazione al genere</t>
        </is>
      </c>
      <c r="E5" s="14" t="inlineStr">
        <is>
          <t>5 anni</t>
        </is>
      </c>
      <c r="F5" s="14" t="inlineStr">
        <is>
          <t>3-6 anni</t>
        </is>
      </c>
      <c r="G5" s="14" t="inlineStr">
        <is>
          <t>Albo illustrato</t>
        </is>
      </c>
      <c r="H5" s="14" t="inlineStr">
        <is>
          <t>Stereotipi di genere</t>
        </is>
      </c>
      <c r="I5" s="14" t="inlineStr">
        <is>
          <t>No</t>
        </is>
      </c>
      <c r="J5" s="14" t="inlineStr">
        <is>
          <t>Catalogo</t>
        </is>
      </c>
      <c r="K5" s="14" t="inlineStr">
        <is>
          <t>3-6 anni</t>
        </is>
      </c>
      <c r="L5" s="14" t="inlineStr">
        <is>
          <t>https://www.informafamiglie.it/bibliografia-e-filmografia/bibliografia/identita-e-stereotipi-di-genere</t>
        </is>
      </c>
      <c r="M5" s="16" t="n">
        <v>16.5</v>
      </c>
      <c r="N5" s="14" t="inlineStr">
        <is>
          <t>Sito Settenove (prezzo di copertina)</t>
        </is>
      </c>
      <c r="O5" s="16">
        <f>IF(ISNUMBER(M5),ROUND(M5*(1-Condizioni!$B$2),2),"")</f>
        <v/>
      </c>
      <c r="P5" s="17" t="inlineStr">
        <is>
          <t>Sì</t>
        </is>
      </c>
    </row>
    <row r="6">
      <c r="A6" s="14" t="inlineStr">
        <is>
          <t>Settenove</t>
        </is>
      </c>
      <c r="B6" s="14" t="inlineStr">
        <is>
          <t>Giorgia e Giorgio. W i nonni!</t>
        </is>
      </c>
      <c r="C6" s="14" t="inlineStr">
        <is>
          <t>C. Obber; ill. S. Vinciguerra</t>
        </is>
      </c>
      <c r="D6" s="14" t="inlineStr">
        <is>
          <t>Albi illustrati / Narrativa / Educazione al genere</t>
        </is>
      </c>
      <c r="E6" s="14" t="inlineStr">
        <is>
          <t>da 3 anni</t>
        </is>
      </c>
      <c r="F6" s="14" t="inlineStr">
        <is>
          <t>3-6 anni</t>
        </is>
      </c>
      <c r="G6" s="14" t="inlineStr">
        <is>
          <t>Albo illustrato</t>
        </is>
      </c>
      <c r="H6" s="14" t="inlineStr">
        <is>
          <t>Parità e famiglia (serie Giorgia e Giorgio)</t>
        </is>
      </c>
      <c r="I6" s="14" t="inlineStr">
        <is>
          <t>No</t>
        </is>
      </c>
      <c r="J6" s="14" t="inlineStr">
        <is>
          <t>Catalogo</t>
        </is>
      </c>
      <c r="K6" s="14" t="inlineStr">
        <is>
          <t>3-6 anni</t>
        </is>
      </c>
      <c r="L6" s="14" t="inlineStr">
        <is>
          <t>https://www.settenove.it/catalogo/narrativa/5</t>
        </is>
      </c>
      <c r="M6" s="16" t="n">
        <v>13.5</v>
      </c>
      <c r="N6" s="14" t="inlineStr">
        <is>
          <t>Sito Settenove (prezzo di copertina)</t>
        </is>
      </c>
      <c r="O6" s="16">
        <f>IF(ISNUMBER(M6),ROUND(M6*(1-Condizioni!$B$2),2),"")</f>
        <v/>
      </c>
      <c r="P6" s="17" t="inlineStr">
        <is>
          <t>Sì</t>
        </is>
      </c>
    </row>
    <row r="7">
      <c r="A7" s="14" t="inlineStr">
        <is>
          <t>Settenove</t>
        </is>
      </c>
      <c r="B7" s="14" t="inlineStr">
        <is>
          <t>Il bosco in casa</t>
        </is>
      </c>
      <c r="C7" s="14" t="inlineStr">
        <is>
          <t>Sarah Vegna; ill. Astrid Tolke</t>
        </is>
      </c>
      <c r="D7" s="14" t="inlineStr">
        <is>
          <t>Albi illustrati / Narrativa / Educazione al genere</t>
        </is>
      </c>
      <c r="E7" s="14" t="inlineStr">
        <is>
          <t>da 4 anni</t>
        </is>
      </c>
      <c r="F7" s="14" t="inlineStr">
        <is>
          <t>3-6 anni</t>
        </is>
      </c>
      <c r="G7" s="14" t="inlineStr">
        <is>
          <t>Albo illustrato</t>
        </is>
      </c>
      <c r="H7" s="14" t="inlineStr">
        <is>
          <t>Famiglie omogenitoriali, riciclo e natura</t>
        </is>
      </c>
      <c r="I7" s="14" t="inlineStr">
        <is>
          <t>No</t>
        </is>
      </c>
      <c r="J7" s="14" t="inlineStr">
        <is>
          <t>Catalogo</t>
        </is>
      </c>
      <c r="K7" s="14" t="inlineStr">
        <is>
          <t>3-6 anni</t>
        </is>
      </c>
      <c r="L7" s="14" t="inlineStr">
        <is>
          <t>https://www.ibs.it/bosco-in-casa-ediz-a-libro-sarah-vegna/e/9788898947355</t>
        </is>
      </c>
      <c r="M7" s="16" t="n">
        <v>14</v>
      </c>
      <c r="N7" s="14" t="inlineStr">
        <is>
          <t>Sito Settenove (prezzo di copertina)</t>
        </is>
      </c>
      <c r="O7" s="16">
        <f>IF(ISNUMBER(M7),ROUND(M7*(1-Condizioni!$B$2),2),"")</f>
        <v/>
      </c>
      <c r="P7" s="17" t="inlineStr">
        <is>
          <t>Sì</t>
        </is>
      </c>
    </row>
    <row r="8">
      <c r="A8" s="14" t="inlineStr">
        <is>
          <t>Settenove</t>
        </is>
      </c>
      <c r="B8" s="14" t="inlineStr">
        <is>
          <t>Il piccolo giardiniere</t>
        </is>
      </c>
      <c r="C8" s="14" t="inlineStr">
        <is>
          <t>Emily Hughes</t>
        </is>
      </c>
      <c r="D8" s="14" t="inlineStr">
        <is>
          <t>Albi illustrati / Narrativa / Educazione al genere</t>
        </is>
      </c>
      <c r="E8" s="14" t="inlineStr">
        <is>
          <t>da 4 anni</t>
        </is>
      </c>
      <c r="F8" s="14" t="inlineStr">
        <is>
          <t>3-6 anni</t>
        </is>
      </c>
      <c r="G8" s="14" t="inlineStr">
        <is>
          <t>Albo illustrato</t>
        </is>
      </c>
      <c r="H8" s="14" t="inlineStr">
        <is>
          <t>Libertà e identità</t>
        </is>
      </c>
      <c r="I8" s="14" t="inlineStr">
        <is>
          <t>No</t>
        </is>
      </c>
      <c r="J8" s="14" t="inlineStr">
        <is>
          <t>Catalogo</t>
        </is>
      </c>
      <c r="K8" s="14" t="inlineStr">
        <is>
          <t>3-6 anni</t>
        </is>
      </c>
      <c r="L8" s="14" t="inlineStr">
        <is>
          <t>https://www.settenove.it/catalogo/narrativa/5</t>
        </is>
      </c>
      <c r="M8" s="16" t="n">
        <v>18</v>
      </c>
      <c r="N8" s="14" t="inlineStr">
        <is>
          <t>Sito Settenove (prezzo di copertina)</t>
        </is>
      </c>
      <c r="O8" s="16">
        <f>IF(ISNUMBER(M8),ROUND(M8*(1-Condizioni!$B$2),2),"")</f>
        <v/>
      </c>
      <c r="P8" s="17" t="inlineStr">
        <is>
          <t>Sì</t>
        </is>
      </c>
    </row>
    <row r="9">
      <c r="A9" s="14" t="inlineStr">
        <is>
          <t>Settenove</t>
        </is>
      </c>
      <c r="B9" s="14" t="inlineStr">
        <is>
          <t>In famiglia!</t>
        </is>
      </c>
      <c r="C9" s="14" t="inlineStr">
        <is>
          <t>A. Maxeiner; ill. A. Kuhl</t>
        </is>
      </c>
      <c r="D9" s="14" t="inlineStr">
        <is>
          <t>Albi illustrati / Narrativa / Educazione al genere</t>
        </is>
      </c>
      <c r="E9" s="14" t="inlineStr">
        <is>
          <t>da 4 anni</t>
        </is>
      </c>
      <c r="F9" s="14" t="inlineStr">
        <is>
          <t>3-6 anni</t>
        </is>
      </c>
      <c r="G9" s="14" t="inlineStr">
        <is>
          <t>Albo illustrato</t>
        </is>
      </c>
      <c r="H9" s="14" t="inlineStr">
        <is>
          <t>Famiglie ricomposte</t>
        </is>
      </c>
      <c r="I9" s="14" t="inlineStr">
        <is>
          <t>No</t>
        </is>
      </c>
      <c r="J9" s="14" t="inlineStr">
        <is>
          <t>Catalogo</t>
        </is>
      </c>
      <c r="K9" s="14" t="inlineStr">
        <is>
          <t>3-6 anni</t>
        </is>
      </c>
      <c r="L9" s="14" t="inlineStr">
        <is>
          <t>https://www.settenove.it/catalogo/narrativa/5</t>
        </is>
      </c>
      <c r="M9" s="16" t="n">
        <v>16</v>
      </c>
      <c r="N9" s="14" t="inlineStr">
        <is>
          <t>Sito Settenove (prezzo di copertina)</t>
        </is>
      </c>
      <c r="O9" s="16">
        <f>IF(ISNUMBER(M9),ROUND(M9*(1-Condizioni!$B$2),2),"")</f>
        <v/>
      </c>
      <c r="P9" s="17" t="inlineStr">
        <is>
          <t>Sì</t>
        </is>
      </c>
    </row>
    <row r="10">
      <c r="A10" s="14" t="inlineStr">
        <is>
          <t>Settenove</t>
        </is>
      </c>
      <c r="B10" s="14" t="inlineStr">
        <is>
          <t>Io sono così</t>
        </is>
      </c>
      <c r="C10" s="14" t="inlineStr">
        <is>
          <t>F. Degl'Innocenti, A. Ferrara</t>
        </is>
      </c>
      <c r="D10" s="14" t="inlineStr">
        <is>
          <t>Albi illustrati / Narrativa / Educazione al genere</t>
        </is>
      </c>
      <c r="E10" s="14" t="inlineStr">
        <is>
          <t>4 anni</t>
        </is>
      </c>
      <c r="F10" s="14" t="inlineStr">
        <is>
          <t>3-6 anni</t>
        </is>
      </c>
      <c r="G10" s="14" t="inlineStr">
        <is>
          <t>Albo illustrato</t>
        </is>
      </c>
      <c r="H10" s="14" t="inlineStr">
        <is>
          <t>Identità e stereotipi di genere</t>
        </is>
      </c>
      <c r="I10" s="14" t="inlineStr">
        <is>
          <t>No</t>
        </is>
      </c>
      <c r="J10" s="14" t="inlineStr">
        <is>
          <t>Catalogo</t>
        </is>
      </c>
      <c r="K10" s="14" t="inlineStr">
        <is>
          <t>3-6 anni</t>
        </is>
      </c>
      <c r="L10" s="14" t="inlineStr">
        <is>
          <t>https://www.informafamiglie.it/bibliografia-e-filmografia/bibliografia/identita-e-stereotipi-di-genere</t>
        </is>
      </c>
      <c r="M10" s="16" t="n">
        <v>14</v>
      </c>
      <c r="N10" s="14" t="inlineStr">
        <is>
          <t>Sito Settenove (prezzo di copertina)</t>
        </is>
      </c>
      <c r="O10" s="16">
        <f>IF(ISNUMBER(M10),ROUND(M10*(1-Condizioni!$B$2),2),"")</f>
        <v/>
      </c>
      <c r="P10" s="17" t="inlineStr">
        <is>
          <t>Sì</t>
        </is>
      </c>
    </row>
    <row r="11">
      <c r="A11" s="14" t="inlineStr">
        <is>
          <t>Settenove</t>
        </is>
      </c>
      <c r="B11" s="14" t="inlineStr">
        <is>
          <t>Mi piace Spiderman... e allora?</t>
        </is>
      </c>
      <c r="C11" s="14" t="inlineStr">
        <is>
          <t>G. Vezzoli, M. Di Lauro</t>
        </is>
      </c>
      <c r="D11" s="14" t="inlineStr">
        <is>
          <t>Albi illustrati / Narrativa / Educazione al genere</t>
        </is>
      </c>
      <c r="E11" s="14" t="inlineStr">
        <is>
          <t>da 5 anni</t>
        </is>
      </c>
      <c r="F11" s="14" t="inlineStr">
        <is>
          <t>3-6 anni</t>
        </is>
      </c>
      <c r="G11" s="14" t="inlineStr">
        <is>
          <t>Albo illustrato</t>
        </is>
      </c>
      <c r="H11" s="14" t="inlineStr">
        <is>
          <t>Stereotipi di genere</t>
        </is>
      </c>
      <c r="I11" s="14" t="inlineStr">
        <is>
          <t>No</t>
        </is>
      </c>
      <c r="J11" s="14" t="inlineStr">
        <is>
          <t>Catalogo</t>
        </is>
      </c>
      <c r="K11" s="14" t="inlineStr">
        <is>
          <t>3-6 anni</t>
        </is>
      </c>
      <c r="L11" s="14" t="inlineStr">
        <is>
          <t>https://www.informafamiglie.it/bibliografia-e-filmografia/bibliografia/identita-e-stereotipi-di-genere</t>
        </is>
      </c>
      <c r="M11" s="16" t="n">
        <v>13</v>
      </c>
      <c r="N11" s="14" t="inlineStr">
        <is>
          <t>Sito Settenove (prezzo di copertina)</t>
        </is>
      </c>
      <c r="O11" s="16">
        <f>IF(ISNUMBER(M11),ROUND(M11*(1-Condizioni!$B$2),2),"")</f>
        <v/>
      </c>
      <c r="P11" s="17" t="inlineStr">
        <is>
          <t>Sì</t>
        </is>
      </c>
    </row>
    <row r="12">
      <c r="A12" s="14" t="inlineStr">
        <is>
          <t>Settenove</t>
        </is>
      </c>
      <c r="B12" s="14" t="inlineStr">
        <is>
          <t>Se un bambino</t>
        </is>
      </c>
      <c r="C12" s="14" t="inlineStr">
        <is>
          <t>Davide Musso; ill. Anna Forlati</t>
        </is>
      </c>
      <c r="D12" s="14" t="inlineStr">
        <is>
          <t>Albi illustrati / Narrativa / Educazione al genere</t>
        </is>
      </c>
      <c r="E12" s="14" t="inlineStr">
        <is>
          <t>da 4 anni</t>
        </is>
      </c>
      <c r="F12" s="14" t="inlineStr">
        <is>
          <t>3-6 anni</t>
        </is>
      </c>
      <c r="G12" s="14" t="inlineStr">
        <is>
          <t>Albo illustrato</t>
        </is>
      </c>
      <c r="H12" s="14" t="inlineStr">
        <is>
          <t>Diritti dell'infanzia</t>
        </is>
      </c>
      <c r="I12" s="14" t="inlineStr">
        <is>
          <t>No</t>
        </is>
      </c>
      <c r="J12" s="14" t="inlineStr">
        <is>
          <t>Catalogo</t>
        </is>
      </c>
      <c r="K12" s="14" t="inlineStr">
        <is>
          <t>3-6 anni</t>
        </is>
      </c>
      <c r="L12" s="14" t="inlineStr">
        <is>
          <t>https://www.settenove.it/catalogo/narrativa/5</t>
        </is>
      </c>
      <c r="M12" s="16" t="n">
        <v>17</v>
      </c>
      <c r="N12" s="14" t="inlineStr">
        <is>
          <t>Sito Settenove (prezzo di copertina)</t>
        </is>
      </c>
      <c r="O12" s="16">
        <f>IF(ISNUMBER(M12),ROUND(M12*(1-Condizioni!$B$2),2),"")</f>
        <v/>
      </c>
      <c r="P12" s="17" t="inlineStr">
        <is>
          <t>Sì</t>
        </is>
      </c>
    </row>
    <row r="13">
      <c r="A13" s="14" t="inlineStr">
        <is>
          <t>Settenove</t>
        </is>
      </c>
      <c r="B13" s="14" t="inlineStr">
        <is>
          <t>Una damigella NON in pericolo!</t>
        </is>
      </c>
      <c r="C13" s="14" t="inlineStr">
        <is>
          <t>Bethan Stevens</t>
        </is>
      </c>
      <c r="D13" s="14" t="inlineStr">
        <is>
          <t>Albi illustrati / Narrativa / Educazione al genere</t>
        </is>
      </c>
      <c r="E13" s="14" t="inlineStr">
        <is>
          <t>da 5 anni</t>
        </is>
      </c>
      <c r="F13" s="14" t="inlineStr">
        <is>
          <t>3-6 anni</t>
        </is>
      </c>
      <c r="G13" s="14" t="inlineStr">
        <is>
          <t>Albo illustrato</t>
        </is>
      </c>
      <c r="H13" s="14" t="inlineStr">
        <is>
          <t>Stereotipi nelle fiabe</t>
        </is>
      </c>
      <c r="I13" s="14" t="inlineStr">
        <is>
          <t>No</t>
        </is>
      </c>
      <c r="J13" s="14" t="inlineStr">
        <is>
          <t>Catalogo</t>
        </is>
      </c>
      <c r="K13" s="14" t="inlineStr">
        <is>
          <t>3-6 anni</t>
        </is>
      </c>
      <c r="L13" s="14" t="inlineStr">
        <is>
          <t>https://www.settenove.it/catalogo/narrativa/5</t>
        </is>
      </c>
      <c r="M13" s="16" t="n">
        <v>19</v>
      </c>
      <c r="N13" s="14" t="inlineStr">
        <is>
          <t>Sito Settenove (prezzo di copertina)</t>
        </is>
      </c>
      <c r="O13" s="16">
        <f>IF(ISNUMBER(M13),ROUND(M13*(1-Condizioni!$B$2),2),"")</f>
        <v/>
      </c>
      <c r="P13" s="17" t="inlineStr">
        <is>
          <t>Sì</t>
        </is>
      </c>
    </row>
    <row r="14">
      <c r="A14" s="14" t="inlineStr">
        <is>
          <t>Settenove</t>
        </is>
      </c>
      <c r="B14" s="14" t="inlineStr">
        <is>
          <t>Una stanza tutta per me</t>
        </is>
      </c>
      <c r="C14" s="14" t="inlineStr">
        <is>
          <t>Serena Ballista; ill. Chiara Carrer</t>
        </is>
      </c>
      <c r="D14" s="14" t="inlineStr">
        <is>
          <t>Albi illustrati / Narrativa / Educazione al genere</t>
        </is>
      </c>
      <c r="E14" s="14" t="inlineStr">
        <is>
          <t>da 3 anni</t>
        </is>
      </c>
      <c r="F14" s="14" t="inlineStr">
        <is>
          <t>3-6 anni</t>
        </is>
      </c>
      <c r="G14" s="14" t="inlineStr">
        <is>
          <t>Albo illustrato</t>
        </is>
      </c>
      <c r="H14" s="14" t="inlineStr">
        <is>
          <t>Autonomia delle donne (da Virginia Woolf)</t>
        </is>
      </c>
      <c r="I14" s="14" t="inlineStr">
        <is>
          <t>No</t>
        </is>
      </c>
      <c r="J14" s="14" t="inlineStr">
        <is>
          <t>Catalogo</t>
        </is>
      </c>
      <c r="K14" s="14" t="inlineStr">
        <is>
          <t>3-6 anni</t>
        </is>
      </c>
      <c r="L14" s="14" t="inlineStr">
        <is>
          <t>https://www.settenove.it/catalogo/narrativa/5</t>
        </is>
      </c>
      <c r="M14" s="16" t="n">
        <v>15</v>
      </c>
      <c r="N14" s="14" t="inlineStr">
        <is>
          <t>Sito Settenove (prezzo di copertina)</t>
        </is>
      </c>
      <c r="O14" s="16">
        <f>IF(ISNUMBER(M14),ROUND(M14*(1-Condizioni!$B$2),2),"")</f>
        <v/>
      </c>
      <c r="P14" s="17" t="inlineStr">
        <is>
          <t>Sì</t>
        </is>
      </c>
    </row>
    <row r="15">
      <c r="A15" s="14" t="inlineStr">
        <is>
          <t>Settenove</t>
        </is>
      </c>
      <c r="B15" s="14" t="inlineStr">
        <is>
          <t>Greta e le altre. Un pianeta da salvare</t>
        </is>
      </c>
      <c r="C15" s="14" t="inlineStr">
        <is>
          <t>F. Degl'Innocenti; ill. F. Rizzato</t>
        </is>
      </c>
      <c r="D15" s="14" t="inlineStr">
        <is>
          <t>Albi illustrati / Narrativa / Educazione al genere</t>
        </is>
      </c>
      <c r="E15" s="14" t="inlineStr">
        <is>
          <t>da 6 anni</t>
        </is>
      </c>
      <c r="F15" s="14" t="inlineStr">
        <is>
          <t>Prime letture (6-8)</t>
        </is>
      </c>
      <c r="G15" s="14" t="inlineStr">
        <is>
          <t>Albo illustrato</t>
        </is>
      </c>
      <c r="H15" s="14" t="inlineStr">
        <is>
          <t>Ambiente e attivismo giovanile</t>
        </is>
      </c>
      <c r="I15" s="14" t="inlineStr">
        <is>
          <t>No</t>
        </is>
      </c>
      <c r="J15" s="14" t="inlineStr">
        <is>
          <t>Catalogo</t>
        </is>
      </c>
      <c r="K15" s="14" t="inlineStr">
        <is>
          <t>prime letture</t>
        </is>
      </c>
      <c r="L15" s="14" t="inlineStr">
        <is>
          <t>https://www.settenove.it/catalogo/narrativa/5</t>
        </is>
      </c>
      <c r="M15" s="16" t="n">
        <v>12</v>
      </c>
      <c r="N15" s="14" t="inlineStr">
        <is>
          <t>Sito Settenove (prezzo di copertina)</t>
        </is>
      </c>
      <c r="O15" s="16">
        <f>IF(ISNUMBER(M15),ROUND(M15*(1-Condizioni!$B$2),2),"")</f>
        <v/>
      </c>
      <c r="P15" s="17" t="inlineStr">
        <is>
          <t>Sì</t>
        </is>
      </c>
    </row>
    <row r="16">
      <c r="A16" s="14" t="inlineStr">
        <is>
          <t>Settenove</t>
        </is>
      </c>
      <c r="B16" s="14" t="inlineStr">
        <is>
          <t>Io sono Adila. Storia illustrata di Malala Yousafzai</t>
        </is>
      </c>
      <c r="C16" s="14" t="inlineStr">
        <is>
          <t>F. Degl'Innocenti; ill. A. Forlati</t>
        </is>
      </c>
      <c r="D16" s="14" t="inlineStr">
        <is>
          <t>Albi illustrati / Narrativa / Educazione al genere</t>
        </is>
      </c>
      <c r="E16" s="14" t="inlineStr">
        <is>
          <t>da 6 anni</t>
        </is>
      </c>
      <c r="F16" s="14" t="inlineStr">
        <is>
          <t>Prime letture (6-8)</t>
        </is>
      </c>
      <c r="G16" s="14" t="inlineStr">
        <is>
          <t>Albo illustrato</t>
        </is>
      </c>
      <c r="H16" s="14" t="inlineStr">
        <is>
          <t>Diritto all'istruzione</t>
        </is>
      </c>
      <c r="I16" s="14" t="inlineStr">
        <is>
          <t>No</t>
        </is>
      </c>
      <c r="J16" s="14" t="inlineStr">
        <is>
          <t>Catalogo</t>
        </is>
      </c>
      <c r="K16" s="14" t="inlineStr">
        <is>
          <t>prime letture</t>
        </is>
      </c>
      <c r="L16" s="14" t="inlineStr">
        <is>
          <t>https://www.settenove.it/catalogo/narrativa/5</t>
        </is>
      </c>
      <c r="M16" s="16" t="n">
        <v>17</v>
      </c>
      <c r="N16" s="14" t="inlineStr">
        <is>
          <t>Sito Settenove (prezzo di copertina)</t>
        </is>
      </c>
      <c r="O16" s="16">
        <f>IF(ISNUMBER(M16),ROUND(M16*(1-Condizioni!$B$2),2),"")</f>
        <v/>
      </c>
      <c r="P16" s="17" t="inlineStr">
        <is>
          <t>Sì</t>
        </is>
      </c>
    </row>
    <row r="17">
      <c r="A17" s="14" t="inlineStr">
        <is>
          <t>Settenove</t>
        </is>
      </c>
      <c r="B17" s="14" t="inlineStr">
        <is>
          <t>June e Lea</t>
        </is>
      </c>
      <c r="C17" s="14" t="inlineStr">
        <is>
          <t>Sandrine Bonini; ill. Sandra Desmazières</t>
        </is>
      </c>
      <c r="D17" s="14" t="inlineStr">
        <is>
          <t>Albi illustrati / Narrativa / Educazione al genere</t>
        </is>
      </c>
      <c r="E17" s="14" t="inlineStr">
        <is>
          <t>da 6 anni</t>
        </is>
      </c>
      <c r="F17" s="14" t="inlineStr">
        <is>
          <t>Prime letture (6-8)</t>
        </is>
      </c>
      <c r="G17" s="14" t="inlineStr">
        <is>
          <t>Narrativa</t>
        </is>
      </c>
      <c r="H17" s="14" t="inlineStr">
        <is>
          <t>Stereotipi di genere / passaggio all'adolescenza</t>
        </is>
      </c>
      <c r="I17" s="14" t="inlineStr">
        <is>
          <t>No</t>
        </is>
      </c>
      <c r="J17" s="14" t="inlineStr">
        <is>
          <t>Catalogo</t>
        </is>
      </c>
      <c r="K17" s="14" t="inlineStr">
        <is>
          <t>prime letture, narrativa</t>
        </is>
      </c>
      <c r="L17" s="14" t="inlineStr">
        <is>
          <t>https://www.settenove.it/articoli/june-e-lea/303</t>
        </is>
      </c>
      <c r="M17" s="16" t="n">
        <v>19</v>
      </c>
      <c r="N17" s="14" t="inlineStr">
        <is>
          <t>Sito Settenove (prezzo di copertina)</t>
        </is>
      </c>
      <c r="O17" s="16">
        <f>IF(ISNUMBER(M17),ROUND(M17*(1-Condizioni!$B$2),2),"")</f>
        <v/>
      </c>
      <c r="P17" s="17" t="inlineStr">
        <is>
          <t>Sì</t>
        </is>
      </c>
    </row>
    <row r="18">
      <c r="A18" s="14" t="inlineStr">
        <is>
          <t>Settenove</t>
        </is>
      </c>
      <c r="B18" s="14" t="inlineStr">
        <is>
          <t>Il mio super eserciziario femminista</t>
        </is>
      </c>
      <c r="C18" s="14" t="inlineStr">
        <is>
          <t>Claire Cantais</t>
        </is>
      </c>
      <c r="D18" s="14" t="inlineStr">
        <is>
          <t>Albi illustrati / Narrativa / Educazione al genere</t>
        </is>
      </c>
      <c r="E18" s="14" t="inlineStr">
        <is>
          <t>da 8 anni</t>
        </is>
      </c>
      <c r="F18" s="14" t="inlineStr">
        <is>
          <t>8+</t>
        </is>
      </c>
      <c r="G18" s="14" t="inlineStr">
        <is>
          <t>Divulgazione/Saggio</t>
        </is>
      </c>
      <c r="H18" s="14" t="inlineStr">
        <is>
          <t>Femminismo</t>
        </is>
      </c>
      <c r="I18" s="14" t="inlineStr">
        <is>
          <t>No</t>
        </is>
      </c>
      <c r="J18" s="14" t="inlineStr">
        <is>
          <t>Catalogo</t>
        </is>
      </c>
      <c r="K18" s="14" t="inlineStr">
        <is>
          <t>8+</t>
        </is>
      </c>
      <c r="L18" s="14" t="inlineStr">
        <is>
          <t>https://www.settenove.it/catalogo/narrativa/5</t>
        </is>
      </c>
      <c r="M18" s="16" t="n">
        <v>15</v>
      </c>
      <c r="N18" s="14" t="inlineStr">
        <is>
          <t>Sito Settenove (prezzo di copertina)</t>
        </is>
      </c>
      <c r="O18" s="16">
        <f>IF(ISNUMBER(M18),ROUND(M18*(1-Condizioni!$B$2),2),"")</f>
        <v/>
      </c>
      <c r="P18" s="17" t="inlineStr">
        <is>
          <t>Sì</t>
        </is>
      </c>
    </row>
    <row r="19">
      <c r="A19" s="14" t="inlineStr">
        <is>
          <t>Settenove</t>
        </is>
      </c>
      <c r="B19" s="14" t="inlineStr">
        <is>
          <t>Il mondo ha bisogno delle ragazze (di me)</t>
        </is>
      </c>
      <c r="C19" s="14" t="inlineStr">
        <is>
          <t>Alessandra Spada</t>
        </is>
      </c>
      <c r="D19" s="14" t="inlineStr">
        <is>
          <t>Albi illustrati / Narrativa / Educazione al genere</t>
        </is>
      </c>
      <c r="E19" s="14" t="inlineStr">
        <is>
          <t>da 10 anni</t>
        </is>
      </c>
      <c r="F19" s="14" t="inlineStr">
        <is>
          <t>10+</t>
        </is>
      </c>
      <c r="G19" s="14" t="inlineStr">
        <is>
          <t>Narrativa</t>
        </is>
      </c>
      <c r="H19" s="14" t="inlineStr">
        <is>
          <t>Parità di genere</t>
        </is>
      </c>
      <c r="I19" s="14" t="inlineStr">
        <is>
          <t>No</t>
        </is>
      </c>
      <c r="J19" s="14" t="inlineStr">
        <is>
          <t>Catalogo</t>
        </is>
      </c>
      <c r="K19" s="14" t="inlineStr">
        <is>
          <t>10+, narrativa</t>
        </is>
      </c>
      <c r="L19" s="14" t="inlineStr">
        <is>
          <t>https://www.settenove.it/catalogo/narrativa/5</t>
        </is>
      </c>
      <c r="M19" s="16" t="n">
        <v>14.9</v>
      </c>
      <c r="N19" s="14" t="inlineStr">
        <is>
          <t>Sito Settenove (prezzo di copertina)</t>
        </is>
      </c>
      <c r="O19" s="16">
        <f>IF(ISNUMBER(M19),ROUND(M19*(1-Condizioni!$B$2),2),"")</f>
        <v/>
      </c>
      <c r="P19" s="17" t="inlineStr">
        <is>
          <t>Sì</t>
        </is>
      </c>
    </row>
    <row r="20">
      <c r="A20" s="14" t="inlineStr">
        <is>
          <t>Settenove</t>
        </is>
      </c>
      <c r="B20" s="14" t="inlineStr">
        <is>
          <t>Il primo voto di Matilde</t>
        </is>
      </c>
      <c r="C20" s="14" t="inlineStr">
        <is>
          <t>F. Degl'Innocenti; ill. G. Marchegiani</t>
        </is>
      </c>
      <c r="D20" s="14" t="inlineStr">
        <is>
          <t>Albi illustrati / Narrativa / Educazione al genere</t>
        </is>
      </c>
      <c r="E20" s="14" t="inlineStr">
        <is>
          <t>da 10 anni</t>
        </is>
      </c>
      <c r="F20" s="14" t="inlineStr">
        <is>
          <t>10+</t>
        </is>
      </c>
      <c r="G20" s="14" t="inlineStr">
        <is>
          <t>Albo illustrato</t>
        </is>
      </c>
      <c r="H20" s="14" t="inlineStr">
        <is>
          <t>Diritto di voto delle donne</t>
        </is>
      </c>
      <c r="I20" s="14" t="inlineStr">
        <is>
          <t>No</t>
        </is>
      </c>
      <c r="J20" s="14" t="inlineStr">
        <is>
          <t>Catalogo</t>
        </is>
      </c>
      <c r="K20" s="14" t="inlineStr">
        <is>
          <t>10+</t>
        </is>
      </c>
      <c r="L20" s="14" t="inlineStr">
        <is>
          <t>https://www.settenove.it/catalogo/narrativa/5</t>
        </is>
      </c>
      <c r="M20" s="16" t="n">
        <v>15</v>
      </c>
      <c r="N20" s="14" t="inlineStr">
        <is>
          <t>Sito Settenove (prezzo di copertina)</t>
        </is>
      </c>
      <c r="O20" s="16">
        <f>IF(ISNUMBER(M20),ROUND(M20*(1-Condizioni!$B$2),2),"")</f>
        <v/>
      </c>
      <c r="P20" s="17" t="inlineStr">
        <is>
          <t>Sì</t>
        </is>
      </c>
    </row>
    <row r="21">
      <c r="A21" s="14" t="inlineStr">
        <is>
          <t>Settenove</t>
        </is>
      </c>
      <c r="B21" s="14" t="inlineStr">
        <is>
          <t>Period Girl</t>
        </is>
      </c>
      <c r="C21" s="14" t="inlineStr">
        <is>
          <t>Giorgia Vezzoli</t>
        </is>
      </c>
      <c r="D21" s="14" t="inlineStr">
        <is>
          <t>Albi illustrati / Narrativa / Educazione al genere</t>
        </is>
      </c>
      <c r="E21" s="14" t="inlineStr">
        <is>
          <t>da 10 anni</t>
        </is>
      </c>
      <c r="F21" s="14" t="inlineStr">
        <is>
          <t>10+</t>
        </is>
      </c>
      <c r="G21" s="14" t="inlineStr">
        <is>
          <t>Albo illustrato</t>
        </is>
      </c>
      <c r="H21" s="14" t="inlineStr">
        <is>
          <t>Ciclo mestruale / corpo</t>
        </is>
      </c>
      <c r="I21" s="14" t="inlineStr">
        <is>
          <t>No</t>
        </is>
      </c>
      <c r="J21" s="14" t="inlineStr">
        <is>
          <t>Catalogo</t>
        </is>
      </c>
      <c r="K21" s="14" t="inlineStr">
        <is>
          <t>10+</t>
        </is>
      </c>
      <c r="L21" s="14" t="inlineStr">
        <is>
          <t>https://www.settenove.it/catalogo/narrativa/5</t>
        </is>
      </c>
      <c r="M21" s="16" t="n">
        <v>15.5</v>
      </c>
      <c r="N21" s="14" t="inlineStr">
        <is>
          <t>Sito Settenove (prezzo di copertina)</t>
        </is>
      </c>
      <c r="O21" s="16">
        <f>IF(ISNUMBER(M21),ROUND(M21*(1-Condizioni!$B$2),2),"")</f>
        <v/>
      </c>
      <c r="P21" s="17" t="inlineStr">
        <is>
          <t>Sì</t>
        </is>
      </c>
    </row>
    <row r="22">
      <c r="A22" s="14" t="inlineStr">
        <is>
          <t>Settenove</t>
        </is>
      </c>
      <c r="B22" s="14" t="inlineStr">
        <is>
          <t>Come un fiume. Una storia chiamata femminismo</t>
        </is>
      </c>
      <c r="C22" s="14" t="inlineStr">
        <is>
          <t>Emilia Zazza, Anna Arianna Melone</t>
        </is>
      </c>
      <c r="D22" s="14" t="inlineStr">
        <is>
          <t>Albi illustrati / Narrativa / Educazione al genere</t>
        </is>
      </c>
      <c r="E22" s="14" t="inlineStr">
        <is>
          <t>da 11 anni</t>
        </is>
      </c>
      <c r="F22" s="14" t="inlineStr">
        <is>
          <t>Scuola media (11-13)</t>
        </is>
      </c>
      <c r="G22" s="14" t="inlineStr">
        <is>
          <t>Divulgazione/Saggio</t>
        </is>
      </c>
      <c r="H22" s="14" t="inlineStr">
        <is>
          <t>Storia del femminismo</t>
        </is>
      </c>
      <c r="I22" s="14" t="inlineStr">
        <is>
          <t>No</t>
        </is>
      </c>
      <c r="J22" s="14" t="inlineStr">
        <is>
          <t>Catalogo</t>
        </is>
      </c>
      <c r="K22" s="14" t="inlineStr">
        <is>
          <t>prima/seconda/terza media</t>
        </is>
      </c>
      <c r="L22" s="14" t="inlineStr">
        <is>
          <t>https://www.settenove.it/catalogo/narrativa/5</t>
        </is>
      </c>
      <c r="M22" s="16" t="n">
        <v>17</v>
      </c>
      <c r="N22" s="14" t="inlineStr">
        <is>
          <t>Sito Settenove (prezzo di copertina)</t>
        </is>
      </c>
      <c r="O22" s="16">
        <f>IF(ISNUMBER(M22),ROUND(M22*(1-Condizioni!$B$2),2),"")</f>
        <v/>
      </c>
      <c r="P22" s="17" t="inlineStr">
        <is>
          <t>Sì</t>
        </is>
      </c>
    </row>
    <row r="23">
      <c r="A23" s="14" t="inlineStr">
        <is>
          <t>Settenove</t>
        </is>
      </c>
      <c r="B23" s="14" t="inlineStr">
        <is>
          <t>Rompi le scatole! Idee e storie per fare a pezzi stereotipi e pregiudizi</t>
        </is>
      </c>
      <c r="C23" s="14" t="inlineStr">
        <is>
          <t>Pina Caporaso</t>
        </is>
      </c>
      <c r="D23" s="14" t="inlineStr">
        <is>
          <t>Albi illustrati / Narrativa / Educazione al genere</t>
        </is>
      </c>
      <c r="E23" s="14" t="inlineStr">
        <is>
          <t>da 11 anni</t>
        </is>
      </c>
      <c r="F23" s="14" t="inlineStr">
        <is>
          <t>Scuola media (11-13)</t>
        </is>
      </c>
      <c r="G23" s="14" t="inlineStr">
        <is>
          <t>Divulgazione/Saggio</t>
        </is>
      </c>
      <c r="H23" s="14" t="inlineStr">
        <is>
          <t>Stereotipi e pregiudizi</t>
        </is>
      </c>
      <c r="I23" s="14" t="inlineStr">
        <is>
          <t>No</t>
        </is>
      </c>
      <c r="J23" s="14" t="inlineStr">
        <is>
          <t>Catalogo</t>
        </is>
      </c>
      <c r="K23" s="14" t="inlineStr">
        <is>
          <t>prima/seconda/terza media</t>
        </is>
      </c>
      <c r="L23" s="14" t="inlineStr">
        <is>
          <t>https://www.ibs.it/libri/editori/settenove</t>
        </is>
      </c>
      <c r="M23" s="16" t="n">
        <v>17</v>
      </c>
      <c r="N23" s="14" t="inlineStr">
        <is>
          <t>Sito Settenove (prezzo di copertina)</t>
        </is>
      </c>
      <c r="O23" s="16">
        <f>IF(ISNUMBER(M23),ROUND(M23*(1-Condizioni!$B$2),2),"")</f>
        <v/>
      </c>
      <c r="P23" s="17" t="inlineStr">
        <is>
          <t>Sì</t>
        </is>
      </c>
    </row>
    <row r="24">
      <c r="A24" s="14" t="inlineStr">
        <is>
          <t>Settenove</t>
        </is>
      </c>
      <c r="B24" s="14" t="inlineStr">
        <is>
          <t>E io qui, nuda</t>
        </is>
      </c>
      <c r="C24" s="14" t="inlineStr">
        <is>
          <t>Cristina Obber</t>
        </is>
      </c>
      <c r="D24" s="14" t="inlineStr">
        <is>
          <t>Albi illustrati / Narrativa / Educazione al genere</t>
        </is>
      </c>
      <c r="E24" s="14" t="inlineStr">
        <is>
          <t>14+</t>
        </is>
      </c>
      <c r="F24" s="14" t="inlineStr">
        <is>
          <t>Adolescenza (14+)</t>
        </is>
      </c>
      <c r="G24" s="14" t="inlineStr">
        <is>
          <t>Narrativa</t>
        </is>
      </c>
      <c r="H24" s="14" t="inlineStr">
        <is>
          <t>Violenza e consenso</t>
        </is>
      </c>
      <c r="I24" s="14" t="inlineStr">
        <is>
          <t>No</t>
        </is>
      </c>
      <c r="J24" s="14" t="inlineStr">
        <is>
          <t>Catalogo</t>
        </is>
      </c>
      <c r="K24" s="14" t="inlineStr">
        <is>
          <t>adolescenza, narrativa</t>
        </is>
      </c>
      <c r="L24" s="14" t="inlineStr">
        <is>
          <t>https://www.settenove.it/catalogo/narrativa/5</t>
        </is>
      </c>
      <c r="M24" s="16" t="n">
        <v>16.5</v>
      </c>
      <c r="N24" s="14" t="inlineStr">
        <is>
          <t>Sito Settenove (prezzo di copertina)</t>
        </is>
      </c>
      <c r="O24" s="16">
        <f>IF(ISNUMBER(M24),ROUND(M24*(1-Condizioni!$B$2),2),"")</f>
        <v/>
      </c>
      <c r="P24" s="17" t="inlineStr">
        <is>
          <t>Sì</t>
        </is>
      </c>
    </row>
    <row r="25">
      <c r="A25" s="14" t="inlineStr">
        <is>
          <t>Settenove</t>
        </is>
      </c>
      <c r="B25" s="14" t="inlineStr">
        <is>
          <t>La nudità che male fa?</t>
        </is>
      </c>
      <c r="C25" s="14" t="inlineStr">
        <is>
          <t>Rosie Haine</t>
        </is>
      </c>
      <c r="D25" s="14" t="inlineStr">
        <is>
          <t>Albi illustrati / Narrativa / Educazione al genere</t>
        </is>
      </c>
      <c r="E25" s="14" t="inlineStr">
        <is>
          <t>da 6 anni</t>
        </is>
      </c>
      <c r="F25" s="14" t="inlineStr">
        <is>
          <t>Prime letture (6-8)</t>
        </is>
      </c>
      <c r="G25" s="14" t="inlineStr">
        <is>
          <t>Albo illustrato</t>
        </is>
      </c>
      <c r="H25" s="14" t="inlineStr">
        <is>
          <t>Corpo e nudità</t>
        </is>
      </c>
      <c r="I25" s="14" t="inlineStr">
        <is>
          <t>No</t>
        </is>
      </c>
      <c r="J25" s="14" t="inlineStr">
        <is>
          <t>Verificata (IBS / editore)</t>
        </is>
      </c>
      <c r="K25" s="14" t="inlineStr">
        <is>
          <t>prime letture</t>
        </is>
      </c>
      <c r="L25" s="14" t="inlineStr">
        <is>
          <t>https://www.settenove.it/catalogo/narrativa/5</t>
        </is>
      </c>
      <c r="M25" s="16" t="n">
        <v>18</v>
      </c>
      <c r="N25" s="14" t="inlineStr">
        <is>
          <t>Sito Settenove (prezzo di copertina)</t>
        </is>
      </c>
      <c r="O25" s="16">
        <f>IF(ISNUMBER(M25),ROUND(M25*(1-Condizioni!$B$2),2),"")</f>
        <v/>
      </c>
      <c r="P25" s="17" t="inlineStr">
        <is>
          <t>Sì</t>
        </is>
      </c>
    </row>
    <row r="26">
      <c r="A26" s="14" t="inlineStr">
        <is>
          <t>Settenove</t>
        </is>
      </c>
      <c r="B26" s="14" t="inlineStr">
        <is>
          <t>La strana storia di Cappuccetto Blu</t>
        </is>
      </c>
      <c r="C26" s="14" t="inlineStr">
        <is>
          <t>Guia Risari; ill. Clémence Pollet</t>
        </is>
      </c>
      <c r="D26" s="14" t="inlineStr">
        <is>
          <t>Albi illustrati / Narrativa / Educazione al genere</t>
        </is>
      </c>
      <c r="E26" s="14" t="inlineStr">
        <is>
          <t>da 7 anni</t>
        </is>
      </c>
      <c r="F26" s="14" t="inlineStr">
        <is>
          <t>Prime letture (6-8)</t>
        </is>
      </c>
      <c r="G26" s="14" t="inlineStr">
        <is>
          <t>Albo illustrato</t>
        </is>
      </c>
      <c r="H26" s="14" t="inlineStr">
        <is>
          <t>Stereotipi nelle fiabe</t>
        </is>
      </c>
      <c r="I26" s="14" t="inlineStr">
        <is>
          <t>No</t>
        </is>
      </c>
      <c r="J26" s="14" t="inlineStr">
        <is>
          <t>Verificata (IBS / editore)</t>
        </is>
      </c>
      <c r="K26" s="14" t="inlineStr">
        <is>
          <t>prime letture</t>
        </is>
      </c>
      <c r="L26" s="14" t="inlineStr">
        <is>
          <t>https://www.settenove.it/catalogo/narrativa/5</t>
        </is>
      </c>
      <c r="M26" s="16" t="n">
        <v>17</v>
      </c>
      <c r="N26" s="14" t="inlineStr">
        <is>
          <t>Sito Settenove (prezzo di copertina)</t>
        </is>
      </c>
      <c r="O26" s="16">
        <f>IF(ISNUMBER(M26),ROUND(M26*(1-Condizioni!$B$2),2),"")</f>
        <v/>
      </c>
      <c r="P26" s="17" t="inlineStr">
        <is>
          <t>Sì</t>
        </is>
      </c>
    </row>
    <row r="27">
      <c r="A27" s="14" t="inlineStr">
        <is>
          <t>Settenove</t>
        </is>
      </c>
      <c r="B27" s="14" t="inlineStr">
        <is>
          <t>Leggere senza stereotipi. Percorsi educativi 0-6 anni (per adulti)</t>
        </is>
      </c>
      <c r="C27" s="14" t="inlineStr">
        <is>
          <t>SCOSSE APS</t>
        </is>
      </c>
      <c r="D27" s="14" t="inlineStr">
        <is>
          <t>Albi illustrati / Narrativa / Educazione al genere</t>
        </is>
      </c>
      <c r="E27" s="14" t="inlineStr">
        <is>
          <t>0-6 (per educatori)</t>
        </is>
      </c>
      <c r="F27" s="14" t="inlineStr">
        <is>
          <t>n.d. / tutte le età</t>
        </is>
      </c>
      <c r="G27" s="14" t="inlineStr">
        <is>
          <t>Divulgazione/Saggio</t>
        </is>
      </c>
      <c r="H27" s="14" t="inlineStr">
        <is>
          <t>Educazione al genere (strumento per insegnanti)</t>
        </is>
      </c>
      <c r="I27" s="14" t="inlineStr">
        <is>
          <t>No</t>
        </is>
      </c>
      <c r="J27" s="14" t="inlineStr">
        <is>
          <t>Catalogo</t>
        </is>
      </c>
      <c r="K27" s="14" t="inlineStr"/>
      <c r="L27" s="14" t="inlineStr">
        <is>
          <t>https://www.settenove.it/articoli/leggere-senza-stereotipi/317</t>
        </is>
      </c>
      <c r="M27" s="16" t="n">
        <v>16</v>
      </c>
      <c r="N27" s="14" t="inlineStr">
        <is>
          <t>https://www.settenove.it/articoli/leggere-senza-stereotipi/317</t>
        </is>
      </c>
      <c r="O27" s="16">
        <f>IF(ISNUMBER(M27),ROUND(M27*(1-Condizioni!$B$2),2),"")</f>
        <v/>
      </c>
      <c r="P27" s="17" t="inlineStr">
        <is>
          <t>Sì</t>
        </is>
      </c>
    </row>
    <row r="28">
      <c r="A28" s="14" t="inlineStr">
        <is>
          <t>Settenove</t>
        </is>
      </c>
      <c r="B28" s="14" t="inlineStr">
        <is>
          <t>Papà aspetta un bimbo!</t>
        </is>
      </c>
      <c r="C28" s="14" t="inlineStr">
        <is>
          <t>F. Loew; ill. S.-Y. Barroux</t>
        </is>
      </c>
      <c r="D28" s="14" t="inlineStr">
        <is>
          <t>Albi illustrati / Narrativa / Educazione al genere</t>
        </is>
      </c>
      <c r="E28" s="14" t="inlineStr">
        <is>
          <t>da 4 anni</t>
        </is>
      </c>
      <c r="F28" s="14" t="inlineStr">
        <is>
          <t>3-6 anni</t>
        </is>
      </c>
      <c r="G28" s="14" t="inlineStr">
        <is>
          <t>Albo illustrato</t>
        </is>
      </c>
      <c r="H28" s="14" t="inlineStr">
        <is>
          <t>Ruoli familiari e genitorialità</t>
        </is>
      </c>
      <c r="I28" s="14" t="inlineStr">
        <is>
          <t>No</t>
        </is>
      </c>
      <c r="J28" s="14" t="inlineStr">
        <is>
          <t>Verificata (IBS / editore)</t>
        </is>
      </c>
      <c r="K28" s="14" t="inlineStr">
        <is>
          <t>3-6 anni</t>
        </is>
      </c>
      <c r="L28" s="14" t="inlineStr">
        <is>
          <t>https://www.settenove.it/catalogo/narrativa/5</t>
        </is>
      </c>
      <c r="M28" s="16" t="n">
        <v>16</v>
      </c>
      <c r="N28" s="14" t="inlineStr">
        <is>
          <t>Sito Settenove (prezzo di copertina)</t>
        </is>
      </c>
      <c r="O28" s="16">
        <f>IF(ISNUMBER(M28),ROUND(M28*(1-Condizioni!$B$2),2),"")</f>
        <v/>
      </c>
      <c r="P28" s="17" t="inlineStr">
        <is>
          <t>Sì</t>
        </is>
      </c>
    </row>
    <row r="29">
      <c r="A29" s="14" t="inlineStr">
        <is>
          <t>Settenove</t>
        </is>
      </c>
      <c r="B29" s="14" t="inlineStr">
        <is>
          <t>Selvaggia</t>
        </is>
      </c>
      <c r="C29" s="14" t="inlineStr">
        <is>
          <t>Emily Hughes</t>
        </is>
      </c>
      <c r="D29" s="14" t="inlineStr">
        <is>
          <t>Albi illustrati / Narrativa / Educazione al genere</t>
        </is>
      </c>
      <c r="E29" s="14" t="inlineStr">
        <is>
          <t>da 4 anni</t>
        </is>
      </c>
      <c r="F29" s="14" t="inlineStr">
        <is>
          <t>3-6 anni</t>
        </is>
      </c>
      <c r="G29" s="14" t="inlineStr">
        <is>
          <t>Albo illustrato</t>
        </is>
      </c>
      <c r="H29" s="14" t="inlineStr">
        <is>
          <t>Libertà e identità</t>
        </is>
      </c>
      <c r="I29" s="14" t="inlineStr">
        <is>
          <t>No</t>
        </is>
      </c>
      <c r="J29" s="14" t="inlineStr">
        <is>
          <t>Verificata (IBS / editore)</t>
        </is>
      </c>
      <c r="K29" s="14" t="inlineStr">
        <is>
          <t>3-6 anni</t>
        </is>
      </c>
      <c r="L29" s="14" t="inlineStr">
        <is>
          <t>https://www.settenove.it/catalogo/narrativa/5</t>
        </is>
      </c>
      <c r="M29" s="16" t="n">
        <v>17</v>
      </c>
      <c r="N29" s="14" t="inlineStr">
        <is>
          <t>Sito Settenove (prezzo di copertina)</t>
        </is>
      </c>
      <c r="O29" s="16">
        <f>IF(ISNUMBER(M29),ROUND(M29*(1-Condizioni!$B$2),2),"")</f>
        <v/>
      </c>
      <c r="P29" s="17" t="inlineStr">
        <is>
          <t>Sì</t>
        </is>
      </c>
    </row>
    <row r="30">
      <c r="A30" s="14" t="inlineStr">
        <is>
          <t>Settenove</t>
        </is>
      </c>
      <c r="B30" s="14" t="inlineStr">
        <is>
          <t>Storia di Giulia che aveva un'ombra da bambino</t>
        </is>
      </c>
      <c r="C30" s="14" t="inlineStr">
        <is>
          <t>C. Bruel; ill. A. Bozellec</t>
        </is>
      </c>
      <c r="D30" s="14" t="inlineStr">
        <is>
          <t>Albi illustrati / Narrativa / Educazione al genere</t>
        </is>
      </c>
      <c r="E30" s="14" t="inlineStr">
        <is>
          <t>da 7 anni</t>
        </is>
      </c>
      <c r="F30" s="14" t="inlineStr">
        <is>
          <t>Prime letture (6-8)</t>
        </is>
      </c>
      <c r="G30" s="14" t="inlineStr">
        <is>
          <t>Albo illustrato</t>
        </is>
      </c>
      <c r="H30" s="14" t="inlineStr">
        <is>
          <t>Identità di genere</t>
        </is>
      </c>
      <c r="I30" s="14" t="inlineStr">
        <is>
          <t>No</t>
        </is>
      </c>
      <c r="J30" s="14" t="inlineStr">
        <is>
          <t>Verificata (IBS / editore)</t>
        </is>
      </c>
      <c r="K30" s="14" t="inlineStr">
        <is>
          <t>prime letture</t>
        </is>
      </c>
      <c r="L30" s="14" t="inlineStr">
        <is>
          <t>https://www.settenove.it/catalogo/narrativa/5</t>
        </is>
      </c>
      <c r="M30" s="16" t="n">
        <v>17</v>
      </c>
      <c r="N30" s="14" t="inlineStr">
        <is>
          <t>Sito Settenove (prezzo di copertina)</t>
        </is>
      </c>
      <c r="O30" s="16">
        <f>IF(ISNUMBER(M30),ROUND(M30*(1-Condizioni!$B$2),2),"")</f>
        <v/>
      </c>
      <c r="P30" s="17" t="inlineStr">
        <is>
          <t>Sì</t>
        </is>
      </c>
    </row>
  </sheetData>
  <autoFilter ref="A1:P3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Uovonero</t>
        </is>
      </c>
      <c r="B2" s="14" t="inlineStr">
        <is>
          <t>Biancaneve</t>
        </is>
      </c>
      <c r="C2" s="14" t="inlineStr">
        <is>
          <t>a cura di E. Crivelli; ill. T. D'Incalci</t>
        </is>
      </c>
      <c r="D2" s="14" t="inlineStr">
        <is>
          <t>Pesci parlanti</t>
        </is>
      </c>
      <c r="E2" s="14" t="inlineStr">
        <is>
          <t>0/3, 3/6</t>
        </is>
      </c>
      <c r="F2" s="14" t="inlineStr">
        <is>
          <t>0-3 anni</t>
        </is>
      </c>
      <c r="G2" s="14" t="inlineStr">
        <is>
          <t>Libro in simboli (CAA)</t>
        </is>
      </c>
      <c r="H2" s="14" t="inlineStr"/>
      <c r="I2" s="18" t="inlineStr">
        <is>
          <t>Sì</t>
        </is>
      </c>
      <c r="J2" s="14" t="inlineStr">
        <is>
          <t>Catalogo</t>
        </is>
      </c>
      <c r="K2" s="14" t="inlineStr">
        <is>
          <t>0-3 anni, CAA</t>
        </is>
      </c>
      <c r="L2" s="14" t="inlineStr">
        <is>
          <t>https://www.uovonero.com/libri</t>
        </is>
      </c>
      <c r="M2" s="19" t="n"/>
      <c r="N2" s="14" t="inlineStr"/>
      <c r="O2" s="16">
        <f>IF(ISNUMBER(M2),ROUND(M2*(1-Condizioni!$B$2),2),"")</f>
        <v/>
      </c>
      <c r="P2" s="17" t="inlineStr">
        <is>
          <t>Sì</t>
        </is>
      </c>
    </row>
    <row r="3">
      <c r="A3" s="14" t="inlineStr">
        <is>
          <t>Uovonero</t>
        </is>
      </c>
      <c r="B3" s="14" t="inlineStr">
        <is>
          <t>Che rabbia!</t>
        </is>
      </c>
      <c r="C3" s="14" t="inlineStr">
        <is>
          <t>Mireille D'Allancé</t>
        </is>
      </c>
      <c r="D3" s="14" t="inlineStr">
        <is>
          <t>I libri di Camilla</t>
        </is>
      </c>
      <c r="E3" s="14" t="inlineStr">
        <is>
          <t>0/3, 3/6</t>
        </is>
      </c>
      <c r="F3" s="14" t="inlineStr">
        <is>
          <t>0-3 anni</t>
        </is>
      </c>
      <c r="G3" s="14" t="inlineStr">
        <is>
          <t>Libro in simboli (CAA)</t>
        </is>
      </c>
      <c r="H3" s="14" t="inlineStr">
        <is>
          <t>Emozioni (rabbia)</t>
        </is>
      </c>
      <c r="I3" s="18" t="inlineStr">
        <is>
          <t>Sì</t>
        </is>
      </c>
      <c r="J3" s="14" t="inlineStr">
        <is>
          <t>Catalogo</t>
        </is>
      </c>
      <c r="K3" s="14" t="inlineStr">
        <is>
          <t>0-3 anni, CAA</t>
        </is>
      </c>
      <c r="L3" s="14" t="inlineStr">
        <is>
          <t>https://www.uovonero.com/libri</t>
        </is>
      </c>
      <c r="M3" s="16" t="n">
        <v>12</v>
      </c>
      <c r="N3" s="14" t="inlineStr">
        <is>
          <t>https://www.lafeltrinelli.it/libri/editori/uovonero</t>
        </is>
      </c>
      <c r="O3" s="16">
        <f>IF(ISNUMBER(M3),ROUND(M3*(1-Condizioni!$B$2),2),"")</f>
        <v/>
      </c>
      <c r="P3" s="17" t="inlineStr">
        <is>
          <t>Sì</t>
        </is>
      </c>
    </row>
    <row r="4">
      <c r="A4" s="14" t="inlineStr">
        <is>
          <t>Uovonero</t>
        </is>
      </c>
      <c r="B4" s="14" t="inlineStr">
        <is>
          <t>Domino gli aggettivi con i simboli</t>
        </is>
      </c>
      <c r="C4" s="14" t="inlineStr">
        <is>
          <t>E. Crivelli; ill. A. Manca</t>
        </is>
      </c>
      <c r="D4" s="14" t="inlineStr">
        <is>
          <t>Altrimenti (giochi)</t>
        </is>
      </c>
      <c r="E4" s="14" t="inlineStr">
        <is>
          <t>0/3, 3/6</t>
        </is>
      </c>
      <c r="F4" s="14" t="inlineStr">
        <is>
          <t>0-3 anni</t>
        </is>
      </c>
      <c r="G4" s="14" t="inlineStr">
        <is>
          <t>Gioco/Activity book</t>
        </is>
      </c>
      <c r="H4" s="14" t="inlineStr"/>
      <c r="I4" s="18" t="inlineStr">
        <is>
          <t>Sì</t>
        </is>
      </c>
      <c r="J4" s="14" t="inlineStr">
        <is>
          <t>Catalogo</t>
        </is>
      </c>
      <c r="K4" s="14" t="inlineStr">
        <is>
          <t>0-3 anni, CAA</t>
        </is>
      </c>
      <c r="L4" s="14" t="inlineStr">
        <is>
          <t>https://www.uovonero.com/libri</t>
        </is>
      </c>
      <c r="M4" s="19" t="n"/>
      <c r="N4" s="14" t="inlineStr"/>
      <c r="O4" s="16">
        <f>IF(ISNUMBER(M4),ROUND(M4*(1-Condizioni!$B$2),2),"")</f>
        <v/>
      </c>
      <c r="P4" s="17" t="inlineStr">
        <is>
          <t>Sì</t>
        </is>
      </c>
    </row>
    <row r="5">
      <c r="A5" s="14" t="inlineStr">
        <is>
          <t>Uovonero</t>
        </is>
      </c>
      <c r="B5" s="14" t="inlineStr">
        <is>
          <t>Domino i verbi con i simboli</t>
        </is>
      </c>
      <c r="C5" s="14" t="inlineStr">
        <is>
          <t>E. Crivelli; ill. A. Manca</t>
        </is>
      </c>
      <c r="D5" s="14" t="inlineStr">
        <is>
          <t>Altrimenti (giochi)</t>
        </is>
      </c>
      <c r="E5" s="14" t="inlineStr">
        <is>
          <t>0/3, 3/6</t>
        </is>
      </c>
      <c r="F5" s="14" t="inlineStr">
        <is>
          <t>0-3 anni</t>
        </is>
      </c>
      <c r="G5" s="14" t="inlineStr">
        <is>
          <t>Gioco/Activity book</t>
        </is>
      </c>
      <c r="H5" s="14" t="inlineStr"/>
      <c r="I5" s="18" t="inlineStr">
        <is>
          <t>Sì</t>
        </is>
      </c>
      <c r="J5" s="14" t="inlineStr">
        <is>
          <t>Catalogo</t>
        </is>
      </c>
      <c r="K5" s="14" t="inlineStr">
        <is>
          <t>0-3 anni, CAA</t>
        </is>
      </c>
      <c r="L5" s="14" t="inlineStr">
        <is>
          <t>https://www.uovonero.com/libri</t>
        </is>
      </c>
      <c r="M5" s="19" t="n"/>
      <c r="N5" s="14" t="inlineStr"/>
      <c r="O5" s="16">
        <f>IF(ISNUMBER(M5),ROUND(M5*(1-Condizioni!$B$2),2),"")</f>
        <v/>
      </c>
      <c r="P5" s="17" t="inlineStr">
        <is>
          <t>Sì</t>
        </is>
      </c>
    </row>
    <row r="6">
      <c r="A6" s="14" t="inlineStr">
        <is>
          <t>Uovonero</t>
        </is>
      </c>
      <c r="B6" s="14" t="inlineStr">
        <is>
          <t>I musicanti di Brema</t>
        </is>
      </c>
      <c r="C6" s="14" t="inlineStr">
        <is>
          <t>a cura di E. Crivelli; ill. A. Manca</t>
        </is>
      </c>
      <c r="D6" s="14" t="inlineStr">
        <is>
          <t>Pesci parlanti</t>
        </is>
      </c>
      <c r="E6" s="14" t="inlineStr">
        <is>
          <t>0/3, 3/6</t>
        </is>
      </c>
      <c r="F6" s="14" t="inlineStr">
        <is>
          <t>0-3 anni</t>
        </is>
      </c>
      <c r="G6" s="14" t="inlineStr">
        <is>
          <t>Libro in simboli (CAA)</t>
        </is>
      </c>
      <c r="H6" s="14" t="inlineStr">
        <is>
          <t>Cooperazione</t>
        </is>
      </c>
      <c r="I6" s="18" t="inlineStr">
        <is>
          <t>Sì</t>
        </is>
      </c>
      <c r="J6" s="14" t="inlineStr">
        <is>
          <t>Catalogo</t>
        </is>
      </c>
      <c r="K6" s="14" t="inlineStr">
        <is>
          <t>0-3 anni, CAA</t>
        </is>
      </c>
      <c r="L6" s="14" t="inlineStr">
        <is>
          <t>https://www.uovonero.com/libri</t>
        </is>
      </c>
      <c r="M6" s="19" t="n"/>
      <c r="N6" s="14" t="inlineStr"/>
      <c r="O6" s="16">
        <f>IF(ISNUMBER(M6),ROUND(M6*(1-Condizioni!$B$2),2),"")</f>
        <v/>
      </c>
      <c r="P6" s="17" t="inlineStr">
        <is>
          <t>Sì</t>
        </is>
      </c>
    </row>
    <row r="7">
      <c r="A7" s="14" t="inlineStr">
        <is>
          <t>Uovonero</t>
        </is>
      </c>
      <c r="B7" s="14" t="inlineStr">
        <is>
          <t>Il brutto anatroccolo</t>
        </is>
      </c>
      <c r="C7" s="14" t="inlineStr">
        <is>
          <t>a cura di E. Crivelli; ill. A. Papini</t>
        </is>
      </c>
      <c r="D7" s="14" t="inlineStr">
        <is>
          <t>Pesci parlanti</t>
        </is>
      </c>
      <c r="E7" s="14" t="inlineStr">
        <is>
          <t>0/3, 3/6</t>
        </is>
      </c>
      <c r="F7" s="14" t="inlineStr">
        <is>
          <t>0-3 anni</t>
        </is>
      </c>
      <c r="G7" s="14" t="inlineStr">
        <is>
          <t>Libro in simboli (CAA)</t>
        </is>
      </c>
      <c r="H7" s="14" t="inlineStr"/>
      <c r="I7" s="18" t="inlineStr">
        <is>
          <t>Sì</t>
        </is>
      </c>
      <c r="J7" s="14" t="inlineStr">
        <is>
          <t>Catalogo</t>
        </is>
      </c>
      <c r="K7" s="14" t="inlineStr">
        <is>
          <t>0-3 anni, CAA</t>
        </is>
      </c>
      <c r="L7" s="14" t="inlineStr">
        <is>
          <t>https://www.uovonero.com/libri</t>
        </is>
      </c>
      <c r="M7" s="19" t="n"/>
      <c r="N7" s="14" t="inlineStr"/>
      <c r="O7" s="16">
        <f>IF(ISNUMBER(M7),ROUND(M7*(1-Condizioni!$B$2),2),"")</f>
        <v/>
      </c>
      <c r="P7" s="17" t="inlineStr">
        <is>
          <t>Sì</t>
        </is>
      </c>
    </row>
    <row r="8">
      <c r="A8" s="14" t="inlineStr">
        <is>
          <t>Uovonero</t>
        </is>
      </c>
      <c r="B8" s="14" t="inlineStr">
        <is>
          <t>Il gatto con gli stivali</t>
        </is>
      </c>
      <c r="C8" s="14" t="inlineStr">
        <is>
          <t>a cura di E. Crivelli; ill. R. Angeletti</t>
        </is>
      </c>
      <c r="D8" s="14" t="inlineStr">
        <is>
          <t>Pesci parlanti</t>
        </is>
      </c>
      <c r="E8" s="14" t="inlineStr">
        <is>
          <t>0/3, 3/6</t>
        </is>
      </c>
      <c r="F8" s="14" t="inlineStr">
        <is>
          <t>0-3 anni</t>
        </is>
      </c>
      <c r="G8" s="14" t="inlineStr">
        <is>
          <t>Libro in simboli (CAA)</t>
        </is>
      </c>
      <c r="H8" s="14" t="inlineStr"/>
      <c r="I8" s="18" t="inlineStr">
        <is>
          <t>Sì</t>
        </is>
      </c>
      <c r="J8" s="14" t="inlineStr">
        <is>
          <t>Catalogo</t>
        </is>
      </c>
      <c r="K8" s="14" t="inlineStr">
        <is>
          <t>0-3 anni, CAA</t>
        </is>
      </c>
      <c r="L8" s="14" t="inlineStr">
        <is>
          <t>https://www.uovonero.com/libri</t>
        </is>
      </c>
      <c r="M8" s="19" t="n"/>
      <c r="N8" s="14" t="inlineStr"/>
      <c r="O8" s="16">
        <f>IF(ISNUMBER(M8),ROUND(M8*(1-Condizioni!$B$2),2),"")</f>
        <v/>
      </c>
      <c r="P8" s="17" t="inlineStr">
        <is>
          <t>Sì</t>
        </is>
      </c>
    </row>
    <row r="9">
      <c r="A9" s="14" t="inlineStr">
        <is>
          <t>Uovonero</t>
        </is>
      </c>
      <c r="B9" s="14" t="inlineStr">
        <is>
          <t>Il lupo e i sette capretti</t>
        </is>
      </c>
      <c r="C9" s="14" t="inlineStr">
        <is>
          <t>a cura di E. Crivelli; ill. A. Alemanno</t>
        </is>
      </c>
      <c r="D9" s="14" t="inlineStr">
        <is>
          <t>Pesci parlanti</t>
        </is>
      </c>
      <c r="E9" s="14" t="inlineStr">
        <is>
          <t>0/3, 3/6</t>
        </is>
      </c>
      <c r="F9" s="14" t="inlineStr">
        <is>
          <t>0-3 anni</t>
        </is>
      </c>
      <c r="G9" s="14" t="inlineStr">
        <is>
          <t>Libro in simboli (CAA)</t>
        </is>
      </c>
      <c r="H9" s="14" t="inlineStr"/>
      <c r="I9" s="18" t="inlineStr">
        <is>
          <t>Sì</t>
        </is>
      </c>
      <c r="J9" s="14" t="inlineStr">
        <is>
          <t>Catalogo</t>
        </is>
      </c>
      <c r="K9" s="14" t="inlineStr">
        <is>
          <t>0-3 anni, CAA</t>
        </is>
      </c>
      <c r="L9" s="14" t="inlineStr">
        <is>
          <t>https://www.uovonero.com/libri</t>
        </is>
      </c>
      <c r="M9" s="19" t="n"/>
      <c r="N9" s="14" t="inlineStr"/>
      <c r="O9" s="16">
        <f>IF(ISNUMBER(M9),ROUND(M9*(1-Condizioni!$B$2),2),"")</f>
        <v/>
      </c>
      <c r="P9" s="17" t="inlineStr">
        <is>
          <t>Sì</t>
        </is>
      </c>
    </row>
    <row r="10">
      <c r="A10" s="14" t="inlineStr">
        <is>
          <t>Uovonero</t>
        </is>
      </c>
      <c r="B10" s="14" t="inlineStr">
        <is>
          <t>Il piccolo coniglio bianco</t>
        </is>
      </c>
      <c r="C10" s="14" t="inlineStr">
        <is>
          <t>Xosé Ballesteros; ill. Óscar Villán</t>
        </is>
      </c>
      <c r="D10" s="14" t="inlineStr">
        <is>
          <t>I libri di Camilla</t>
        </is>
      </c>
      <c r="E10" s="14" t="inlineStr">
        <is>
          <t>0/3, 3/6</t>
        </is>
      </c>
      <c r="F10" s="14" t="inlineStr">
        <is>
          <t>0-3 anni</t>
        </is>
      </c>
      <c r="G10" s="14" t="inlineStr">
        <is>
          <t>Libro in simboli (CAA)</t>
        </is>
      </c>
      <c r="H10" s="14" t="inlineStr"/>
      <c r="I10" s="18" t="inlineStr">
        <is>
          <t>Sì</t>
        </is>
      </c>
      <c r="J10" s="14" t="inlineStr">
        <is>
          <t>Catalogo</t>
        </is>
      </c>
      <c r="K10" s="14" t="inlineStr">
        <is>
          <t>0-3 anni, CAA</t>
        </is>
      </c>
      <c r="L10" s="14" t="inlineStr">
        <is>
          <t>https://www.uovonero.com/libri</t>
        </is>
      </c>
      <c r="M10" s="19" t="n"/>
      <c r="N10" s="14" t="inlineStr"/>
      <c r="O10" s="16">
        <f>IF(ISNUMBER(M10),ROUND(M10*(1-Condizioni!$B$2),2),"")</f>
        <v/>
      </c>
      <c r="P10" s="17" t="inlineStr">
        <is>
          <t>Sì</t>
        </is>
      </c>
    </row>
    <row r="11">
      <c r="A11" s="14" t="inlineStr">
        <is>
          <t>Uovonero</t>
        </is>
      </c>
      <c r="B11" s="14" t="inlineStr">
        <is>
          <t>Lei ci sarà sempre</t>
        </is>
      </c>
      <c r="C11" s="14" t="inlineStr">
        <is>
          <t>Thierry Lenain; ill. Manon Gauthier</t>
        </is>
      </c>
      <c r="D11" s="14" t="inlineStr">
        <is>
          <t>I libri di Camilla</t>
        </is>
      </c>
      <c r="E11" s="14" t="inlineStr">
        <is>
          <t>0/3, 3/6</t>
        </is>
      </c>
      <c r="F11" s="14" t="inlineStr">
        <is>
          <t>0-3 anni</t>
        </is>
      </c>
      <c r="G11" s="14" t="inlineStr">
        <is>
          <t>Libro in simboli (CAA)</t>
        </is>
      </c>
      <c r="H11" s="14" t="inlineStr"/>
      <c r="I11" s="18" t="inlineStr">
        <is>
          <t>Sì</t>
        </is>
      </c>
      <c r="J11" s="14" t="inlineStr">
        <is>
          <t>Catalogo</t>
        </is>
      </c>
      <c r="K11" s="14" t="inlineStr">
        <is>
          <t>0-3 anni, CAA</t>
        </is>
      </c>
      <c r="L11" s="14" t="inlineStr">
        <is>
          <t>https://www.uovonero.com/libri</t>
        </is>
      </c>
      <c r="M11" s="19" t="n"/>
      <c r="N11" s="14" t="inlineStr"/>
      <c r="O11" s="16">
        <f>IF(ISNUMBER(M11),ROUND(M11*(1-Condizioni!$B$2),2),"")</f>
        <v/>
      </c>
      <c r="P11" s="17" t="inlineStr">
        <is>
          <t>Sì</t>
        </is>
      </c>
    </row>
    <row r="12">
      <c r="A12" s="14" t="inlineStr">
        <is>
          <t>Uovonero</t>
        </is>
      </c>
      <c r="B12" s="14" t="inlineStr">
        <is>
          <t>Lindo Porcello</t>
        </is>
      </c>
      <c r="C12" s="14" t="inlineStr">
        <is>
          <t>Eric Battut</t>
        </is>
      </c>
      <c r="D12" s="14" t="inlineStr">
        <is>
          <t>I libri di Camilla</t>
        </is>
      </c>
      <c r="E12" s="14" t="inlineStr">
        <is>
          <t>0/3</t>
        </is>
      </c>
      <c r="F12" s="14" t="inlineStr">
        <is>
          <t>0-3 anni</t>
        </is>
      </c>
      <c r="G12" s="14" t="inlineStr">
        <is>
          <t>Libro in simboli (CAA)</t>
        </is>
      </c>
      <c r="H12" s="14" t="inlineStr"/>
      <c r="I12" s="18" t="inlineStr">
        <is>
          <t>Sì</t>
        </is>
      </c>
      <c r="J12" s="14" t="inlineStr">
        <is>
          <t>Catalogo</t>
        </is>
      </c>
      <c r="K12" s="14" t="inlineStr">
        <is>
          <t>0-3 anni, CAA</t>
        </is>
      </c>
      <c r="L12" s="14" t="inlineStr">
        <is>
          <t>https://www.uovonero.com/libri</t>
        </is>
      </c>
      <c r="M12" s="19" t="n"/>
      <c r="N12" s="14" t="inlineStr"/>
      <c r="O12" s="16">
        <f>IF(ISNUMBER(M12),ROUND(M12*(1-Condizioni!$B$2),2),"")</f>
        <v/>
      </c>
      <c r="P12" s="17" t="inlineStr">
        <is>
          <t>Sì</t>
        </is>
      </c>
    </row>
    <row r="13">
      <c r="A13" s="14" t="inlineStr">
        <is>
          <t>Uovonero</t>
        </is>
      </c>
      <c r="B13" s="14" t="inlineStr">
        <is>
          <t>Ninna nanna per una pecorella</t>
        </is>
      </c>
      <c r="C13" s="14" t="inlineStr">
        <is>
          <t>E. Bellini, M. Caccia</t>
        </is>
      </c>
      <c r="D13" s="14" t="inlineStr">
        <is>
          <t>I libri di Camilla</t>
        </is>
      </c>
      <c r="E13" s="14" t="inlineStr">
        <is>
          <t>0/3, 3/6</t>
        </is>
      </c>
      <c r="F13" s="14" t="inlineStr">
        <is>
          <t>0-3 anni</t>
        </is>
      </c>
      <c r="G13" s="14" t="inlineStr">
        <is>
          <t>Libro in simboli (CAA)</t>
        </is>
      </c>
      <c r="H13" s="14" t="inlineStr"/>
      <c r="I13" s="18" t="inlineStr">
        <is>
          <t>Sì</t>
        </is>
      </c>
      <c r="J13" s="14" t="inlineStr">
        <is>
          <t>Catalogo</t>
        </is>
      </c>
      <c r="K13" s="14" t="inlineStr">
        <is>
          <t>0-3 anni, CAA</t>
        </is>
      </c>
      <c r="L13" s="14" t="inlineStr">
        <is>
          <t>https://www.uovonero.com/libri</t>
        </is>
      </c>
      <c r="M13" s="19" t="n"/>
      <c r="N13" s="14" t="inlineStr"/>
      <c r="O13" s="16">
        <f>IF(ISNUMBER(M13),ROUND(M13*(1-Condizioni!$B$2),2),"")</f>
        <v/>
      </c>
      <c r="P13" s="17" t="inlineStr">
        <is>
          <t>Sì</t>
        </is>
      </c>
    </row>
    <row r="14">
      <c r="A14" s="14" t="inlineStr">
        <is>
          <t>Uovonero</t>
        </is>
      </c>
      <c r="B14" s="14" t="inlineStr">
        <is>
          <t>Piccolo Uovo</t>
        </is>
      </c>
      <c r="C14" s="14" t="inlineStr">
        <is>
          <t>Francesca Pardi; ill. Altan</t>
        </is>
      </c>
      <c r="D14" s="14" t="inlineStr">
        <is>
          <t>I libri di Camilla</t>
        </is>
      </c>
      <c r="E14" s="14" t="inlineStr">
        <is>
          <t>0/3, 3/6</t>
        </is>
      </c>
      <c r="F14" s="14" t="inlineStr">
        <is>
          <t>0-3 anni</t>
        </is>
      </c>
      <c r="G14" s="14" t="inlineStr">
        <is>
          <t>Libro in simboli (CAA)</t>
        </is>
      </c>
      <c r="H14" s="14" t="inlineStr">
        <is>
          <t>Famiglie diverse (tema noto del libro, da verificare)</t>
        </is>
      </c>
      <c r="I14" s="18" t="inlineStr">
        <is>
          <t>Sì</t>
        </is>
      </c>
      <c r="J14" s="14" t="inlineStr">
        <is>
          <t>Catalogo</t>
        </is>
      </c>
      <c r="K14" s="14" t="inlineStr">
        <is>
          <t>0-3 anni, CAA</t>
        </is>
      </c>
      <c r="L14" s="14" t="inlineStr">
        <is>
          <t>https://www.uovonero.com/libri</t>
        </is>
      </c>
      <c r="M14" s="19" t="n"/>
      <c r="N14" s="14" t="inlineStr"/>
      <c r="O14" s="16">
        <f>IF(ISNUMBER(M14),ROUND(M14*(1-Condizioni!$B$2),2),"")</f>
        <v/>
      </c>
      <c r="P14" s="17" t="inlineStr">
        <is>
          <t>Sì</t>
        </is>
      </c>
    </row>
    <row r="15">
      <c r="A15" s="14" t="inlineStr">
        <is>
          <t>Uovonero</t>
        </is>
      </c>
      <c r="B15" s="14" t="inlineStr">
        <is>
          <t>Questo posso farlo</t>
        </is>
      </c>
      <c r="C15" s="14" t="inlineStr">
        <is>
          <t>Satoe Tone</t>
        </is>
      </c>
      <c r="D15" s="14" t="inlineStr">
        <is>
          <t>I libri di Camilla</t>
        </is>
      </c>
      <c r="E15" s="14" t="inlineStr">
        <is>
          <t>0/3, 3/6</t>
        </is>
      </c>
      <c r="F15" s="14" t="inlineStr">
        <is>
          <t>0-3 anni</t>
        </is>
      </c>
      <c r="G15" s="14" t="inlineStr">
        <is>
          <t>Libro in simboli (CAA)</t>
        </is>
      </c>
      <c r="H15" s="14" t="inlineStr">
        <is>
          <t>Disabilità</t>
        </is>
      </c>
      <c r="I15" s="18" t="inlineStr">
        <is>
          <t>Sì</t>
        </is>
      </c>
      <c r="J15" s="14" t="inlineStr">
        <is>
          <t>Catalogo</t>
        </is>
      </c>
      <c r="K15" s="14" t="inlineStr">
        <is>
          <t>0-3 anni, CAA</t>
        </is>
      </c>
      <c r="L15" s="14" t="inlineStr">
        <is>
          <t>https://www.uovonero.com/libri</t>
        </is>
      </c>
      <c r="M15" s="19" t="n"/>
      <c r="N15" s="14" t="inlineStr"/>
      <c r="O15" s="16">
        <f>IF(ISNUMBER(M15),ROUND(M15*(1-Condizioni!$B$2),2),"")</f>
        <v/>
      </c>
      <c r="P15" s="17" t="inlineStr">
        <is>
          <t>Sì</t>
        </is>
      </c>
    </row>
    <row r="16">
      <c r="A16" s="14" t="inlineStr">
        <is>
          <t>Uovonero</t>
        </is>
      </c>
      <c r="B16" s="14" t="inlineStr">
        <is>
          <t>Raperonzolo</t>
        </is>
      </c>
      <c r="C16" s="14" t="inlineStr">
        <is>
          <t>a cura di E. Crivelli; ill. A. Boffa</t>
        </is>
      </c>
      <c r="D16" s="14" t="inlineStr">
        <is>
          <t>Pesci parlanti</t>
        </is>
      </c>
      <c r="E16" s="14" t="inlineStr">
        <is>
          <t>0/3, 3/6</t>
        </is>
      </c>
      <c r="F16" s="14" t="inlineStr">
        <is>
          <t>0-3 anni</t>
        </is>
      </c>
      <c r="G16" s="14" t="inlineStr">
        <is>
          <t>Libro in simboli (CAA)</t>
        </is>
      </c>
      <c r="H16" s="14" t="inlineStr"/>
      <c r="I16" s="18" t="inlineStr">
        <is>
          <t>Sì</t>
        </is>
      </c>
      <c r="J16" s="14" t="inlineStr">
        <is>
          <t>Catalogo</t>
        </is>
      </c>
      <c r="K16" s="14" t="inlineStr">
        <is>
          <t>0-3 anni, CAA</t>
        </is>
      </c>
      <c r="L16" s="14" t="inlineStr">
        <is>
          <t>https://www.uovonero.com/libri</t>
        </is>
      </c>
      <c r="M16" s="19" t="n"/>
      <c r="N16" s="14" t="inlineStr"/>
      <c r="O16" s="16">
        <f>IF(ISNUMBER(M16),ROUND(M16*(1-Condizioni!$B$2),2),"")</f>
        <v/>
      </c>
      <c r="P16" s="17" t="inlineStr">
        <is>
          <t>Sì</t>
        </is>
      </c>
    </row>
    <row r="17">
      <c r="A17" s="14" t="inlineStr">
        <is>
          <t>Uovonero</t>
        </is>
      </c>
      <c r="B17" s="14" t="inlineStr">
        <is>
          <t>Una scatola gialla</t>
        </is>
      </c>
      <c r="C17" s="14" t="inlineStr">
        <is>
          <t>Pieter Gaudesaboos</t>
        </is>
      </c>
      <c r="D17" s="14" t="inlineStr">
        <is>
          <t>I libri di Camilla</t>
        </is>
      </c>
      <c r="E17" s="14" t="inlineStr">
        <is>
          <t>0/3, 3/6</t>
        </is>
      </c>
      <c r="F17" s="14" t="inlineStr">
        <is>
          <t>0-3 anni</t>
        </is>
      </c>
      <c r="G17" s="14" t="inlineStr">
        <is>
          <t>Libro in simboli (CAA)</t>
        </is>
      </c>
      <c r="H17" s="14" t="inlineStr"/>
      <c r="I17" s="18" t="inlineStr">
        <is>
          <t>Sì</t>
        </is>
      </c>
      <c r="J17" s="14" t="inlineStr">
        <is>
          <t>Catalogo</t>
        </is>
      </c>
      <c r="K17" s="14" t="inlineStr">
        <is>
          <t>0-3 anni, CAA</t>
        </is>
      </c>
      <c r="L17" s="14" t="inlineStr">
        <is>
          <t>https://www.uovonero.com/libri</t>
        </is>
      </c>
      <c r="M17" s="19" t="n"/>
      <c r="N17" s="14" t="inlineStr"/>
      <c r="O17" s="16">
        <f>IF(ISNUMBER(M17),ROUND(M17*(1-Condizioni!$B$2),2),"")</f>
        <v/>
      </c>
      <c r="P17" s="17" t="inlineStr">
        <is>
          <t>Sì</t>
        </is>
      </c>
    </row>
    <row r="18">
      <c r="A18" s="14" t="inlineStr">
        <is>
          <t>Uovonero</t>
        </is>
      </c>
      <c r="B18" s="14" t="inlineStr">
        <is>
          <t>Ad abbracciar nessuno</t>
        </is>
      </c>
      <c r="C18" s="14" t="inlineStr">
        <is>
          <t>Arianna Papini</t>
        </is>
      </c>
      <c r="D18" s="14" t="inlineStr">
        <is>
          <t>I Geodi</t>
        </is>
      </c>
      <c r="E18" s="14" t="inlineStr">
        <is>
          <t>3/6</t>
        </is>
      </c>
      <c r="F18" s="14" t="inlineStr">
        <is>
          <t>3-6 anni</t>
        </is>
      </c>
      <c r="G18" s="14" t="inlineStr">
        <is>
          <t>Albo illustrato</t>
        </is>
      </c>
      <c r="H18" s="14" t="inlineStr">
        <is>
          <t>Autismo</t>
        </is>
      </c>
      <c r="I18" s="14" t="inlineStr">
        <is>
          <t>No</t>
        </is>
      </c>
      <c r="J18" s="14" t="inlineStr">
        <is>
          <t>Catalogo</t>
        </is>
      </c>
      <c r="K18" s="14" t="inlineStr">
        <is>
          <t>3-6 anni</t>
        </is>
      </c>
      <c r="L18" s="14" t="inlineStr">
        <is>
          <t>https://www.uovonero.com/libri</t>
        </is>
      </c>
      <c r="M18" s="16" t="n">
        <v>16</v>
      </c>
      <c r="N18" s="14" t="inlineStr">
        <is>
          <t>Catalogo Uovonero per librai</t>
        </is>
      </c>
      <c r="O18" s="16">
        <f>IF(ISNUMBER(M18),ROUND(M18*(1-Condizioni!$B$2),2),"")</f>
        <v/>
      </c>
      <c r="P18" s="17" t="inlineStr">
        <is>
          <t>Sì</t>
        </is>
      </c>
    </row>
    <row r="19">
      <c r="A19" s="14" t="inlineStr">
        <is>
          <t>Uovonero</t>
        </is>
      </c>
      <c r="B19" s="14" t="inlineStr">
        <is>
          <t>Che bambino fortunato!</t>
        </is>
      </c>
      <c r="C19" s="14" t="inlineStr">
        <is>
          <t>L. Schimel, J. C. Mayorga</t>
        </is>
      </c>
      <c r="D19" s="14" t="inlineStr">
        <is>
          <t>I Geodi</t>
        </is>
      </c>
      <c r="E19" s="14" t="inlineStr">
        <is>
          <t>3/6, 6/9</t>
        </is>
      </c>
      <c r="F19" s="14" t="inlineStr">
        <is>
          <t>3-6 anni</t>
        </is>
      </c>
      <c r="G19" s="14" t="inlineStr">
        <is>
          <t>Albo illustrato</t>
        </is>
      </c>
      <c r="H19" s="14" t="inlineStr">
        <is>
          <t>Cecità / valore della differenza</t>
        </is>
      </c>
      <c r="I19" s="14" t="inlineStr">
        <is>
          <t>No</t>
        </is>
      </c>
      <c r="J19" s="14" t="inlineStr">
        <is>
          <t>Catalogo</t>
        </is>
      </c>
      <c r="K19" s="14" t="inlineStr">
        <is>
          <t>3-6 anni</t>
        </is>
      </c>
      <c r="L19" s="14" t="inlineStr">
        <is>
          <t>https://www.uovonero.com/libri</t>
        </is>
      </c>
      <c r="M19" s="16" t="n">
        <v>14.5</v>
      </c>
      <c r="N19" s="14" t="inlineStr">
        <is>
          <t>Catalogo Uovonero per librai</t>
        </is>
      </c>
      <c r="O19" s="16">
        <f>IF(ISNUMBER(M19),ROUND(M19*(1-Condizioni!$B$2),2),"")</f>
        <v/>
      </c>
      <c r="P19" s="17" t="inlineStr">
        <is>
          <t>Sì</t>
        </is>
      </c>
    </row>
    <row r="20">
      <c r="A20" s="14" t="inlineStr">
        <is>
          <t>Uovonero</t>
        </is>
      </c>
      <c r="B20" s="14" t="inlineStr">
        <is>
          <t>Che cos'è una sindrome?</t>
        </is>
      </c>
      <c r="C20" s="14" t="inlineStr">
        <is>
          <t>Giovanni Colaneri</t>
        </is>
      </c>
      <c r="D20" s="14" t="inlineStr">
        <is>
          <t>I Geodi</t>
        </is>
      </c>
      <c r="E20" s="14" t="inlineStr">
        <is>
          <t>3/6, 6/9</t>
        </is>
      </c>
      <c r="F20" s="14" t="inlineStr">
        <is>
          <t>3-6 anni</t>
        </is>
      </c>
      <c r="G20" s="14" t="inlineStr">
        <is>
          <t>Albo illustrato</t>
        </is>
      </c>
      <c r="H20" s="14" t="inlineStr">
        <is>
          <t>Disabilità</t>
        </is>
      </c>
      <c r="I20" s="14" t="inlineStr">
        <is>
          <t>No</t>
        </is>
      </c>
      <c r="J20" s="14" t="inlineStr">
        <is>
          <t>Catalogo</t>
        </is>
      </c>
      <c r="K20" s="14" t="inlineStr">
        <is>
          <t>3-6 anni</t>
        </is>
      </c>
      <c r="L20" s="14" t="inlineStr">
        <is>
          <t>https://www.uovonero.com/libri</t>
        </is>
      </c>
      <c r="M20" s="16" t="n">
        <v>18</v>
      </c>
      <c r="N20" s="14" t="inlineStr">
        <is>
          <t>Catalogo Uovonero per librai</t>
        </is>
      </c>
      <c r="O20" s="16">
        <f>IF(ISNUMBER(M20),ROUND(M20*(1-Condizioni!$B$2),2),"")</f>
        <v/>
      </c>
      <c r="P20" s="17" t="inlineStr">
        <is>
          <t>Sì</t>
        </is>
      </c>
    </row>
    <row r="21">
      <c r="A21" s="14" t="inlineStr">
        <is>
          <t>Uovonero</t>
        </is>
      </c>
      <c r="B21" s="14" t="inlineStr">
        <is>
          <t>Dove sei, piccolo Giulio?</t>
        </is>
      </c>
      <c r="C21" s="14" t="inlineStr">
        <is>
          <t>Giovanni Colaneri</t>
        </is>
      </c>
      <c r="D21" s="14" t="inlineStr">
        <is>
          <t>I Geodi</t>
        </is>
      </c>
      <c r="E21" s="14" t="inlineStr">
        <is>
          <t>3/6, 6/9</t>
        </is>
      </c>
      <c r="F21" s="14" t="inlineStr">
        <is>
          <t>3-6 anni</t>
        </is>
      </c>
      <c r="G21" s="14" t="inlineStr">
        <is>
          <t>Albo illustrato</t>
        </is>
      </c>
      <c r="H21" s="14" t="inlineStr">
        <is>
          <t>Autismo</t>
        </is>
      </c>
      <c r="I21" s="14" t="inlineStr">
        <is>
          <t>No</t>
        </is>
      </c>
      <c r="J21" s="14" t="inlineStr">
        <is>
          <t>Catalogo</t>
        </is>
      </c>
      <c r="K21" s="14" t="inlineStr">
        <is>
          <t>3-6 anni</t>
        </is>
      </c>
      <c r="L21" s="14" t="inlineStr">
        <is>
          <t>https://www.uovonero.com/libri</t>
        </is>
      </c>
      <c r="M21" s="16" t="n">
        <v>18</v>
      </c>
      <c r="N21" s="14" t="inlineStr">
        <is>
          <t>Catalogo Uovonero per librai</t>
        </is>
      </c>
      <c r="O21" s="16">
        <f>IF(ISNUMBER(M21),ROUND(M21*(1-Condizioni!$B$2),2),"")</f>
        <v/>
      </c>
      <c r="P21" s="17" t="inlineStr">
        <is>
          <t>Sì</t>
        </is>
      </c>
    </row>
    <row r="22">
      <c r="A22" s="14" t="inlineStr">
        <is>
          <t>Uovonero</t>
        </is>
      </c>
      <c r="B22" s="14" t="inlineStr">
        <is>
          <t>I vestiti nuovi dell'imperatore</t>
        </is>
      </c>
      <c r="C22" s="14" t="inlineStr">
        <is>
          <t>a cura di E. Crivelli; ill. N. Corfini</t>
        </is>
      </c>
      <c r="D22" s="14" t="inlineStr">
        <is>
          <t>Pesci parlanti</t>
        </is>
      </c>
      <c r="E22" s="14" t="inlineStr">
        <is>
          <t>3/6</t>
        </is>
      </c>
      <c r="F22" s="14" t="inlineStr">
        <is>
          <t>3-6 anni</t>
        </is>
      </c>
      <c r="G22" s="14" t="inlineStr">
        <is>
          <t>Libro in simboli (CAA)</t>
        </is>
      </c>
      <c r="H22" s="14" t="inlineStr"/>
      <c r="I22" s="18" t="inlineStr">
        <is>
          <t>Sì</t>
        </is>
      </c>
      <c r="J22" s="14" t="inlineStr">
        <is>
          <t>Catalogo</t>
        </is>
      </c>
      <c r="K22" s="14" t="inlineStr">
        <is>
          <t>3-6 anni, CAA</t>
        </is>
      </c>
      <c r="L22" s="14" t="inlineStr">
        <is>
          <t>https://www.uovonero.com/libri</t>
        </is>
      </c>
      <c r="M22" s="19" t="n"/>
      <c r="N22" s="14" t="inlineStr"/>
      <c r="O22" s="16">
        <f>IF(ISNUMBER(M22),ROUND(M22*(1-Condizioni!$B$2),2),"")</f>
        <v/>
      </c>
      <c r="P22" s="17" t="inlineStr">
        <is>
          <t>Sì</t>
        </is>
      </c>
    </row>
    <row r="23">
      <c r="A23" s="14" t="inlineStr">
        <is>
          <t>Uovonero</t>
        </is>
      </c>
      <c r="B23" s="14" t="inlineStr">
        <is>
          <t>Il mondo è rosso</t>
        </is>
      </c>
      <c r="C23" s="14" t="inlineStr">
        <is>
          <t>Britta Teckentrup</t>
        </is>
      </c>
      <c r="D23" s="14" t="inlineStr">
        <is>
          <t>I Geodi</t>
        </is>
      </c>
      <c r="E23" s="14" t="inlineStr">
        <is>
          <t>3/6, 6/9</t>
        </is>
      </c>
      <c r="F23" s="14" t="inlineStr">
        <is>
          <t>3-6 anni</t>
        </is>
      </c>
      <c r="G23" s="14" t="inlineStr">
        <is>
          <t>Albo illustrato</t>
        </is>
      </c>
      <c r="H23" s="14" t="inlineStr">
        <is>
          <t>Emozioni (rabbia)</t>
        </is>
      </c>
      <c r="I23" s="14" t="inlineStr">
        <is>
          <t>No</t>
        </is>
      </c>
      <c r="J23" s="14" t="inlineStr">
        <is>
          <t>Catalogo</t>
        </is>
      </c>
      <c r="K23" s="14" t="inlineStr">
        <is>
          <t>3-6 anni</t>
        </is>
      </c>
      <c r="L23" s="14" t="inlineStr">
        <is>
          <t>https://www.uovonero.com/libri</t>
        </is>
      </c>
      <c r="M23" s="16" t="n">
        <v>18</v>
      </c>
      <c r="N23" s="14" t="inlineStr">
        <is>
          <t>Catalogo Uovonero per librai</t>
        </is>
      </c>
      <c r="O23" s="16">
        <f>IF(ISNUMBER(M23),ROUND(M23*(1-Condizioni!$B$2),2),"")</f>
        <v/>
      </c>
      <c r="P23" s="17" t="inlineStr">
        <is>
          <t>Sì</t>
        </is>
      </c>
    </row>
    <row r="24">
      <c r="A24" s="14" t="inlineStr">
        <is>
          <t>Uovonero</t>
        </is>
      </c>
      <c r="B24" s="14" t="inlineStr">
        <is>
          <t>In cielo, ma dove?</t>
        </is>
      </c>
      <c r="C24" s="14" t="inlineStr">
        <is>
          <t>A. Ossorio, A. Ferrara</t>
        </is>
      </c>
      <c r="D24" s="14" t="inlineStr">
        <is>
          <t>I Geodi</t>
        </is>
      </c>
      <c r="E24" s="14" t="inlineStr">
        <is>
          <t>3/6, 6/9</t>
        </is>
      </c>
      <c r="F24" s="14" t="inlineStr">
        <is>
          <t>3-6 anni</t>
        </is>
      </c>
      <c r="G24" s="14" t="inlineStr">
        <is>
          <t>Albo illustrato</t>
        </is>
      </c>
      <c r="H24" s="14" t="inlineStr">
        <is>
          <t>Lutto</t>
        </is>
      </c>
      <c r="I24" s="14" t="inlineStr">
        <is>
          <t>No</t>
        </is>
      </c>
      <c r="J24" s="14" t="inlineStr">
        <is>
          <t>Catalogo</t>
        </is>
      </c>
      <c r="K24" s="14" t="inlineStr">
        <is>
          <t>3-6 anni</t>
        </is>
      </c>
      <c r="L24" s="14" t="inlineStr">
        <is>
          <t>https://www.uovonero.com/libri</t>
        </is>
      </c>
      <c r="M24" s="16" t="n">
        <v>16</v>
      </c>
      <c r="N24" s="14" t="inlineStr">
        <is>
          <t>Catalogo Uovonero per librai</t>
        </is>
      </c>
      <c r="O24" s="16">
        <f>IF(ISNUMBER(M24),ROUND(M24*(1-Condizioni!$B$2),2),"")</f>
        <v/>
      </c>
      <c r="P24" s="17" t="inlineStr">
        <is>
          <t>Sì</t>
        </is>
      </c>
    </row>
    <row r="25">
      <c r="A25" s="14" t="inlineStr">
        <is>
          <t>Uovonero</t>
        </is>
      </c>
      <c r="B25" s="14" t="inlineStr">
        <is>
          <t>La bambina che andava a pile</t>
        </is>
      </c>
      <c r="C25" s="14" t="inlineStr">
        <is>
          <t>Monica Taini</t>
        </is>
      </c>
      <c r="D25" s="14" t="inlineStr">
        <is>
          <t>I Geodi</t>
        </is>
      </c>
      <c r="E25" s="14" t="inlineStr">
        <is>
          <t>3/6, 6/9</t>
        </is>
      </c>
      <c r="F25" s="14" t="inlineStr">
        <is>
          <t>3-6 anni</t>
        </is>
      </c>
      <c r="G25" s="14" t="inlineStr">
        <is>
          <t>Albo illustrato</t>
        </is>
      </c>
      <c r="H25" s="14" t="inlineStr">
        <is>
          <t>Disabilità / identità</t>
        </is>
      </c>
      <c r="I25" s="14" t="inlineStr">
        <is>
          <t>No</t>
        </is>
      </c>
      <c r="J25" s="14" t="inlineStr">
        <is>
          <t>Catalogo</t>
        </is>
      </c>
      <c r="K25" s="14" t="inlineStr">
        <is>
          <t>3-6 anni</t>
        </is>
      </c>
      <c r="L25" s="14" t="inlineStr">
        <is>
          <t>https://www.uovonero.com/libri</t>
        </is>
      </c>
      <c r="M25" s="16" t="n">
        <v>13.5</v>
      </c>
      <c r="N25" s="14" t="inlineStr">
        <is>
          <t>Catalogo Uovonero per librai</t>
        </is>
      </c>
      <c r="O25" s="16">
        <f>IF(ISNUMBER(M25),ROUND(M25*(1-Condizioni!$B$2),2),"")</f>
        <v/>
      </c>
      <c r="P25" s="17" t="inlineStr">
        <is>
          <t>Sì</t>
        </is>
      </c>
    </row>
    <row r="26">
      <c r="A26" s="14" t="inlineStr">
        <is>
          <t>Uovonero</t>
        </is>
      </c>
      <c r="B26" s="14" t="inlineStr">
        <is>
          <t>La distanza dei pesci</t>
        </is>
      </c>
      <c r="C26" s="14" t="inlineStr">
        <is>
          <t>C. Lorenzoni, G. Conoscenti</t>
        </is>
      </c>
      <c r="D26" s="14" t="inlineStr">
        <is>
          <t>I Geodi</t>
        </is>
      </c>
      <c r="E26" s="14" t="inlineStr">
        <is>
          <t>3/6, 6/9</t>
        </is>
      </c>
      <c r="F26" s="14" t="inlineStr">
        <is>
          <t>3-6 anni</t>
        </is>
      </c>
      <c r="G26" s="14" t="inlineStr">
        <is>
          <t>Albo illustrato</t>
        </is>
      </c>
      <c r="H26" s="14" t="inlineStr">
        <is>
          <t>Autismo</t>
        </is>
      </c>
      <c r="I26" s="14" t="inlineStr">
        <is>
          <t>No</t>
        </is>
      </c>
      <c r="J26" s="14" t="inlineStr">
        <is>
          <t>Catalogo</t>
        </is>
      </c>
      <c r="K26" s="14" t="inlineStr">
        <is>
          <t>3-6 anni</t>
        </is>
      </c>
      <c r="L26" s="14" t="inlineStr">
        <is>
          <t>https://www.uovonero.com/libri</t>
        </is>
      </c>
      <c r="M26" s="16" t="n">
        <v>16</v>
      </c>
      <c r="N26" s="14" t="inlineStr">
        <is>
          <t>Catalogo Uovonero per librai</t>
        </is>
      </c>
      <c r="O26" s="16">
        <f>IF(ISNUMBER(M26),ROUND(M26*(1-Condizioni!$B$2),2),"")</f>
        <v/>
      </c>
      <c r="P26" s="17" t="inlineStr">
        <is>
          <t>Sì</t>
        </is>
      </c>
    </row>
    <row r="27">
      <c r="A27" s="14" t="inlineStr">
        <is>
          <t>Uovonero</t>
        </is>
      </c>
      <c r="B27" s="14" t="inlineStr">
        <is>
          <t>Le parole di Bianca sono farfalle</t>
        </is>
      </c>
      <c r="C27" s="14" t="inlineStr">
        <is>
          <t>Chiara Lorenzoni; ill. Sophie Fatus</t>
        </is>
      </c>
      <c r="D27" s="14" t="inlineStr">
        <is>
          <t>I libri di Camilla</t>
        </is>
      </c>
      <c r="E27" s="14" t="inlineStr">
        <is>
          <t>3/6, 6/9</t>
        </is>
      </c>
      <c r="F27" s="14" t="inlineStr">
        <is>
          <t>3-6 anni</t>
        </is>
      </c>
      <c r="G27" s="14" t="inlineStr">
        <is>
          <t>Libro in simboli (CAA)</t>
        </is>
      </c>
      <c r="H27" s="14" t="inlineStr">
        <is>
          <t>Disabilità / comunicazione</t>
        </is>
      </c>
      <c r="I27" s="18" t="inlineStr">
        <is>
          <t>Sì</t>
        </is>
      </c>
      <c r="J27" s="14" t="inlineStr">
        <is>
          <t>Catalogo</t>
        </is>
      </c>
      <c r="K27" s="14" t="inlineStr">
        <is>
          <t>3-6 anni, CAA</t>
        </is>
      </c>
      <c r="L27" s="14" t="inlineStr">
        <is>
          <t>https://www.uovonero.com/libri</t>
        </is>
      </c>
      <c r="M27" s="19" t="n"/>
      <c r="N27" s="14" t="inlineStr"/>
      <c r="O27" s="16">
        <f>IF(ISNUMBER(M27),ROUND(M27*(1-Condizioni!$B$2),2),"")</f>
        <v/>
      </c>
      <c r="P27" s="17" t="inlineStr">
        <is>
          <t>Sì</t>
        </is>
      </c>
    </row>
    <row r="28">
      <c r="A28" s="14" t="inlineStr">
        <is>
          <t>Uovonero</t>
        </is>
      </c>
      <c r="B28" s="14" t="inlineStr">
        <is>
          <t>Ti cerco</t>
        </is>
      </c>
      <c r="C28" s="14" t="inlineStr">
        <is>
          <t>Britta Teckentrup</t>
        </is>
      </c>
      <c r="D28" s="14" t="inlineStr">
        <is>
          <t>I Geodi</t>
        </is>
      </c>
      <c r="E28" s="14" t="inlineStr">
        <is>
          <t>3/6</t>
        </is>
      </c>
      <c r="F28" s="14" t="inlineStr">
        <is>
          <t>3-6 anni</t>
        </is>
      </c>
      <c r="G28" s="14" t="inlineStr">
        <is>
          <t>Albo illustrato</t>
        </is>
      </c>
      <c r="H28" s="14" t="inlineStr">
        <is>
          <t>Emozioni</t>
        </is>
      </c>
      <c r="I28" s="14" t="inlineStr">
        <is>
          <t>No</t>
        </is>
      </c>
      <c r="J28" s="14" t="inlineStr">
        <is>
          <t>Catalogo</t>
        </is>
      </c>
      <c r="K28" s="14" t="inlineStr">
        <is>
          <t>3-6 anni</t>
        </is>
      </c>
      <c r="L28" s="14" t="inlineStr">
        <is>
          <t>https://www.uovonero.com/libri</t>
        </is>
      </c>
      <c r="M28" s="19" t="n"/>
      <c r="N28" s="14" t="inlineStr"/>
      <c r="O28" s="16">
        <f>IF(ISNUMBER(M28),ROUND(M28*(1-Condizioni!$B$2),2),"")</f>
        <v/>
      </c>
      <c r="P28" s="17" t="inlineStr">
        <is>
          <t>Sì</t>
        </is>
      </c>
    </row>
    <row r="29">
      <c r="A29" s="14" t="inlineStr">
        <is>
          <t>Uovonero</t>
        </is>
      </c>
      <c r="B29" s="14" t="inlineStr">
        <is>
          <t>Una canzone</t>
        </is>
      </c>
      <c r="C29" s="14" t="inlineStr">
        <is>
          <t>E. Vincenzi, I. Braiotta</t>
        </is>
      </c>
      <c r="D29" s="14" t="inlineStr">
        <is>
          <t>I Geodi</t>
        </is>
      </c>
      <c r="E29" s="14" t="inlineStr">
        <is>
          <t>3/6, 6/9</t>
        </is>
      </c>
      <c r="F29" s="14" t="inlineStr">
        <is>
          <t>3-6 anni</t>
        </is>
      </c>
      <c r="G29" s="14" t="inlineStr">
        <is>
          <t>Albo illustrato</t>
        </is>
      </c>
      <c r="H29" s="14" t="inlineStr">
        <is>
          <t>Malattia (Alzheimer) e nonni</t>
        </is>
      </c>
      <c r="I29" s="14" t="inlineStr">
        <is>
          <t>No</t>
        </is>
      </c>
      <c r="J29" s="14" t="inlineStr">
        <is>
          <t>Catalogo</t>
        </is>
      </c>
      <c r="K29" s="14" t="inlineStr">
        <is>
          <t>3-6 anni</t>
        </is>
      </c>
      <c r="L29" s="14" t="inlineStr">
        <is>
          <t>https://www.uovonero.com/libri</t>
        </is>
      </c>
      <c r="M29" s="16" t="n">
        <v>16</v>
      </c>
      <c r="N29" s="14" t="inlineStr">
        <is>
          <t>Catalogo Uovonero per librai</t>
        </is>
      </c>
      <c r="O29" s="16">
        <f>IF(ISNUMBER(M29),ROUND(M29*(1-Condizioni!$B$2),2),"")</f>
        <v/>
      </c>
      <c r="P29" s="17" t="inlineStr">
        <is>
          <t>Sì</t>
        </is>
      </c>
    </row>
    <row r="30">
      <c r="A30" s="14" t="inlineStr">
        <is>
          <t>Uovonero</t>
        </is>
      </c>
      <c r="B30" s="14" t="inlineStr">
        <is>
          <t>L'orco del piano di sotto</t>
        </is>
      </c>
      <c r="C30" s="14" t="inlineStr">
        <is>
          <t>Olivier Dupin; ill. Barroux</t>
        </is>
      </c>
      <c r="D30" s="14" t="inlineStr">
        <is>
          <t>I Geodi</t>
        </is>
      </c>
      <c r="E30" s="14" t="inlineStr">
        <is>
          <t>6/9</t>
        </is>
      </c>
      <c r="F30" s="14" t="inlineStr">
        <is>
          <t>Prime letture (6-8)</t>
        </is>
      </c>
      <c r="G30" s="14" t="inlineStr">
        <is>
          <t>Albo illustrato</t>
        </is>
      </c>
      <c r="H30" s="14" t="inlineStr">
        <is>
          <t>Memoria della Shoah / Giusti</t>
        </is>
      </c>
      <c r="I30" s="14" t="inlineStr">
        <is>
          <t>No</t>
        </is>
      </c>
      <c r="J30" s="14" t="inlineStr">
        <is>
          <t>Catalogo</t>
        </is>
      </c>
      <c r="K30" s="14" t="inlineStr">
        <is>
          <t>prime letture</t>
        </is>
      </c>
      <c r="L30" s="14" t="inlineStr">
        <is>
          <t>https://www.uovonero.com/libri</t>
        </is>
      </c>
      <c r="M30" s="16" t="n">
        <v>18.5</v>
      </c>
      <c r="N30" s="14" t="inlineStr">
        <is>
          <t>Catalogo Uovonero per librai</t>
        </is>
      </c>
      <c r="O30" s="16">
        <f>IF(ISNUMBER(M30),ROUND(M30*(1-Condizioni!$B$2),2),"")</f>
        <v/>
      </c>
      <c r="P30" s="17" t="inlineStr">
        <is>
          <t>Sì</t>
        </is>
      </c>
    </row>
    <row r="31">
      <c r="A31" s="14" t="inlineStr">
        <is>
          <t>Uovonero</t>
        </is>
      </c>
      <c r="B31" s="14" t="inlineStr">
        <is>
          <t>La chitarra di Django</t>
        </is>
      </c>
      <c r="C31" s="14" t="inlineStr">
        <is>
          <t>Fabrizio Silei, Alfred</t>
        </is>
      </c>
      <c r="D31" s="14" t="inlineStr">
        <is>
          <t>I Geodi</t>
        </is>
      </c>
      <c r="E31" s="14" t="inlineStr">
        <is>
          <t>6/9</t>
        </is>
      </c>
      <c r="F31" s="14" t="inlineStr">
        <is>
          <t>Prime letture (6-8)</t>
        </is>
      </c>
      <c r="G31" s="14" t="inlineStr">
        <is>
          <t>Albo illustrato</t>
        </is>
      </c>
      <c r="H31" s="14" t="inlineStr">
        <is>
          <t>Disabilità (Django Reinhardt)</t>
        </is>
      </c>
      <c r="I31" s="14" t="inlineStr">
        <is>
          <t>No</t>
        </is>
      </c>
      <c r="J31" s="14" t="inlineStr">
        <is>
          <t>Catalogo</t>
        </is>
      </c>
      <c r="K31" s="14" t="inlineStr">
        <is>
          <t>prime letture</t>
        </is>
      </c>
      <c r="L31" s="14" t="inlineStr">
        <is>
          <t>https://www.uovonero.com/libri</t>
        </is>
      </c>
      <c r="M31" s="16" t="n">
        <v>16</v>
      </c>
      <c r="N31" s="14" t="inlineStr">
        <is>
          <t>Catalogo Uovonero per librai</t>
        </is>
      </c>
      <c r="O31" s="16">
        <f>IF(ISNUMBER(M31),ROUND(M31*(1-Condizioni!$B$2),2),"")</f>
        <v/>
      </c>
      <c r="P31" s="17" t="inlineStr">
        <is>
          <t>Sì</t>
        </is>
      </c>
    </row>
    <row r="32">
      <c r="A32" s="14" t="inlineStr">
        <is>
          <t>Uovonero</t>
        </is>
      </c>
      <c r="B32" s="14" t="inlineStr">
        <is>
          <t>La scuola</t>
        </is>
      </c>
      <c r="C32" s="14" t="inlineStr">
        <is>
          <t>Britta Teckentrup</t>
        </is>
      </c>
      <c r="D32" s="14" t="inlineStr">
        <is>
          <t>I Geodi</t>
        </is>
      </c>
      <c r="E32" s="14" t="inlineStr">
        <is>
          <t>6/9, 9/12</t>
        </is>
      </c>
      <c r="F32" s="14" t="inlineStr">
        <is>
          <t>Prime letture (6-8)</t>
        </is>
      </c>
      <c r="G32" s="14" t="inlineStr">
        <is>
          <t>Albo illustrato</t>
        </is>
      </c>
      <c r="H32" s="14" t="inlineStr">
        <is>
          <t>Comunità scolastica</t>
        </is>
      </c>
      <c r="I32" s="14" t="inlineStr">
        <is>
          <t>No</t>
        </is>
      </c>
      <c r="J32" s="14" t="inlineStr">
        <is>
          <t>Catalogo</t>
        </is>
      </c>
      <c r="K32" s="14" t="inlineStr">
        <is>
          <t>prime letture</t>
        </is>
      </c>
      <c r="L32" s="14" t="inlineStr">
        <is>
          <t>https://www.uovonero.com/libri</t>
        </is>
      </c>
      <c r="M32" s="16" t="n">
        <v>20</v>
      </c>
      <c r="N32" s="14" t="inlineStr">
        <is>
          <t>Catalogo Uovonero per librai</t>
        </is>
      </c>
      <c r="O32" s="16">
        <f>IF(ISNUMBER(M32),ROUND(M32*(1-Condizioni!$B$2),2),"")</f>
        <v/>
      </c>
      <c r="P32" s="17" t="inlineStr">
        <is>
          <t>Sì</t>
        </is>
      </c>
    </row>
    <row r="33">
      <c r="A33" s="14" t="inlineStr">
        <is>
          <t>Uovonero</t>
        </is>
      </c>
      <c r="B33" s="14" t="inlineStr">
        <is>
          <t>La vecchia casa sul canale</t>
        </is>
      </c>
      <c r="C33" s="14" t="inlineStr">
        <is>
          <t>Britta Teckentrup</t>
        </is>
      </c>
      <c r="D33" s="14" t="inlineStr">
        <is>
          <t>I Geodi</t>
        </is>
      </c>
      <c r="E33" s="14" t="inlineStr">
        <is>
          <t>6/9, 9/12</t>
        </is>
      </c>
      <c r="F33" s="14" t="inlineStr">
        <is>
          <t>Prime letture (6-8)</t>
        </is>
      </c>
      <c r="G33" s="14" t="inlineStr">
        <is>
          <t>Albo illustrato</t>
        </is>
      </c>
      <c r="H33" s="14" t="inlineStr">
        <is>
          <t>Memoria (la casa di Anne Frank)</t>
        </is>
      </c>
      <c r="I33" s="14" t="inlineStr">
        <is>
          <t>No</t>
        </is>
      </c>
      <c r="J33" s="14" t="inlineStr">
        <is>
          <t>Catalogo</t>
        </is>
      </c>
      <c r="K33" s="14" t="inlineStr">
        <is>
          <t>prime letture</t>
        </is>
      </c>
      <c r="L33" s="14" t="inlineStr">
        <is>
          <t>https://www.uovonero.com/libri</t>
        </is>
      </c>
      <c r="M33" s="16" t="n">
        <v>20</v>
      </c>
      <c r="N33" s="14" t="inlineStr">
        <is>
          <t>Catalogo Uovonero per librai</t>
        </is>
      </c>
      <c r="O33" s="16">
        <f>IF(ISNUMBER(M33),ROUND(M33*(1-Condizioni!$B$2),2),"")</f>
        <v/>
      </c>
      <c r="P33" s="17" t="inlineStr">
        <is>
          <t>Sì</t>
        </is>
      </c>
    </row>
    <row r="34">
      <c r="A34" s="14" t="inlineStr">
        <is>
          <t>Uovonero</t>
        </is>
      </c>
      <c r="B34" s="14" t="inlineStr">
        <is>
          <t>Lilo</t>
        </is>
      </c>
      <c r="C34" s="14" t="inlineStr">
        <is>
          <t>Inés Garland; ill. Maite Mutuberria</t>
        </is>
      </c>
      <c r="D34" s="14" t="inlineStr">
        <is>
          <t>I Geodi</t>
        </is>
      </c>
      <c r="E34" s="14" t="inlineStr">
        <is>
          <t>6/9, 9/12</t>
        </is>
      </c>
      <c r="F34" s="14" t="inlineStr">
        <is>
          <t>Prime letture (6-8)</t>
        </is>
      </c>
      <c r="G34" s="14" t="inlineStr">
        <is>
          <t>Narrativa</t>
        </is>
      </c>
      <c r="H34" s="14" t="inlineStr">
        <is>
          <t>Dipendenza dallo smartphone</t>
        </is>
      </c>
      <c r="I34" s="14" t="inlineStr">
        <is>
          <t>No</t>
        </is>
      </c>
      <c r="J34" s="14" t="inlineStr">
        <is>
          <t>Catalogo</t>
        </is>
      </c>
      <c r="K34" s="14" t="inlineStr">
        <is>
          <t>prime letture, narrativa</t>
        </is>
      </c>
      <c r="L34" s="14" t="inlineStr">
        <is>
          <t>https://www.uovonero.com/libri</t>
        </is>
      </c>
      <c r="M34" s="19" t="n"/>
      <c r="N34" s="14" t="inlineStr"/>
      <c r="O34" s="16">
        <f>IF(ISNUMBER(M34),ROUND(M34*(1-Condizioni!$B$2),2),"")</f>
        <v/>
      </c>
      <c r="P34" s="17" t="inlineStr">
        <is>
          <t>Sì</t>
        </is>
      </c>
    </row>
    <row r="35">
      <c r="A35" s="14" t="inlineStr">
        <is>
          <t>Uovonero</t>
        </is>
      </c>
      <c r="B35" s="14" t="inlineStr">
        <is>
          <t>Rumple Buttercup</t>
        </is>
      </c>
      <c r="C35" s="14" t="inlineStr">
        <is>
          <t>Matthew Gray Gubler</t>
        </is>
      </c>
      <c r="D35" s="14" t="inlineStr">
        <is>
          <t>I Geodi</t>
        </is>
      </c>
      <c r="E35" s="14" t="inlineStr">
        <is>
          <t>6/9</t>
        </is>
      </c>
      <c r="F35" s="14" t="inlineStr">
        <is>
          <t>Prime letture (6-8)</t>
        </is>
      </c>
      <c r="G35" s="14" t="inlineStr">
        <is>
          <t>Albo illustrato</t>
        </is>
      </c>
      <c r="H35" s="14" t="inlineStr">
        <is>
          <t>Unicità e amicizia</t>
        </is>
      </c>
      <c r="I35" s="14" t="inlineStr">
        <is>
          <t>No</t>
        </is>
      </c>
      <c r="J35" s="14" t="inlineStr">
        <is>
          <t>Catalogo</t>
        </is>
      </c>
      <c r="K35" s="14" t="inlineStr">
        <is>
          <t>prime letture</t>
        </is>
      </c>
      <c r="L35" s="14" t="inlineStr">
        <is>
          <t>https://www.uovonero.com/libri</t>
        </is>
      </c>
      <c r="M35" s="16" t="n">
        <v>17.5</v>
      </c>
      <c r="N35" s="14" t="inlineStr">
        <is>
          <t>Catalogo Uovonero per librai</t>
        </is>
      </c>
      <c r="O35" s="16">
        <f>IF(ISNUMBER(M35),ROUND(M35*(1-Condizioni!$B$2),2),"")</f>
        <v/>
      </c>
      <c r="P35" s="17" t="inlineStr">
        <is>
          <t>Sì</t>
        </is>
      </c>
    </row>
    <row r="36">
      <c r="A36" s="14" t="inlineStr">
        <is>
          <t>Uovonero</t>
        </is>
      </c>
      <c r="B36" s="14" t="inlineStr">
        <is>
          <t>Vi presento Hank 1 – Un segnalibro in cerca d'autore</t>
        </is>
      </c>
      <c r="C36" s="14" t="inlineStr">
        <is>
          <t>H. Winkler, L. Oliver; ill. G. Orecchia</t>
        </is>
      </c>
      <c r="D36" s="14" t="inlineStr">
        <is>
          <t>Abbecedanze (alta leggibilità)</t>
        </is>
      </c>
      <c r="E36" s="14" t="inlineStr">
        <is>
          <t>6/9</t>
        </is>
      </c>
      <c r="F36" s="14" t="inlineStr">
        <is>
          <t>Prime letture (6-8)</t>
        </is>
      </c>
      <c r="G36" s="14" t="inlineStr">
        <is>
          <t>Narrativa</t>
        </is>
      </c>
      <c r="H36" s="14" t="inlineStr">
        <is>
          <t>DSA (dislessia)</t>
        </is>
      </c>
      <c r="I36" s="14" t="inlineStr">
        <is>
          <t>No</t>
        </is>
      </c>
      <c r="J36" s="14" t="inlineStr">
        <is>
          <t>Catalogo</t>
        </is>
      </c>
      <c r="K36" s="14" t="inlineStr">
        <is>
          <t>prime letture, narrativa</t>
        </is>
      </c>
      <c r="L36" s="14" t="inlineStr">
        <is>
          <t>https://www.uovonero.com/libri</t>
        </is>
      </c>
      <c r="M36" s="19" t="n"/>
      <c r="N36" s="14" t="inlineStr"/>
      <c r="O36" s="16">
        <f>IF(ISNUMBER(M36),ROUND(M36*(1-Condizioni!$B$2),2),"")</f>
        <v/>
      </c>
      <c r="P36" s="17" t="inlineStr">
        <is>
          <t>Sì</t>
        </is>
      </c>
    </row>
    <row r="37">
      <c r="A37" s="14" t="inlineStr">
        <is>
          <t>Uovonero</t>
        </is>
      </c>
      <c r="B37" s="14" t="inlineStr">
        <is>
          <t>30 giorni per capire i disturbi dell'apprendimento</t>
        </is>
      </c>
      <c r="C37" s="14" t="inlineStr">
        <is>
          <t>Babe, Baroukh, Dunana (cura E. Crivelli)</t>
        </is>
      </c>
      <c r="D37" s="14" t="inlineStr">
        <is>
          <t>Altrimenti</t>
        </is>
      </c>
      <c r="E37" s="14" t="inlineStr">
        <is>
          <t>9/12, 12+, 14+</t>
        </is>
      </c>
      <c r="F37" s="14" t="inlineStr">
        <is>
          <t>9+</t>
        </is>
      </c>
      <c r="G37" s="14" t="inlineStr">
        <is>
          <t>Divulgazione/Saggio</t>
        </is>
      </c>
      <c r="H37" s="14" t="inlineStr">
        <is>
          <t>DSA</t>
        </is>
      </c>
      <c r="I37" s="14" t="inlineStr">
        <is>
          <t>No</t>
        </is>
      </c>
      <c r="J37" s="14" t="inlineStr">
        <is>
          <t>Catalogo</t>
        </is>
      </c>
      <c r="K37" s="14" t="inlineStr">
        <is>
          <t>9+</t>
        </is>
      </c>
      <c r="L37" s="14" t="inlineStr">
        <is>
          <t>https://www.uovonero.com/libri</t>
        </is>
      </c>
      <c r="M37" s="19" t="n"/>
      <c r="N37" s="14" t="inlineStr"/>
      <c r="O37" s="16">
        <f>IF(ISNUMBER(M37),ROUND(M37*(1-Condizioni!$B$2),2),"")</f>
        <v/>
      </c>
      <c r="P37" s="17" t="inlineStr">
        <is>
          <t>Sì</t>
        </is>
      </c>
    </row>
    <row r="38">
      <c r="A38" s="14" t="inlineStr">
        <is>
          <t>Uovonero</t>
        </is>
      </c>
      <c r="B38" s="14" t="inlineStr">
        <is>
          <t>30 giorni per capire i disturbi visivi</t>
        </is>
      </c>
      <c r="C38" s="14" t="inlineStr">
        <is>
          <t>Babe, Baroukh, Dunana (cura E. Crivelli)</t>
        </is>
      </c>
      <c r="D38" s="14" t="inlineStr">
        <is>
          <t>Altrimenti</t>
        </is>
      </c>
      <c r="E38" s="14" t="inlineStr">
        <is>
          <t>9/12, 12+, 14+</t>
        </is>
      </c>
      <c r="F38" s="14" t="inlineStr">
        <is>
          <t>9+</t>
        </is>
      </c>
      <c r="G38" s="14" t="inlineStr">
        <is>
          <t>Divulgazione/Saggio</t>
        </is>
      </c>
      <c r="H38" s="14" t="inlineStr">
        <is>
          <t>Cecità / disabilità</t>
        </is>
      </c>
      <c r="I38" s="14" t="inlineStr">
        <is>
          <t>No</t>
        </is>
      </c>
      <c r="J38" s="14" t="inlineStr">
        <is>
          <t>Catalogo</t>
        </is>
      </c>
      <c r="K38" s="14" t="inlineStr">
        <is>
          <t>9+</t>
        </is>
      </c>
      <c r="L38" s="14" t="inlineStr">
        <is>
          <t>https://www.uovonero.com/libri</t>
        </is>
      </c>
      <c r="M38" s="19" t="n"/>
      <c r="N38" s="14" t="inlineStr"/>
      <c r="O38" s="16">
        <f>IF(ISNUMBER(M38),ROUND(M38*(1-Condizioni!$B$2),2),"")</f>
        <v/>
      </c>
      <c r="P38" s="17" t="inlineStr">
        <is>
          <t>Sì</t>
        </is>
      </c>
    </row>
    <row r="39">
      <c r="A39" s="14" t="inlineStr">
        <is>
          <t>Uovonero</t>
        </is>
      </c>
      <c r="B39" s="14" t="inlineStr">
        <is>
          <t>30 giorni per capire l'autismo</t>
        </is>
      </c>
      <c r="C39" s="14" t="inlineStr">
        <is>
          <t>Babe, Baroukh, Dunana (cura E. Crivelli)</t>
        </is>
      </c>
      <c r="D39" s="14" t="inlineStr">
        <is>
          <t>Altrimenti</t>
        </is>
      </c>
      <c r="E39" s="14" t="inlineStr">
        <is>
          <t>9/12, 12+, 14+</t>
        </is>
      </c>
      <c r="F39" s="14" t="inlineStr">
        <is>
          <t>9+</t>
        </is>
      </c>
      <c r="G39" s="14" t="inlineStr">
        <is>
          <t>Divulgazione/Saggio</t>
        </is>
      </c>
      <c r="H39" s="14" t="inlineStr">
        <is>
          <t>Autismo</t>
        </is>
      </c>
      <c r="I39" s="14" t="inlineStr">
        <is>
          <t>No</t>
        </is>
      </c>
      <c r="J39" s="14" t="inlineStr">
        <is>
          <t>Catalogo</t>
        </is>
      </c>
      <c r="K39" s="14" t="inlineStr">
        <is>
          <t>9+</t>
        </is>
      </c>
      <c r="L39" s="14" t="inlineStr">
        <is>
          <t>https://www.uovonero.com/libri</t>
        </is>
      </c>
      <c r="M39" s="16" t="n">
        <v>16</v>
      </c>
      <c r="N39" s="14" t="inlineStr">
        <is>
          <t>https://www.satellitelibri.it/schedaeditore.php?maschera=editori&amp;chiave=00047&amp;pintOperazione=2&amp;tab=</t>
        </is>
      </c>
      <c r="O39" s="16">
        <f>IF(ISNUMBER(M39),ROUND(M39*(1-Condizioni!$B$2),2),"")</f>
        <v/>
      </c>
      <c r="P39" s="17" t="inlineStr">
        <is>
          <t>Sì</t>
        </is>
      </c>
    </row>
    <row r="40">
      <c r="A40" s="14" t="inlineStr">
        <is>
          <t>Uovonero</t>
        </is>
      </c>
      <c r="B40" s="14" t="inlineStr">
        <is>
          <t>Amiche d'ombra</t>
        </is>
      </c>
      <c r="C40" s="14" t="inlineStr">
        <is>
          <t>Arianna Papini</t>
        </is>
      </c>
      <c r="D40" s="14" t="inlineStr">
        <is>
          <t>I Geodi</t>
        </is>
      </c>
      <c r="E40" s="14" t="inlineStr">
        <is>
          <t>9/12</t>
        </is>
      </c>
      <c r="F40" s="14" t="inlineStr">
        <is>
          <t>9+</t>
        </is>
      </c>
      <c r="G40" s="14" t="inlineStr">
        <is>
          <t>Narrativa</t>
        </is>
      </c>
      <c r="H40" s="14" t="inlineStr">
        <is>
          <t>Cecità / pregiudizi</t>
        </is>
      </c>
      <c r="I40" s="14" t="inlineStr">
        <is>
          <t>No</t>
        </is>
      </c>
      <c r="J40" s="14" t="inlineStr">
        <is>
          <t>Catalogo</t>
        </is>
      </c>
      <c r="K40" s="14" t="inlineStr">
        <is>
          <t>9+, narrativa</t>
        </is>
      </c>
      <c r="L40" s="14" t="inlineStr">
        <is>
          <t>https://www.uovonero.com/libri</t>
        </is>
      </c>
      <c r="M40" s="16" t="n">
        <v>16</v>
      </c>
      <c r="N40" s="14" t="inlineStr">
        <is>
          <t>Catalogo Uovonero per librai</t>
        </is>
      </c>
      <c r="O40" s="16">
        <f>IF(ISNUMBER(M40),ROUND(M40*(1-Condizioni!$B$2),2),"")</f>
        <v/>
      </c>
      <c r="P40" s="17" t="inlineStr">
        <is>
          <t>Sì</t>
        </is>
      </c>
    </row>
    <row r="41">
      <c r="A41" s="14" t="inlineStr">
        <is>
          <t>Uovonero</t>
        </is>
      </c>
      <c r="B41" s="14" t="inlineStr">
        <is>
          <t>Castelli di fiammiferi</t>
        </is>
      </c>
      <c r="C41" s="14" t="inlineStr">
        <is>
          <t>Bettina Obrecht</t>
        </is>
      </c>
      <c r="D41" s="14" t="inlineStr">
        <is>
          <t>I Geodi</t>
        </is>
      </c>
      <c r="E41" s="14" t="inlineStr">
        <is>
          <t>9/12, 12+</t>
        </is>
      </c>
      <c r="F41" s="14" t="inlineStr">
        <is>
          <t>9+</t>
        </is>
      </c>
      <c r="G41" s="14" t="inlineStr">
        <is>
          <t>Romanzo</t>
        </is>
      </c>
      <c r="H41" s="14" t="inlineStr">
        <is>
          <t>Autismo</t>
        </is>
      </c>
      <c r="I41" s="14" t="inlineStr">
        <is>
          <t>No</t>
        </is>
      </c>
      <c r="J41" s="14" t="inlineStr">
        <is>
          <t>Catalogo</t>
        </is>
      </c>
      <c r="K41" s="14" t="inlineStr">
        <is>
          <t>9+, romanzo, narrativa</t>
        </is>
      </c>
      <c r="L41" s="14" t="inlineStr">
        <is>
          <t>https://www.uovonero.com/libri</t>
        </is>
      </c>
      <c r="M41" s="16" t="n">
        <v>12.5</v>
      </c>
      <c r="N41" s="14" t="inlineStr">
        <is>
          <t>https://www.ibs.it/x/e/9788896918142</t>
        </is>
      </c>
      <c r="O41" s="16">
        <f>IF(ISNUMBER(M41),ROUND(M41*(1-Condizioni!$B$2),2),"")</f>
        <v/>
      </c>
      <c r="P41" s="17" t="inlineStr">
        <is>
          <t>Sì</t>
        </is>
      </c>
    </row>
    <row r="42">
      <c r="A42" s="14" t="inlineStr">
        <is>
          <t>Uovonero</t>
        </is>
      </c>
      <c r="B42" s="14" t="inlineStr">
        <is>
          <t>Farfariel – Il libro di Micù</t>
        </is>
      </c>
      <c r="C42" s="14" t="inlineStr">
        <is>
          <t>Pietro Albì</t>
        </is>
      </c>
      <c r="D42" s="14" t="inlineStr">
        <is>
          <t>I Geodi</t>
        </is>
      </c>
      <c r="E42" s="14" t="inlineStr">
        <is>
          <t>9/12, 12+</t>
        </is>
      </c>
      <c r="F42" s="14" t="inlineStr">
        <is>
          <t>9+</t>
        </is>
      </c>
      <c r="G42" s="14" t="inlineStr">
        <is>
          <t>Romanzo</t>
        </is>
      </c>
      <c r="H42" s="14" t="inlineStr">
        <is>
          <t>Disabilità</t>
        </is>
      </c>
      <c r="I42" s="14" t="inlineStr">
        <is>
          <t>No</t>
        </is>
      </c>
      <c r="J42" s="14" t="inlineStr">
        <is>
          <t>Catalogo</t>
        </is>
      </c>
      <c r="K42" s="14" t="inlineStr">
        <is>
          <t>9+, romanzo, narrativa</t>
        </is>
      </c>
      <c r="L42" s="14" t="inlineStr">
        <is>
          <t>https://www.uovonero.com/libri</t>
        </is>
      </c>
      <c r="M42" s="16" t="n">
        <v>16</v>
      </c>
      <c r="N42" s="14" t="inlineStr">
        <is>
          <t>Catalogo Uovonero per librai</t>
        </is>
      </c>
      <c r="O42" s="16">
        <f>IF(ISNUMBER(M42),ROUND(M42*(1-Condizioni!$B$2),2),"")</f>
        <v/>
      </c>
      <c r="P42" s="17" t="inlineStr">
        <is>
          <t>Sì</t>
        </is>
      </c>
    </row>
    <row r="43">
      <c r="A43" s="14" t="inlineStr">
        <is>
          <t>Uovonero</t>
        </is>
      </c>
      <c r="B43" s="14" t="inlineStr">
        <is>
          <t>Garrincha. L'angelo dalle gambe storte</t>
        </is>
      </c>
      <c r="C43" s="14" t="inlineStr">
        <is>
          <t>Antonio Ferrara</t>
        </is>
      </c>
      <c r="D43" s="14" t="inlineStr">
        <is>
          <t>I Geodi</t>
        </is>
      </c>
      <c r="E43" s="14" t="inlineStr">
        <is>
          <t>9/12, 12+</t>
        </is>
      </c>
      <c r="F43" s="14" t="inlineStr">
        <is>
          <t>9+</t>
        </is>
      </c>
      <c r="G43" s="14" t="inlineStr">
        <is>
          <t>Graphic novel/Fumetto</t>
        </is>
      </c>
      <c r="H43" s="14" t="inlineStr">
        <is>
          <t>Disabilità</t>
        </is>
      </c>
      <c r="I43" s="14" t="inlineStr">
        <is>
          <t>No</t>
        </is>
      </c>
      <c r="J43" s="14" t="inlineStr">
        <is>
          <t>Catalogo</t>
        </is>
      </c>
      <c r="K43" s="14" t="inlineStr">
        <is>
          <t>9+</t>
        </is>
      </c>
      <c r="L43" s="14" t="inlineStr">
        <is>
          <t>https://www.uovonero.com/libri</t>
        </is>
      </c>
      <c r="M43" s="16" t="n">
        <v>15</v>
      </c>
      <c r="N43" s="14" t="inlineStr">
        <is>
          <t>Catalogo Uovonero per librai</t>
        </is>
      </c>
      <c r="O43" s="16">
        <f>IF(ISNUMBER(M43),ROUND(M43*(1-Condizioni!$B$2),2),"")</f>
        <v/>
      </c>
      <c r="P43" s="17" t="inlineStr">
        <is>
          <t>Sì</t>
        </is>
      </c>
    </row>
    <row r="44">
      <c r="A44" s="14" t="inlineStr">
        <is>
          <t>Uovonero</t>
        </is>
      </c>
      <c r="B44" s="14" t="inlineStr">
        <is>
          <t>Hank Zipzer e le cascate del Niagara (vol. 1)</t>
        </is>
      </c>
      <c r="C44" s="14" t="inlineStr">
        <is>
          <t>H. Winkler, L. Oliver</t>
        </is>
      </c>
      <c r="D44" s="14" t="inlineStr">
        <is>
          <t>Abbecedanze (alta leggibilità)</t>
        </is>
      </c>
      <c r="E44" s="14" t="inlineStr">
        <is>
          <t>9/12</t>
        </is>
      </c>
      <c r="F44" s="14" t="inlineStr">
        <is>
          <t>9+</t>
        </is>
      </c>
      <c r="G44" s="14" t="inlineStr">
        <is>
          <t>Narrativa</t>
        </is>
      </c>
      <c r="H44" s="14" t="inlineStr">
        <is>
          <t>DSA (dislessia)</t>
        </is>
      </c>
      <c r="I44" s="14" t="inlineStr">
        <is>
          <t>No</t>
        </is>
      </c>
      <c r="J44" s="14" t="inlineStr">
        <is>
          <t>Catalogo</t>
        </is>
      </c>
      <c r="K44" s="14" t="inlineStr">
        <is>
          <t>9+, narrativa</t>
        </is>
      </c>
      <c r="L44" s="14" t="inlineStr">
        <is>
          <t>https://www.uovonero.com/libri</t>
        </is>
      </c>
      <c r="M44" s="19" t="n"/>
      <c r="N44" s="14" t="inlineStr"/>
      <c r="O44" s="16">
        <f>IF(ISNUMBER(M44),ROUND(M44*(1-Condizioni!$B$2),2),"")</f>
        <v/>
      </c>
      <c r="P44" s="17" t="inlineStr">
        <is>
          <t>Sì</t>
        </is>
      </c>
    </row>
    <row r="45">
      <c r="A45" s="14" t="inlineStr">
        <is>
          <t>Uovonero</t>
        </is>
      </c>
      <c r="B45" s="14" t="inlineStr">
        <is>
          <t>La più bella nuotata della mia vita</t>
        </is>
      </c>
      <c r="C45" s="14" t="inlineStr">
        <is>
          <t>Anne Becker</t>
        </is>
      </c>
      <c r="D45" s="14" t="inlineStr">
        <is>
          <t>I Geodi</t>
        </is>
      </c>
      <c r="E45" s="14" t="inlineStr">
        <is>
          <t>9/12, 12+</t>
        </is>
      </c>
      <c r="F45" s="14" t="inlineStr">
        <is>
          <t>9+</t>
        </is>
      </c>
      <c r="G45" s="14" t="inlineStr">
        <is>
          <t>Romanzo</t>
        </is>
      </c>
      <c r="H45" s="14" t="inlineStr">
        <is>
          <t>DSA</t>
        </is>
      </c>
      <c r="I45" s="14" t="inlineStr">
        <is>
          <t>No</t>
        </is>
      </c>
      <c r="J45" s="14" t="inlineStr">
        <is>
          <t>Catalogo</t>
        </is>
      </c>
      <c r="K45" s="14" t="inlineStr">
        <is>
          <t>9+, romanzo, narrativa</t>
        </is>
      </c>
      <c r="L45" s="14" t="inlineStr">
        <is>
          <t>https://www.uovonero.com/libri</t>
        </is>
      </c>
      <c r="M45" s="16" t="n">
        <v>15</v>
      </c>
      <c r="N45" s="14" t="inlineStr">
        <is>
          <t>Catalogo Uovonero per librai</t>
        </is>
      </c>
      <c r="O45" s="16">
        <f>IF(ISNUMBER(M45),ROUND(M45*(1-Condizioni!$B$2),2),"")</f>
        <v/>
      </c>
      <c r="P45" s="17" t="inlineStr">
        <is>
          <t>Sì</t>
        </is>
      </c>
    </row>
    <row r="46">
      <c r="A46" s="14" t="inlineStr">
        <is>
          <t>Uovonero</t>
        </is>
      </c>
      <c r="B46" s="14" t="inlineStr">
        <is>
          <t>Non è colpa della pioggia</t>
        </is>
      </c>
      <c r="C46" s="14" t="inlineStr">
        <is>
          <t>Lynda Mullaly Hunt</t>
        </is>
      </c>
      <c r="D46" s="14" t="inlineStr">
        <is>
          <t>Abbecedanze (alta leggibilità)</t>
        </is>
      </c>
      <c r="E46" s="14" t="inlineStr">
        <is>
          <t>9/12, 12+</t>
        </is>
      </c>
      <c r="F46" s="14" t="inlineStr">
        <is>
          <t>9+</t>
        </is>
      </c>
      <c r="G46" s="14" t="inlineStr">
        <is>
          <t>Romanzo</t>
        </is>
      </c>
      <c r="H46" s="14" t="inlineStr">
        <is>
          <t>Famiglia e comunità</t>
        </is>
      </c>
      <c r="I46" s="14" t="inlineStr">
        <is>
          <t>No</t>
        </is>
      </c>
      <c r="J46" s="14" t="inlineStr">
        <is>
          <t>Catalogo</t>
        </is>
      </c>
      <c r="K46" s="14" t="inlineStr">
        <is>
          <t>9+, romanzo, narrativa</t>
        </is>
      </c>
      <c r="L46" s="14" t="inlineStr">
        <is>
          <t>https://www.uovonero.com/libri</t>
        </is>
      </c>
      <c r="M46" s="19" t="n"/>
      <c r="N46" s="14" t="inlineStr"/>
      <c r="O46" s="16">
        <f>IF(ISNUMBER(M46),ROUND(M46*(1-Condizioni!$B$2),2),"")</f>
        <v/>
      </c>
      <c r="P46" s="17" t="inlineStr">
        <is>
          <t>Sì</t>
        </is>
      </c>
    </row>
    <row r="47">
      <c r="A47" s="14" t="inlineStr">
        <is>
          <t>Uovonero</t>
        </is>
      </c>
      <c r="B47" s="14" t="inlineStr">
        <is>
          <t>Può succedere ancora?</t>
        </is>
      </c>
      <c r="C47" s="14" t="inlineStr">
        <is>
          <t>Jesper Lundqvist</t>
        </is>
      </c>
      <c r="D47" s="14" t="inlineStr">
        <is>
          <t>I Geodi</t>
        </is>
      </c>
      <c r="E47" s="14" t="inlineStr">
        <is>
          <t>9/12</t>
        </is>
      </c>
      <c r="F47" s="14" t="inlineStr">
        <is>
          <t>9+</t>
        </is>
      </c>
      <c r="G47" s="14" t="inlineStr">
        <is>
          <t>Divulgazione/Saggio</t>
        </is>
      </c>
      <c r="H47" s="14" t="inlineStr">
        <is>
          <t>Memoria della Shoah</t>
        </is>
      </c>
      <c r="I47" s="14" t="inlineStr">
        <is>
          <t>No</t>
        </is>
      </c>
      <c r="J47" s="14" t="inlineStr">
        <is>
          <t>Catalogo</t>
        </is>
      </c>
      <c r="K47" s="14" t="inlineStr">
        <is>
          <t>9+</t>
        </is>
      </c>
      <c r="L47" s="14" t="inlineStr">
        <is>
          <t>https://www.uovonero.com/libri</t>
        </is>
      </c>
      <c r="M47" s="16" t="n">
        <v>22</v>
      </c>
      <c r="N47" s="14" t="inlineStr">
        <is>
          <t>Catalogo Uovonero per librai</t>
        </is>
      </c>
      <c r="O47" s="16">
        <f>IF(ISNUMBER(M47),ROUND(M47*(1-Condizioni!$B$2),2),"")</f>
        <v/>
      </c>
      <c r="P47" s="17" t="inlineStr">
        <is>
          <t>Sì</t>
        </is>
      </c>
    </row>
    <row r="48">
      <c r="A48" s="14" t="inlineStr">
        <is>
          <t>Uovonero</t>
        </is>
      </c>
      <c r="B48" s="14" t="inlineStr">
        <is>
          <t>Un pesce sull'albero</t>
        </is>
      </c>
      <c r="C48" s="14" t="inlineStr">
        <is>
          <t>Lynda Mullaly Hunt</t>
        </is>
      </c>
      <c r="D48" s="14" t="inlineStr">
        <is>
          <t>Abbecedanze (alta leggibilità)</t>
        </is>
      </c>
      <c r="E48" s="14" t="inlineStr">
        <is>
          <t>9/12, 12+</t>
        </is>
      </c>
      <c r="F48" s="14" t="inlineStr">
        <is>
          <t>9+</t>
        </is>
      </c>
      <c r="G48" s="14" t="inlineStr">
        <is>
          <t>Romanzo</t>
        </is>
      </c>
      <c r="H48" s="14" t="inlineStr">
        <is>
          <t>DSA (dislessia)</t>
        </is>
      </c>
      <c r="I48" s="14" t="inlineStr">
        <is>
          <t>No</t>
        </is>
      </c>
      <c r="J48" s="14" t="inlineStr">
        <is>
          <t>Catalogo</t>
        </is>
      </c>
      <c r="K48" s="14" t="inlineStr">
        <is>
          <t>9+, romanzo, narrativa</t>
        </is>
      </c>
      <c r="L48" s="14" t="inlineStr">
        <is>
          <t>https://www.uovonero.com/libri</t>
        </is>
      </c>
      <c r="M48" s="19" t="n"/>
      <c r="N48" s="14" t="inlineStr"/>
      <c r="O48" s="16">
        <f>IF(ISNUMBER(M48),ROUND(M48*(1-Condizioni!$B$2),2),"")</f>
        <v/>
      </c>
      <c r="P48" s="17" t="inlineStr">
        <is>
          <t>Sì</t>
        </is>
      </c>
    </row>
    <row r="49">
      <c r="A49" s="14" t="inlineStr">
        <is>
          <t>Uovonero</t>
        </is>
      </c>
      <c r="B49" s="14" t="inlineStr">
        <is>
          <t>Una specie di scintilla</t>
        </is>
      </c>
      <c r="C49" s="14" t="inlineStr">
        <is>
          <t>Elle McNicoll</t>
        </is>
      </c>
      <c r="D49" s="14" t="inlineStr">
        <is>
          <t>I Geodi</t>
        </is>
      </c>
      <c r="E49" s="14" t="inlineStr">
        <is>
          <t>9/12, 12+</t>
        </is>
      </c>
      <c r="F49" s="14" t="inlineStr">
        <is>
          <t>9+</t>
        </is>
      </c>
      <c r="G49" s="14" t="inlineStr">
        <is>
          <t>Romanzo</t>
        </is>
      </c>
      <c r="H49" s="14" t="inlineStr">
        <is>
          <t>Autismo (autrice autistica)</t>
        </is>
      </c>
      <c r="I49" s="14" t="inlineStr">
        <is>
          <t>No</t>
        </is>
      </c>
      <c r="J49" s="14" t="inlineStr">
        <is>
          <t>Catalogo</t>
        </is>
      </c>
      <c r="K49" s="14" t="inlineStr">
        <is>
          <t>9+, romanzo, narrativa</t>
        </is>
      </c>
      <c r="L49" s="14" t="inlineStr">
        <is>
          <t>https://www.uovonero.com/libri</t>
        </is>
      </c>
      <c r="M49" s="16" t="n">
        <v>15</v>
      </c>
      <c r="N49" s="14" t="inlineStr">
        <is>
          <t>Catalogo Uovonero per librai</t>
        </is>
      </c>
      <c r="O49" s="16">
        <f>IF(ISNUMBER(M49),ROUND(M49*(1-Condizioni!$B$2),2),"")</f>
        <v/>
      </c>
      <c r="P49" s="17" t="inlineStr">
        <is>
          <t>Sì</t>
        </is>
      </c>
    </row>
    <row r="50">
      <c r="A50" s="14" t="inlineStr">
        <is>
          <t>Uovonero</t>
        </is>
      </c>
      <c r="B50" s="14" t="inlineStr">
        <is>
          <t>Come un incantesimo</t>
        </is>
      </c>
      <c r="C50" s="14" t="inlineStr">
        <is>
          <t>Elle McNicoll</t>
        </is>
      </c>
      <c r="D50" s="14" t="inlineStr">
        <is>
          <t>I Geodi</t>
        </is>
      </c>
      <c r="E50" s="14" t="inlineStr">
        <is>
          <t>12+</t>
        </is>
      </c>
      <c r="F50" s="14" t="inlineStr">
        <is>
          <t>Scuola media (11-13)</t>
        </is>
      </c>
      <c r="G50" s="14" t="inlineStr">
        <is>
          <t>Romanzo</t>
        </is>
      </c>
      <c r="H50" s="14" t="inlineStr">
        <is>
          <t>Neurodivergenza</t>
        </is>
      </c>
      <c r="I50" s="14" t="inlineStr">
        <is>
          <t>No</t>
        </is>
      </c>
      <c r="J50" s="14" t="inlineStr">
        <is>
          <t>Catalogo</t>
        </is>
      </c>
      <c r="K50" s="14" t="inlineStr">
        <is>
          <t>prima/seconda/terza media, romanzo, narrativa</t>
        </is>
      </c>
      <c r="L50" s="14" t="inlineStr">
        <is>
          <t>https://www.uovonero.com/libri</t>
        </is>
      </c>
      <c r="M50" s="16" t="n">
        <v>16</v>
      </c>
      <c r="N50" s="14" t="inlineStr">
        <is>
          <t>Catalogo Uovonero per librai</t>
        </is>
      </c>
      <c r="O50" s="16">
        <f>IF(ISNUMBER(M50),ROUND(M50*(1-Condizioni!$B$2),2),"")</f>
        <v/>
      </c>
      <c r="P50" s="17" t="inlineStr">
        <is>
          <t>Sì</t>
        </is>
      </c>
    </row>
    <row r="51">
      <c r="A51" s="14" t="inlineStr">
        <is>
          <t>Uovonero</t>
        </is>
      </c>
      <c r="B51" s="14" t="inlineStr">
        <is>
          <t>Con le ali sbagliate</t>
        </is>
      </c>
      <c r="C51" s="14" t="inlineStr">
        <is>
          <t>Gabriele Clima</t>
        </is>
      </c>
      <c r="D51" s="14" t="inlineStr">
        <is>
          <t>I Geodi</t>
        </is>
      </c>
      <c r="E51" s="14" t="inlineStr">
        <is>
          <t>12+, 14+</t>
        </is>
      </c>
      <c r="F51" s="14" t="inlineStr">
        <is>
          <t>Scuola media (11-13)</t>
        </is>
      </c>
      <c r="G51" s="14" t="inlineStr">
        <is>
          <t>Romanzo</t>
        </is>
      </c>
      <c r="H51" s="14" t="inlineStr">
        <is>
          <t>Identità sessuale e pregiudizi</t>
        </is>
      </c>
      <c r="I51" s="14" t="inlineStr">
        <is>
          <t>No</t>
        </is>
      </c>
      <c r="J51" s="14" t="inlineStr">
        <is>
          <t>Catalogo</t>
        </is>
      </c>
      <c r="K51" s="14" t="inlineStr">
        <is>
          <t>prima/seconda/terza media, romanzo, narrativa</t>
        </is>
      </c>
      <c r="L51" s="14" t="inlineStr">
        <is>
          <t>https://www.uovonero.com/libri</t>
        </is>
      </c>
      <c r="M51" s="16" t="n">
        <v>14</v>
      </c>
      <c r="N51" s="14" t="inlineStr">
        <is>
          <t>Catalogo Uovonero per librai</t>
        </is>
      </c>
      <c r="O51" s="16">
        <f>IF(ISNUMBER(M51),ROUND(M51*(1-Condizioni!$B$2),2),"")</f>
        <v/>
      </c>
      <c r="P51" s="17" t="inlineStr">
        <is>
          <t>Sì</t>
        </is>
      </c>
    </row>
    <row r="52">
      <c r="A52" s="14" t="inlineStr">
        <is>
          <t>Uovonero</t>
        </is>
      </c>
      <c r="B52" s="14" t="inlineStr">
        <is>
          <t>Dacca toxic</t>
        </is>
      </c>
      <c r="C52" s="14" t="inlineStr">
        <is>
          <t>Catherine Fradier</t>
        </is>
      </c>
      <c r="D52" s="14" t="inlineStr">
        <is>
          <t>I Geodi</t>
        </is>
      </c>
      <c r="E52" s="14" t="inlineStr">
        <is>
          <t>12+</t>
        </is>
      </c>
      <c r="F52" s="14" t="inlineStr">
        <is>
          <t>Scuola media (11-13)</t>
        </is>
      </c>
      <c r="G52" s="14" t="inlineStr">
        <is>
          <t>Avventura</t>
        </is>
      </c>
      <c r="H52" s="14" t="inlineStr">
        <is>
          <t>Autismo</t>
        </is>
      </c>
      <c r="I52" s="14" t="inlineStr">
        <is>
          <t>No</t>
        </is>
      </c>
      <c r="J52" s="14" t="inlineStr">
        <is>
          <t>Catalogo</t>
        </is>
      </c>
      <c r="K52" s="14" t="inlineStr">
        <is>
          <t>prima/seconda/terza media, avventura, narrativa</t>
        </is>
      </c>
      <c r="L52" s="14" t="inlineStr">
        <is>
          <t>https://www.uovonero.com/libri</t>
        </is>
      </c>
      <c r="M52" s="16" t="n">
        <v>15</v>
      </c>
      <c r="N52" s="14" t="inlineStr">
        <is>
          <t>Catalogo Uovonero per librai</t>
        </is>
      </c>
      <c r="O52" s="16">
        <f>IF(ISNUMBER(M52),ROUND(M52*(1-Condizioni!$B$2),2),"")</f>
        <v/>
      </c>
      <c r="P52" s="17" t="inlineStr">
        <is>
          <t>Sì</t>
        </is>
      </c>
    </row>
    <row r="53">
      <c r="A53" s="14" t="inlineStr">
        <is>
          <t>Uovonero</t>
        </is>
      </c>
      <c r="B53" s="14" t="inlineStr">
        <is>
          <t>Gabbie</t>
        </is>
      </c>
      <c r="C53" s="14" t="inlineStr">
        <is>
          <t>A. Vivarelli, G. Quarzo</t>
        </is>
      </c>
      <c r="D53" s="14" t="inlineStr">
        <is>
          <t>I Geodi</t>
        </is>
      </c>
      <c r="E53" s="14" t="inlineStr">
        <is>
          <t>12+, 14+</t>
        </is>
      </c>
      <c r="F53" s="14" t="inlineStr">
        <is>
          <t>Scuola media (11-13)</t>
        </is>
      </c>
      <c r="G53" s="14" t="inlineStr">
        <is>
          <t>Giallo/Mistero</t>
        </is>
      </c>
      <c r="H53" s="14" t="inlineStr">
        <is>
          <t>Autismo</t>
        </is>
      </c>
      <c r="I53" s="14" t="inlineStr">
        <is>
          <t>No</t>
        </is>
      </c>
      <c r="J53" s="14" t="inlineStr">
        <is>
          <t>Catalogo</t>
        </is>
      </c>
      <c r="K53" s="14" t="inlineStr">
        <is>
          <t>prima/seconda/terza media, narrativa</t>
        </is>
      </c>
      <c r="L53" s="14" t="inlineStr">
        <is>
          <t>https://www.uovonero.com/libri</t>
        </is>
      </c>
      <c r="M53" s="16" t="n">
        <v>16</v>
      </c>
      <c r="N53" s="14" t="inlineStr">
        <is>
          <t>Catalogo Uovonero per librai</t>
        </is>
      </c>
      <c r="O53" s="16">
        <f>IF(ISNUMBER(M53),ROUND(M53*(1-Condizioni!$B$2),2),"")</f>
        <v/>
      </c>
      <c r="P53" s="17" t="inlineStr">
        <is>
          <t>Sì</t>
        </is>
      </c>
    </row>
    <row r="54">
      <c r="A54" s="14" t="inlineStr">
        <is>
          <t>Uovonero</t>
        </is>
      </c>
      <c r="B54" s="14" t="inlineStr">
        <is>
          <t>Il mistero del Guggenheim</t>
        </is>
      </c>
      <c r="C54" s="14" t="inlineStr">
        <is>
          <t>Robin Stevens (idea di S. Dowd)</t>
        </is>
      </c>
      <c r="D54" s="14" t="inlineStr">
        <is>
          <t>I Geodi</t>
        </is>
      </c>
      <c r="E54" s="14" t="inlineStr">
        <is>
          <t>12+, 14+</t>
        </is>
      </c>
      <c r="F54" s="14" t="inlineStr">
        <is>
          <t>Scuola media (11-13)</t>
        </is>
      </c>
      <c r="G54" s="14" t="inlineStr">
        <is>
          <t>Giallo/Mistero</t>
        </is>
      </c>
      <c r="H54" s="14" t="inlineStr">
        <is>
          <t>Autismo</t>
        </is>
      </c>
      <c r="I54" s="14" t="inlineStr">
        <is>
          <t>No</t>
        </is>
      </c>
      <c r="J54" s="14" t="inlineStr">
        <is>
          <t>Catalogo</t>
        </is>
      </c>
      <c r="K54" s="14" t="inlineStr">
        <is>
          <t>prima/seconda/terza media, narrativa</t>
        </is>
      </c>
      <c r="L54" s="14" t="inlineStr">
        <is>
          <t>https://www.uovonero.com/libri</t>
        </is>
      </c>
      <c r="M54" s="16" t="n">
        <v>16</v>
      </c>
      <c r="N54" s="14" t="inlineStr">
        <is>
          <t>Catalogo Uovonero per librai</t>
        </is>
      </c>
      <c r="O54" s="16">
        <f>IF(ISNUMBER(M54),ROUND(M54*(1-Condizioni!$B$2),2),"")</f>
        <v/>
      </c>
      <c r="P54" s="17" t="inlineStr">
        <is>
          <t>Sì</t>
        </is>
      </c>
    </row>
    <row r="55">
      <c r="A55" s="14" t="inlineStr">
        <is>
          <t>Uovonero</t>
        </is>
      </c>
      <c r="B55" s="14" t="inlineStr">
        <is>
          <t>Il mistero del London Eye</t>
        </is>
      </c>
      <c r="C55" s="14" t="inlineStr">
        <is>
          <t>Siobhan Dowd</t>
        </is>
      </c>
      <c r="D55" s="14" t="inlineStr">
        <is>
          <t>I Geodi</t>
        </is>
      </c>
      <c r="E55" s="14" t="inlineStr">
        <is>
          <t>12+</t>
        </is>
      </c>
      <c r="F55" s="14" t="inlineStr">
        <is>
          <t>Scuola media (11-13)</t>
        </is>
      </c>
      <c r="G55" s="14" t="inlineStr">
        <is>
          <t>Giallo/Mistero</t>
        </is>
      </c>
      <c r="H55" s="14" t="inlineStr">
        <is>
          <t>Autismo (Premio Andersen 2012)</t>
        </is>
      </c>
      <c r="I55" s="14" t="inlineStr">
        <is>
          <t>No</t>
        </is>
      </c>
      <c r="J55" s="14" t="inlineStr">
        <is>
          <t>Catalogo</t>
        </is>
      </c>
      <c r="K55" s="14" t="inlineStr">
        <is>
          <t>prima/seconda/terza media, narrativa</t>
        </is>
      </c>
      <c r="L55" s="14" t="inlineStr">
        <is>
          <t>https://www.uovonero.com/libri</t>
        </is>
      </c>
      <c r="M55" s="16" t="n">
        <v>16</v>
      </c>
      <c r="N55" s="14" t="inlineStr">
        <is>
          <t>Catalogo Uovonero per librai</t>
        </is>
      </c>
      <c r="O55" s="16">
        <f>IF(ISNUMBER(M55),ROUND(M55*(1-Condizioni!$B$2),2),"")</f>
        <v/>
      </c>
      <c r="P55" s="17" t="inlineStr">
        <is>
          <t>Sì</t>
        </is>
      </c>
    </row>
    <row r="56">
      <c r="A56" s="14" t="inlineStr">
        <is>
          <t>Uovonero</t>
        </is>
      </c>
      <c r="B56" s="14" t="inlineStr">
        <is>
          <t>Il pavee e la ragazza</t>
        </is>
      </c>
      <c r="C56" s="14" t="inlineStr">
        <is>
          <t>Siobhan Dowd; ill. Emma Shoard</t>
        </is>
      </c>
      <c r="D56" s="14" t="inlineStr">
        <is>
          <t>I Geodi</t>
        </is>
      </c>
      <c r="E56" s="14" t="inlineStr">
        <is>
          <t>9/12, 12+, 14+</t>
        </is>
      </c>
      <c r="F56" s="14" t="inlineStr">
        <is>
          <t>Scuola media (11-13)</t>
        </is>
      </c>
      <c r="G56" s="14" t="inlineStr">
        <is>
          <t>Narrativa</t>
        </is>
      </c>
      <c r="H56" s="14" t="inlineStr">
        <is>
          <t>Minoranze (comunità Pavee)</t>
        </is>
      </c>
      <c r="I56" s="14" t="inlineStr">
        <is>
          <t>No</t>
        </is>
      </c>
      <c r="J56" s="14" t="inlineStr">
        <is>
          <t>Catalogo</t>
        </is>
      </c>
      <c r="K56" s="14" t="inlineStr">
        <is>
          <t>prima/seconda/terza media, narrativa</t>
        </is>
      </c>
      <c r="L56" s="14" t="inlineStr">
        <is>
          <t>https://www.uovonero.com/libri</t>
        </is>
      </c>
      <c r="M56" s="16" t="n">
        <v>15</v>
      </c>
      <c r="N56" s="14" t="inlineStr">
        <is>
          <t>Catalogo Uovonero per librai</t>
        </is>
      </c>
      <c r="O56" s="16">
        <f>IF(ISNUMBER(M56),ROUND(M56*(1-Condizioni!$B$2),2),"")</f>
        <v/>
      </c>
      <c r="P56" s="17" t="inlineStr">
        <is>
          <t>Sì</t>
        </is>
      </c>
    </row>
    <row r="57">
      <c r="A57" s="14" t="inlineStr">
        <is>
          <t>Uovonero</t>
        </is>
      </c>
      <c r="B57" s="14" t="inlineStr">
        <is>
          <t>Keedie</t>
        </is>
      </c>
      <c r="C57" s="14" t="inlineStr">
        <is>
          <t>Elle McNicoll</t>
        </is>
      </c>
      <c r="D57" s="14" t="inlineStr">
        <is>
          <t>I Geodi</t>
        </is>
      </c>
      <c r="E57" s="14" t="inlineStr">
        <is>
          <t>12+</t>
        </is>
      </c>
      <c r="F57" s="14" t="inlineStr">
        <is>
          <t>Scuola media (11-13)</t>
        </is>
      </c>
      <c r="G57" s="14" t="inlineStr">
        <is>
          <t>Romanzo</t>
        </is>
      </c>
      <c r="H57" s="14" t="inlineStr">
        <is>
          <t>Autismo</t>
        </is>
      </c>
      <c r="I57" s="14" t="inlineStr">
        <is>
          <t>No</t>
        </is>
      </c>
      <c r="J57" s="14" t="inlineStr">
        <is>
          <t>Catalogo</t>
        </is>
      </c>
      <c r="K57" s="14" t="inlineStr">
        <is>
          <t>prima/seconda/terza media, romanzo, narrativa</t>
        </is>
      </c>
      <c r="L57" s="14" t="inlineStr">
        <is>
          <t>https://www.uovonero.com/libri</t>
        </is>
      </c>
      <c r="M57" s="16" t="n">
        <v>16</v>
      </c>
      <c r="N57" s="14" t="inlineStr">
        <is>
          <t>Catalogo Uovonero per librai</t>
        </is>
      </c>
      <c r="O57" s="16">
        <f>IF(ISNUMBER(M57),ROUND(M57*(1-Condizioni!$B$2),2),"")</f>
        <v/>
      </c>
      <c r="P57" s="17" t="inlineStr">
        <is>
          <t>Sì</t>
        </is>
      </c>
    </row>
    <row r="58">
      <c r="A58" s="14" t="inlineStr">
        <is>
          <t>Uovonero</t>
        </is>
      </c>
      <c r="B58" s="14" t="inlineStr">
        <is>
          <t>La fisica degli abbracci</t>
        </is>
      </c>
      <c r="C58" s="14" t="inlineStr">
        <is>
          <t>Anna Vivarelli</t>
        </is>
      </c>
      <c r="D58" s="14" t="inlineStr">
        <is>
          <t>I Geodi</t>
        </is>
      </c>
      <c r="E58" s="14" t="inlineStr">
        <is>
          <t>12+, 14+</t>
        </is>
      </c>
      <c r="F58" s="14" t="inlineStr">
        <is>
          <t>Scuola media (11-13)</t>
        </is>
      </c>
      <c r="G58" s="14" t="inlineStr">
        <is>
          <t>Romanzo</t>
        </is>
      </c>
      <c r="H58" s="14" t="inlineStr">
        <is>
          <t>Autismo</t>
        </is>
      </c>
      <c r="I58" s="14" t="inlineStr">
        <is>
          <t>No</t>
        </is>
      </c>
      <c r="J58" s="14" t="inlineStr">
        <is>
          <t>Catalogo</t>
        </is>
      </c>
      <c r="K58" s="14" t="inlineStr">
        <is>
          <t>prima/seconda/terza media, romanzo, narrativa</t>
        </is>
      </c>
      <c r="L58" s="14" t="inlineStr">
        <is>
          <t>https://www.uovonero.com/libri</t>
        </is>
      </c>
      <c r="M58" s="16" t="n">
        <v>15</v>
      </c>
      <c r="N58" s="14" t="inlineStr">
        <is>
          <t>Catalogo Uovonero per librai</t>
        </is>
      </c>
      <c r="O58" s="16">
        <f>IF(ISNUMBER(M58),ROUND(M58*(1-Condizioni!$B$2),2),"")</f>
        <v/>
      </c>
      <c r="P58" s="17" t="inlineStr">
        <is>
          <t>Sì</t>
        </is>
      </c>
    </row>
    <row r="59">
      <c r="A59" s="14" t="inlineStr">
        <is>
          <t>Uovonero</t>
        </is>
      </c>
      <c r="B59" s="14" t="inlineStr">
        <is>
          <t>Mio fratello è un Custode</t>
        </is>
      </c>
      <c r="C59" s="14" t="inlineStr">
        <is>
          <t>Marine Carteron</t>
        </is>
      </c>
      <c r="D59" s="14" t="inlineStr">
        <is>
          <t>I Geodi</t>
        </is>
      </c>
      <c r="E59" s="14" t="inlineStr">
        <is>
          <t>12+, 14+</t>
        </is>
      </c>
      <c r="F59" s="14" t="inlineStr">
        <is>
          <t>Scuola media (11-13)</t>
        </is>
      </c>
      <c r="G59" s="14" t="inlineStr">
        <is>
          <t>Avventura</t>
        </is>
      </c>
      <c r="H59" s="14" t="inlineStr">
        <is>
          <t>Autismo</t>
        </is>
      </c>
      <c r="I59" s="14" t="inlineStr">
        <is>
          <t>No</t>
        </is>
      </c>
      <c r="J59" s="14" t="inlineStr">
        <is>
          <t>Catalogo</t>
        </is>
      </c>
      <c r="K59" s="14" t="inlineStr">
        <is>
          <t>prima/seconda/terza media, avventura, narrativa</t>
        </is>
      </c>
      <c r="L59" s="14" t="inlineStr">
        <is>
          <t>https://www.uovonero.com/libri</t>
        </is>
      </c>
      <c r="M59" s="16" t="n">
        <v>15</v>
      </c>
      <c r="N59" s="14" t="inlineStr">
        <is>
          <t>Catalogo Uovonero per librai</t>
        </is>
      </c>
      <c r="O59" s="16">
        <f>IF(ISNUMBER(M59),ROUND(M59*(1-Condizioni!$B$2),2),"")</f>
        <v/>
      </c>
      <c r="P59" s="17" t="inlineStr">
        <is>
          <t>Sì</t>
        </is>
      </c>
    </row>
    <row r="60">
      <c r="A60" s="14" t="inlineStr">
        <is>
          <t>Uovonero</t>
        </is>
      </c>
      <c r="B60" s="14" t="inlineStr">
        <is>
          <t>Mostraci chi sei</t>
        </is>
      </c>
      <c r="C60" s="14" t="inlineStr">
        <is>
          <t>Elle McNicoll</t>
        </is>
      </c>
      <c r="D60" s="14" t="inlineStr">
        <is>
          <t>I Geodi</t>
        </is>
      </c>
      <c r="E60" s="14" t="inlineStr">
        <is>
          <t>12+, 14+</t>
        </is>
      </c>
      <c r="F60" s="14" t="inlineStr">
        <is>
          <t>Scuola media (11-13)</t>
        </is>
      </c>
      <c r="G60" s="14" t="inlineStr">
        <is>
          <t>Romanzo</t>
        </is>
      </c>
      <c r="H60" s="14" t="inlineStr">
        <is>
          <t>Autismo</t>
        </is>
      </c>
      <c r="I60" s="14" t="inlineStr">
        <is>
          <t>No</t>
        </is>
      </c>
      <c r="J60" s="14" t="inlineStr">
        <is>
          <t>Catalogo</t>
        </is>
      </c>
      <c r="K60" s="14" t="inlineStr">
        <is>
          <t>prima/seconda/terza media, romanzo, narrativa</t>
        </is>
      </c>
      <c r="L60" s="14" t="inlineStr">
        <is>
          <t>https://www.uovonero.com/libri</t>
        </is>
      </c>
      <c r="M60" s="16" t="n">
        <v>16</v>
      </c>
      <c r="N60" s="14" t="inlineStr">
        <is>
          <t>Catalogo Uovonero per librai</t>
        </is>
      </c>
      <c r="O60" s="16">
        <f>IF(ISNUMBER(M60),ROUND(M60*(1-Condizioni!$B$2),2),"")</f>
        <v/>
      </c>
      <c r="P60" s="17" t="inlineStr">
        <is>
          <t>Sì</t>
        </is>
      </c>
    </row>
    <row r="61">
      <c r="A61" s="14" t="inlineStr">
        <is>
          <t>Uovonero</t>
        </is>
      </c>
      <c r="B61" s="14" t="inlineStr">
        <is>
          <t>Professor papà</t>
        </is>
      </c>
      <c r="C61" s="14" t="inlineStr">
        <is>
          <t>Gunnar Helgason</t>
        </is>
      </c>
      <c r="D61" s="14" t="inlineStr">
        <is>
          <t>I Geodi</t>
        </is>
      </c>
      <c r="E61" s="14" t="inlineStr">
        <is>
          <t>12+</t>
        </is>
      </c>
      <c r="F61" s="14" t="inlineStr">
        <is>
          <t>Scuola media (11-13)</t>
        </is>
      </c>
      <c r="G61" s="14" t="inlineStr">
        <is>
          <t>Romanzo</t>
        </is>
      </c>
      <c r="H61" s="14" t="inlineStr">
        <is>
          <t>Disabilità</t>
        </is>
      </c>
      <c r="I61" s="14" t="inlineStr">
        <is>
          <t>No</t>
        </is>
      </c>
      <c r="J61" s="14" t="inlineStr">
        <is>
          <t>Catalogo</t>
        </is>
      </c>
      <c r="K61" s="14" t="inlineStr">
        <is>
          <t>prima/seconda/terza media, romanzo, narrativa</t>
        </is>
      </c>
      <c r="L61" s="14" t="inlineStr">
        <is>
          <t>https://www.uovonero.com/libri</t>
        </is>
      </c>
      <c r="M61" s="19" t="n"/>
      <c r="N61" s="14" t="inlineStr"/>
      <c r="O61" s="16">
        <f>IF(ISNUMBER(M61),ROUND(M61*(1-Condizioni!$B$2),2),"")</f>
        <v/>
      </c>
      <c r="P61" s="17" t="inlineStr">
        <is>
          <t>Sì</t>
        </is>
      </c>
    </row>
    <row r="62">
      <c r="A62" s="14" t="inlineStr">
        <is>
          <t>Uovonero</t>
        </is>
      </c>
      <c r="B62" s="14" t="inlineStr">
        <is>
          <t>Semplicemente Maria</t>
        </is>
      </c>
      <c r="C62" s="14" t="inlineStr">
        <is>
          <t>Jay Hardwig</t>
        </is>
      </c>
      <c r="D62" s="14" t="inlineStr">
        <is>
          <t>I Geodi</t>
        </is>
      </c>
      <c r="E62" s="14" t="inlineStr">
        <is>
          <t>12+</t>
        </is>
      </c>
      <c r="F62" s="14" t="inlineStr">
        <is>
          <t>Scuola media (11-13)</t>
        </is>
      </c>
      <c r="G62" s="14" t="inlineStr">
        <is>
          <t>Romanzo</t>
        </is>
      </c>
      <c r="H62" s="14" t="inlineStr">
        <is>
          <t>Cecità / disabilità</t>
        </is>
      </c>
      <c r="I62" s="14" t="inlineStr">
        <is>
          <t>No</t>
        </is>
      </c>
      <c r="J62" s="14" t="inlineStr">
        <is>
          <t>Catalogo</t>
        </is>
      </c>
      <c r="K62" s="14" t="inlineStr">
        <is>
          <t>prima/seconda/terza media, romanzo, narrativa</t>
        </is>
      </c>
      <c r="L62" s="14" t="inlineStr">
        <is>
          <t>https://www.uovonero.com/libri</t>
        </is>
      </c>
      <c r="M62" s="16" t="n">
        <v>16.5</v>
      </c>
      <c r="N62" s="14" t="inlineStr">
        <is>
          <t>Catalogo Uovonero per librai</t>
        </is>
      </c>
      <c r="O62" s="16">
        <f>IF(ISNUMBER(M62),ROUND(M62*(1-Condizioni!$B$2),2),"")</f>
        <v/>
      </c>
      <c r="P62" s="17" t="inlineStr">
        <is>
          <t>Sì</t>
        </is>
      </c>
    </row>
    <row r="63">
      <c r="A63" s="14" t="inlineStr">
        <is>
          <t>Uovonero</t>
        </is>
      </c>
      <c r="B63" s="14" t="inlineStr">
        <is>
          <t>Thornhill</t>
        </is>
      </c>
      <c r="C63" s="14" t="inlineStr">
        <is>
          <t>Pam Smy</t>
        </is>
      </c>
      <c r="D63" s="14" t="inlineStr">
        <is>
          <t>I Geodi</t>
        </is>
      </c>
      <c r="E63" s="14" t="inlineStr">
        <is>
          <t>12+, 14+</t>
        </is>
      </c>
      <c r="F63" s="14" t="inlineStr">
        <is>
          <t>Scuola media (11-13)</t>
        </is>
      </c>
      <c r="G63" s="14" t="inlineStr">
        <is>
          <t>Narrativa</t>
        </is>
      </c>
      <c r="H63" s="14" t="inlineStr">
        <is>
          <t>Bullismo (tema noto del libro, da verificare)</t>
        </is>
      </c>
      <c r="I63" s="14" t="inlineStr">
        <is>
          <t>No</t>
        </is>
      </c>
      <c r="J63" s="14" t="inlineStr">
        <is>
          <t>Catalogo</t>
        </is>
      </c>
      <c r="K63" s="14" t="inlineStr">
        <is>
          <t>prima/seconda/terza media, narrativa, bullismo</t>
        </is>
      </c>
      <c r="L63" s="14" t="inlineStr">
        <is>
          <t>https://www.uovonero.com/libri</t>
        </is>
      </c>
      <c r="M63" s="16" t="n">
        <v>22</v>
      </c>
      <c r="N63" s="14" t="inlineStr">
        <is>
          <t>Catalogo Uovonero per librai</t>
        </is>
      </c>
      <c r="O63" s="16">
        <f>IF(ISNUMBER(M63),ROUND(M63*(1-Condizioni!$B$2),2),"")</f>
        <v/>
      </c>
      <c r="P63" s="17" t="inlineStr">
        <is>
          <t>Sì</t>
        </is>
      </c>
    </row>
    <row r="64">
      <c r="A64" s="14" t="inlineStr">
        <is>
          <t>Uovonero</t>
        </is>
      </c>
      <c r="B64" s="14" t="inlineStr">
        <is>
          <t>Tre dita</t>
        </is>
      </c>
      <c r="C64" s="14" t="inlineStr">
        <is>
          <t>Massimo Canuti</t>
        </is>
      </c>
      <c r="D64" s="14" t="inlineStr">
        <is>
          <t>I Geodi</t>
        </is>
      </c>
      <c r="E64" s="14" t="inlineStr">
        <is>
          <t>12+</t>
        </is>
      </c>
      <c r="F64" s="14" t="inlineStr">
        <is>
          <t>Scuola media (11-13)</t>
        </is>
      </c>
      <c r="G64" s="14" t="inlineStr">
        <is>
          <t>Romanzo</t>
        </is>
      </c>
      <c r="H64" s="14" t="inlineStr">
        <is>
          <t>Memoria (Seconda guerra mondiale)</t>
        </is>
      </c>
      <c r="I64" s="14" t="inlineStr">
        <is>
          <t>No</t>
        </is>
      </c>
      <c r="J64" s="14" t="inlineStr">
        <is>
          <t>Catalogo</t>
        </is>
      </c>
      <c r="K64" s="14" t="inlineStr">
        <is>
          <t>prima/seconda/terza media, romanzo, narrativa</t>
        </is>
      </c>
      <c r="L64" s="14" t="inlineStr">
        <is>
          <t>https://www.uovonero.com/libri</t>
        </is>
      </c>
      <c r="M64" s="16" t="n">
        <v>16.5</v>
      </c>
      <c r="N64" s="14" t="inlineStr">
        <is>
          <t>Catalogo Uovonero per librai</t>
        </is>
      </c>
      <c r="O64" s="16">
        <f>IF(ISNUMBER(M64),ROUND(M64*(1-Condizioni!$B$2),2),"")</f>
        <v/>
      </c>
      <c r="P64" s="17" t="inlineStr">
        <is>
          <t>Sì</t>
        </is>
      </c>
    </row>
    <row r="65">
      <c r="A65" s="14" t="inlineStr">
        <is>
          <t>Uovonero</t>
        </is>
      </c>
      <c r="B65" s="14" t="inlineStr">
        <is>
          <t>Tutt'altro che tipico</t>
        </is>
      </c>
      <c r="C65" s="14" t="inlineStr">
        <is>
          <t>Nora Raleigh Baskin</t>
        </is>
      </c>
      <c r="D65" s="14" t="inlineStr">
        <is>
          <t>I Geodi</t>
        </is>
      </c>
      <c r="E65" s="14" t="inlineStr">
        <is>
          <t>12+</t>
        </is>
      </c>
      <c r="F65" s="14" t="inlineStr">
        <is>
          <t>Scuola media (11-13)</t>
        </is>
      </c>
      <c r="G65" s="14" t="inlineStr">
        <is>
          <t>Romanzo</t>
        </is>
      </c>
      <c r="H65" s="14" t="inlineStr">
        <is>
          <t>Autismo</t>
        </is>
      </c>
      <c r="I65" s="14" t="inlineStr">
        <is>
          <t>No</t>
        </is>
      </c>
      <c r="J65" s="14" t="inlineStr">
        <is>
          <t>Catalogo</t>
        </is>
      </c>
      <c r="K65" s="14" t="inlineStr">
        <is>
          <t>prima/seconda/terza media, romanzo, narrativa</t>
        </is>
      </c>
      <c r="L65" s="14" t="inlineStr">
        <is>
          <t>https://www.uovonero.com/libri</t>
        </is>
      </c>
      <c r="M65" s="16" t="n">
        <v>14</v>
      </c>
      <c r="N65" s="14" t="inlineStr">
        <is>
          <t>Catalogo Uovonero per librai</t>
        </is>
      </c>
      <c r="O65" s="16">
        <f>IF(ISNUMBER(M65),ROUND(M65*(1-Condizioni!$B$2),2),"")</f>
        <v/>
      </c>
      <c r="P65" s="17" t="inlineStr">
        <is>
          <t>Sì</t>
        </is>
      </c>
    </row>
    <row r="66">
      <c r="A66" s="14" t="inlineStr">
        <is>
          <t>Uovonero</t>
        </is>
      </c>
      <c r="B66" s="14" t="inlineStr">
        <is>
          <t>Tutta la rabbia che ho dentro</t>
        </is>
      </c>
      <c r="C66" s="14" t="inlineStr">
        <is>
          <t>Inés Garland</t>
        </is>
      </c>
      <c r="D66" s="14" t="inlineStr">
        <is>
          <t>I Geodi</t>
        </is>
      </c>
      <c r="E66" s="14" t="inlineStr">
        <is>
          <t>12+</t>
        </is>
      </c>
      <c r="F66" s="14" t="inlineStr">
        <is>
          <t>Scuola media (11-13)</t>
        </is>
      </c>
      <c r="G66" s="14" t="inlineStr">
        <is>
          <t>Romanzo</t>
        </is>
      </c>
      <c r="H66" s="14" t="inlineStr">
        <is>
          <t>Emozioni e adolescenza</t>
        </is>
      </c>
      <c r="I66" s="14" t="inlineStr">
        <is>
          <t>No</t>
        </is>
      </c>
      <c r="J66" s="14" t="inlineStr">
        <is>
          <t>Catalogo</t>
        </is>
      </c>
      <c r="K66" s="14" t="inlineStr">
        <is>
          <t>prima/seconda/terza media, romanzo, narrativa</t>
        </is>
      </c>
      <c r="L66" s="14" t="inlineStr">
        <is>
          <t>https://www.uovonero.com/libri</t>
        </is>
      </c>
      <c r="M66" s="16" t="n">
        <v>16</v>
      </c>
      <c r="N66" s="14" t="inlineStr">
        <is>
          <t>Catalogo Uovonero per librai</t>
        </is>
      </c>
      <c r="O66" s="16">
        <f>IF(ISNUMBER(M66),ROUND(M66*(1-Condizioni!$B$2),2),"")</f>
        <v/>
      </c>
      <c r="P66" s="17" t="inlineStr">
        <is>
          <t>Sì</t>
        </is>
      </c>
    </row>
    <row r="67">
      <c r="A67" s="14" t="inlineStr">
        <is>
          <t>Uovonero</t>
        </is>
      </c>
      <c r="B67" s="14" t="inlineStr">
        <is>
          <t>Una mamma svitata</t>
        </is>
      </c>
      <c r="C67" s="14" t="inlineStr">
        <is>
          <t>Gunnar Helgason</t>
        </is>
      </c>
      <c r="D67" s="14" t="inlineStr">
        <is>
          <t>I Geodi</t>
        </is>
      </c>
      <c r="E67" s="14" t="inlineStr">
        <is>
          <t>12+</t>
        </is>
      </c>
      <c r="F67" s="14" t="inlineStr">
        <is>
          <t>Scuola media (11-13)</t>
        </is>
      </c>
      <c r="G67" s="14" t="inlineStr">
        <is>
          <t>Romanzo</t>
        </is>
      </c>
      <c r="H67" s="14" t="inlineStr">
        <is>
          <t>Famiglia e adolescenza</t>
        </is>
      </c>
      <c r="I67" s="14" t="inlineStr">
        <is>
          <t>No</t>
        </is>
      </c>
      <c r="J67" s="14" t="inlineStr">
        <is>
          <t>Catalogo</t>
        </is>
      </c>
      <c r="K67" s="14" t="inlineStr">
        <is>
          <t>prima/seconda/terza media, romanzo, narrativa</t>
        </is>
      </c>
      <c r="L67" s="14" t="inlineStr">
        <is>
          <t>https://www.uovonero.com/libri</t>
        </is>
      </c>
      <c r="M67" s="16" t="n">
        <v>15</v>
      </c>
      <c r="N67" s="14" t="inlineStr">
        <is>
          <t>Catalogo Uovonero per librai</t>
        </is>
      </c>
      <c r="O67" s="16">
        <f>IF(ISNUMBER(M67),ROUND(M67*(1-Condizioni!$B$2),2),"")</f>
        <v/>
      </c>
      <c r="P67" s="17" t="inlineStr">
        <is>
          <t>Sì</t>
        </is>
      </c>
    </row>
    <row r="68">
      <c r="A68" s="14" t="inlineStr">
        <is>
          <t>Uovonero</t>
        </is>
      </c>
      <c r="B68" s="14" t="inlineStr">
        <is>
          <t>Una piccola cosa senza importanza</t>
        </is>
      </c>
      <c r="C68" s="14" t="inlineStr">
        <is>
          <t>Catherine Fradier</t>
        </is>
      </c>
      <c r="D68" s="14" t="inlineStr">
        <is>
          <t>I Geodi</t>
        </is>
      </c>
      <c r="E68" s="14" t="inlineStr">
        <is>
          <t>12+, 14+</t>
        </is>
      </c>
      <c r="F68" s="14" t="inlineStr">
        <is>
          <t>Scuola media (11-13)</t>
        </is>
      </c>
      <c r="G68" s="14" t="inlineStr">
        <is>
          <t>Avventura</t>
        </is>
      </c>
      <c r="H68" s="14" t="inlineStr">
        <is>
          <t>Autismo</t>
        </is>
      </c>
      <c r="I68" s="14" t="inlineStr">
        <is>
          <t>No</t>
        </is>
      </c>
      <c r="J68" s="14" t="inlineStr">
        <is>
          <t>Catalogo</t>
        </is>
      </c>
      <c r="K68" s="14" t="inlineStr">
        <is>
          <t>prima/seconda/terza media, avventura, narrativa</t>
        </is>
      </c>
      <c r="L68" s="14" t="inlineStr">
        <is>
          <t>https://www.uovonero.com/libri</t>
        </is>
      </c>
      <c r="M68" s="16" t="n">
        <v>15</v>
      </c>
      <c r="N68" s="14" t="inlineStr">
        <is>
          <t>Catalogo Uovonero per librai</t>
        </is>
      </c>
      <c r="O68" s="16">
        <f>IF(ISNUMBER(M68),ROUND(M68*(1-Condizioni!$B$2),2),"")</f>
        <v/>
      </c>
      <c r="P68" s="17" t="inlineStr">
        <is>
          <t>Sì</t>
        </is>
      </c>
    </row>
    <row r="69">
      <c r="A69" s="14" t="inlineStr">
        <is>
          <t>Uovonero</t>
        </is>
      </c>
      <c r="B69" s="14" t="inlineStr">
        <is>
          <t>Divergente</t>
        </is>
      </c>
      <c r="C69" s="14" t="inlineStr">
        <is>
          <t>Victoria Grondin</t>
        </is>
      </c>
      <c r="D69" s="14" t="inlineStr">
        <is>
          <t>I Geodi</t>
        </is>
      </c>
      <c r="E69" s="14" t="inlineStr">
        <is>
          <t>14+</t>
        </is>
      </c>
      <c r="F69" s="14" t="inlineStr">
        <is>
          <t>Adolescenza (14+)</t>
        </is>
      </c>
      <c r="G69" s="14" t="inlineStr">
        <is>
          <t>Romanzo</t>
        </is>
      </c>
      <c r="H69" s="14" t="inlineStr">
        <is>
          <t>Autismo / diversità</t>
        </is>
      </c>
      <c r="I69" s="14" t="inlineStr">
        <is>
          <t>No</t>
        </is>
      </c>
      <c r="J69" s="14" t="inlineStr">
        <is>
          <t>Catalogo</t>
        </is>
      </c>
      <c r="K69" s="14" t="inlineStr">
        <is>
          <t>adolescenza, romanzo, narrativa</t>
        </is>
      </c>
      <c r="L69" s="14" t="inlineStr">
        <is>
          <t>https://www.uovonero.com/libri</t>
        </is>
      </c>
      <c r="M69" s="16" t="n">
        <v>15</v>
      </c>
      <c r="N69" s="14" t="inlineStr">
        <is>
          <t>Catalogo Uovonero per librai</t>
        </is>
      </c>
      <c r="O69" s="16">
        <f>IF(ISNUMBER(M69),ROUND(M69*(1-Condizioni!$B$2),2),"")</f>
        <v/>
      </c>
      <c r="P69" s="17" t="inlineStr">
        <is>
          <t>Sì</t>
        </is>
      </c>
    </row>
    <row r="70">
      <c r="A70" s="14" t="inlineStr">
        <is>
          <t>Uovonero</t>
        </is>
      </c>
      <c r="B70" s="14" t="inlineStr">
        <is>
          <t>Il mio posto</t>
        </is>
      </c>
      <c r="C70" s="14" t="inlineStr">
        <is>
          <t>Daniele Bergesio</t>
        </is>
      </c>
      <c r="D70" s="14" t="inlineStr">
        <is>
          <t>I Geodi</t>
        </is>
      </c>
      <c r="E70" s="14" t="inlineStr">
        <is>
          <t>14+</t>
        </is>
      </c>
      <c r="F70" s="14" t="inlineStr">
        <is>
          <t>Adolescenza (14+)</t>
        </is>
      </c>
      <c r="G70" s="14" t="inlineStr">
        <is>
          <t>Romanzo</t>
        </is>
      </c>
      <c r="H70" s="14" t="inlineStr">
        <is>
          <t>Emozioni e adolescenza</t>
        </is>
      </c>
      <c r="I70" s="14" t="inlineStr">
        <is>
          <t>No</t>
        </is>
      </c>
      <c r="J70" s="14" t="inlineStr">
        <is>
          <t>Catalogo</t>
        </is>
      </c>
      <c r="K70" s="14" t="inlineStr">
        <is>
          <t>adolescenza, romanzo, narrativa</t>
        </is>
      </c>
      <c r="L70" s="14" t="inlineStr">
        <is>
          <t>https://www.uovonero.com/libri</t>
        </is>
      </c>
      <c r="M70" s="16" t="n">
        <v>16</v>
      </c>
      <c r="N70" s="14" t="inlineStr">
        <is>
          <t>Catalogo Uovonero per librai</t>
        </is>
      </c>
      <c r="O70" s="16">
        <f>IF(ISNUMBER(M70),ROUND(M70*(1-Condizioni!$B$2),2),"")</f>
        <v/>
      </c>
      <c r="P70" s="17" t="inlineStr">
        <is>
          <t>Sì</t>
        </is>
      </c>
    </row>
    <row r="71">
      <c r="A71" s="14" t="inlineStr">
        <is>
          <t>Uovonero</t>
        </is>
      </c>
      <c r="B71" s="14" t="inlineStr">
        <is>
          <t>L'aquilone di Noah</t>
        </is>
      </c>
      <c r="C71" s="14" t="inlineStr">
        <is>
          <t>Rafael Salmerón</t>
        </is>
      </c>
      <c r="D71" s="14" t="inlineStr">
        <is>
          <t>I Geodi</t>
        </is>
      </c>
      <c r="E71" s="14" t="inlineStr">
        <is>
          <t>14+</t>
        </is>
      </c>
      <c r="F71" s="14" t="inlineStr">
        <is>
          <t>Adolescenza (14+)</t>
        </is>
      </c>
      <c r="G71" s="14" t="inlineStr">
        <is>
          <t>Romanzo</t>
        </is>
      </c>
      <c r="H71" s="14" t="inlineStr">
        <is>
          <t>Autismo; Seconda guerra mondiale</t>
        </is>
      </c>
      <c r="I71" s="14" t="inlineStr">
        <is>
          <t>No</t>
        </is>
      </c>
      <c r="J71" s="14" t="inlineStr">
        <is>
          <t>Catalogo</t>
        </is>
      </c>
      <c r="K71" s="14" t="inlineStr">
        <is>
          <t>adolescenza, romanzo, narrativa</t>
        </is>
      </c>
      <c r="L71" s="14" t="inlineStr">
        <is>
          <t>https://www.uovonero.com/libri</t>
        </is>
      </c>
      <c r="M71" s="16" t="n">
        <v>15</v>
      </c>
      <c r="N71" s="14" t="inlineStr">
        <is>
          <t>Catalogo Uovonero per librai</t>
        </is>
      </c>
      <c r="O71" s="16">
        <f>IF(ISNUMBER(M71),ROUND(M71*(1-Condizioni!$B$2),2),"")</f>
        <v/>
      </c>
      <c r="P71" s="17" t="inlineStr">
        <is>
          <t>Sì</t>
        </is>
      </c>
    </row>
    <row r="72">
      <c r="A72" s="14" t="inlineStr">
        <is>
          <t>Uovonero</t>
        </is>
      </c>
      <c r="B72" s="14" t="inlineStr">
        <is>
          <t>Le degenerate</t>
        </is>
      </c>
      <c r="C72" s="14" t="inlineStr">
        <is>
          <t>J. Albert Mann</t>
        </is>
      </c>
      <c r="D72" s="14" t="inlineStr">
        <is>
          <t>I Geodi</t>
        </is>
      </c>
      <c r="E72" s="14" t="inlineStr">
        <is>
          <t>14+</t>
        </is>
      </c>
      <c r="F72" s="14" t="inlineStr">
        <is>
          <t>Adolescenza (14+)</t>
        </is>
      </c>
      <c r="G72" s="14" t="inlineStr">
        <is>
          <t>Romanzo</t>
        </is>
      </c>
      <c r="H72" s="14" t="inlineStr">
        <is>
          <t>Disabilità (storia delle istituzioni, 1928)</t>
        </is>
      </c>
      <c r="I72" s="14" t="inlineStr">
        <is>
          <t>No</t>
        </is>
      </c>
      <c r="J72" s="14" t="inlineStr">
        <is>
          <t>Catalogo</t>
        </is>
      </c>
      <c r="K72" s="14" t="inlineStr">
        <is>
          <t>adolescenza, romanzo, narrativa</t>
        </is>
      </c>
      <c r="L72" s="14" t="inlineStr">
        <is>
          <t>https://www.uovonero.com/libri</t>
        </is>
      </c>
      <c r="M72" s="16" t="n">
        <v>16</v>
      </c>
      <c r="N72" s="14" t="inlineStr">
        <is>
          <t>Catalogo Uovonero per librai</t>
        </is>
      </c>
      <c r="O72" s="16">
        <f>IF(ISNUMBER(M72),ROUND(M72*(1-Condizioni!$B$2),2),"")</f>
        <v/>
      </c>
      <c r="P72" s="17" t="inlineStr">
        <is>
          <t>Sì</t>
        </is>
      </c>
    </row>
    <row r="73">
      <c r="A73" s="14" t="inlineStr">
        <is>
          <t>Uovonero</t>
        </is>
      </c>
      <c r="B73" s="14" t="inlineStr">
        <is>
          <t>I quaderni di #intantofaccioqualcosa 4 – Attività con la CAA</t>
        </is>
      </c>
      <c r="C73" s="14" t="inlineStr">
        <is>
          <t>a cura di Enza Crivelli</t>
        </is>
      </c>
      <c r="D73" s="14" t="inlineStr">
        <is>
          <t>I quaderni di #IFQ</t>
        </is>
      </c>
      <c r="E73" s="14" t="inlineStr">
        <is>
          <t>da 4 anni</t>
        </is>
      </c>
      <c r="F73" s="14" t="inlineStr">
        <is>
          <t>3-6 anni</t>
        </is>
      </c>
      <c r="G73" s="14" t="inlineStr">
        <is>
          <t>Gioco/Activity book</t>
        </is>
      </c>
      <c r="H73" s="14" t="inlineStr"/>
      <c r="I73" s="18" t="inlineStr">
        <is>
          <t>Sì</t>
        </is>
      </c>
      <c r="J73" s="14" t="inlineStr">
        <is>
          <t>Verificata (IBS / editore)</t>
        </is>
      </c>
      <c r="K73" s="14" t="inlineStr">
        <is>
          <t>3-6 anni, CAA</t>
        </is>
      </c>
      <c r="L73" s="14" t="inlineStr">
        <is>
          <t>https://www.uovonero.com/libri/i-quaderni</t>
        </is>
      </c>
      <c r="M73" s="16" t="n">
        <v>8.9</v>
      </c>
      <c r="N73" s="14" t="inlineStr">
        <is>
          <t>testo fornito da Bottegart (scheda Uovonero)</t>
        </is>
      </c>
      <c r="O73" s="16">
        <f>IF(ISNUMBER(M73),ROUND(M73*(1-Condizioni!$B$2),2),"")</f>
        <v/>
      </c>
      <c r="P73" s="17" t="inlineStr">
        <is>
          <t>Sì</t>
        </is>
      </c>
    </row>
    <row r="74">
      <c r="A74" s="14" t="inlineStr">
        <is>
          <t>Uovonero</t>
        </is>
      </c>
      <c r="B74" s="14" t="inlineStr">
        <is>
          <t>I quaderni di #intantofaccioqualcosa 6 – Attività con la CAA 2</t>
        </is>
      </c>
      <c r="C74" s="14" t="inlineStr">
        <is>
          <t>a cura di Enza Crivelli</t>
        </is>
      </c>
      <c r="D74" s="14" t="inlineStr">
        <is>
          <t>I quaderni di #IFQ</t>
        </is>
      </c>
      <c r="E74" s="14" t="inlineStr">
        <is>
          <t>da 4 anni</t>
        </is>
      </c>
      <c r="F74" s="14" t="inlineStr">
        <is>
          <t>3-6 anni</t>
        </is>
      </c>
      <c r="G74" s="14" t="inlineStr">
        <is>
          <t>Gioco/Activity book</t>
        </is>
      </c>
      <c r="H74" s="14" t="inlineStr"/>
      <c r="I74" s="18" t="inlineStr">
        <is>
          <t>Sì</t>
        </is>
      </c>
      <c r="J74" s="14" t="inlineStr">
        <is>
          <t>Verificata (IBS / editore)</t>
        </is>
      </c>
      <c r="K74" s="14" t="inlineStr">
        <is>
          <t>3-6 anni, CAA</t>
        </is>
      </c>
      <c r="L74" s="14" t="inlineStr">
        <is>
          <t>https://www.uovonero.com/libri/i-quaderni</t>
        </is>
      </c>
      <c r="M74" s="16" t="n">
        <v>8.9</v>
      </c>
      <c r="N74" s="14" t="inlineStr">
        <is>
          <t>https://www.uovonero.com/libri/i-quaderni</t>
        </is>
      </c>
      <c r="O74" s="16">
        <f>IF(ISNUMBER(M74),ROUND(M74*(1-Condizioni!$B$2),2),"")</f>
        <v/>
      </c>
      <c r="P74" s="17" t="inlineStr">
        <is>
          <t>Sì</t>
        </is>
      </c>
    </row>
    <row r="75">
      <c r="A75" s="14" t="inlineStr">
        <is>
          <t>Uovonero</t>
        </is>
      </c>
      <c r="B75" s="14" t="inlineStr">
        <is>
          <t>La principessa sul pisello</t>
        </is>
      </c>
      <c r="C75" s="14" t="inlineStr">
        <is>
          <t>a cura di E. Crivelli; ill. F. Corso</t>
        </is>
      </c>
      <c r="D75" s="14" t="inlineStr">
        <is>
          <t>Pesci parlanti</t>
        </is>
      </c>
      <c r="E75" s="14" t="inlineStr">
        <is>
          <t>da 4 anni</t>
        </is>
      </c>
      <c r="F75" s="14" t="inlineStr">
        <is>
          <t>3-6 anni</t>
        </is>
      </c>
      <c r="G75" s="14" t="inlineStr">
        <is>
          <t>Libro in simboli (CAA)</t>
        </is>
      </c>
      <c r="H75" s="14" t="inlineStr"/>
      <c r="I75" s="18" t="inlineStr">
        <is>
          <t>Sì</t>
        </is>
      </c>
      <c r="J75" s="14" t="inlineStr">
        <is>
          <t>Verificata (IBS / editore)</t>
        </is>
      </c>
      <c r="K75" s="14" t="inlineStr">
        <is>
          <t>3-6 anni, CAA</t>
        </is>
      </c>
      <c r="L75" s="14" t="inlineStr">
        <is>
          <t>https://www.uovonero.com/libri</t>
        </is>
      </c>
      <c r="M75" s="19" t="n"/>
      <c r="N75" s="14" t="inlineStr"/>
      <c r="O75" s="16">
        <f>IF(ISNUMBER(M75),ROUND(M75*(1-Condizioni!$B$2),2),"")</f>
        <v/>
      </c>
      <c r="P75" s="17" t="inlineStr">
        <is>
          <t>Sì</t>
        </is>
      </c>
    </row>
  </sheetData>
  <autoFilter ref="A1:P7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40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Terre di Mezzo</t>
        </is>
      </c>
      <c r="B2" s="14" t="inlineStr">
        <is>
          <t>Balena, vengo anch’io!</t>
        </is>
      </c>
      <c r="C2" s="14" t="inlineStr">
        <is>
          <t>Susanne Strasser</t>
        </is>
      </c>
      <c r="D2" s="14" t="inlineStr">
        <is>
          <t>L'Acchiappastorie – Per i più piccoli</t>
        </is>
      </c>
      <c r="E2" s="14" t="inlineStr">
        <is>
          <t>per i più piccoli</t>
        </is>
      </c>
      <c r="F2" s="14" t="inlineStr">
        <is>
          <t>0-3 anni</t>
        </is>
      </c>
      <c r="G2" s="14" t="inlineStr">
        <is>
          <t>Libro cartonato</t>
        </is>
      </c>
      <c r="H2" s="14" t="inlineStr"/>
      <c r="I2" s="14" t="inlineStr">
        <is>
          <t>No</t>
        </is>
      </c>
      <c r="J2" s="14" t="inlineStr">
        <is>
          <t>Collana</t>
        </is>
      </c>
      <c r="K2" s="14" t="inlineStr">
        <is>
          <t>0-3 anni</t>
        </is>
      </c>
      <c r="L2" s="14" t="inlineStr">
        <is>
          <t>Catalogo Terre di Mezzo 1° semestre 2026, p. 4 (ISBN 9788861896925)</t>
        </is>
      </c>
      <c r="M2" s="16" t="n">
        <v>12.9</v>
      </c>
      <c r="N2" s="14" t="inlineStr">
        <is>
          <t>Catalogo Terre di Mezzo 1° semestre 2026</t>
        </is>
      </c>
      <c r="O2" s="16">
        <f>IF(ISNUMBER(M2),ROUND(M2*(1-Condizioni!$B$2),2),"")</f>
        <v/>
      </c>
      <c r="P2" s="17" t="inlineStr">
        <is>
          <t>No</t>
        </is>
      </c>
    </row>
    <row r="3">
      <c r="A3" s="14" t="inlineStr">
        <is>
          <t>Terre di Mezzo</t>
        </is>
      </c>
      <c r="B3" s="14" t="inlineStr">
        <is>
          <t>Bimbo Bubble va a scuola</t>
        </is>
      </c>
      <c r="C3" s="14" t="inlineStr">
        <is>
          <t>María Ramos</t>
        </is>
      </c>
      <c r="D3" s="14" t="inlineStr">
        <is>
          <t>L'Acchiappastorie – Per i più piccoli</t>
        </is>
      </c>
      <c r="E3" s="14" t="inlineStr">
        <is>
          <t>per i più piccoli</t>
        </is>
      </c>
      <c r="F3" s="14" t="inlineStr">
        <is>
          <t>0-3 anni</t>
        </is>
      </c>
      <c r="G3" s="14" t="inlineStr">
        <is>
          <t>Libro cartonato</t>
        </is>
      </c>
      <c r="H3" s="14" t="inlineStr"/>
      <c r="I3" s="14" t="inlineStr">
        <is>
          <t>No</t>
        </is>
      </c>
      <c r="J3" s="14" t="inlineStr">
        <is>
          <t>Collana</t>
        </is>
      </c>
      <c r="K3" s="14" t="inlineStr">
        <is>
          <t>0-3 anni</t>
        </is>
      </c>
      <c r="L3" s="14" t="inlineStr">
        <is>
          <t>Catalogo Terre di Mezzo 1° semestre 2026, p. 7 (ISBN 9788861897182)</t>
        </is>
      </c>
      <c r="M3" s="16" t="n">
        <v>12.9</v>
      </c>
      <c r="N3" s="14" t="inlineStr">
        <is>
          <t>Catalogo Terre di Mezzo 1° semestre 2026</t>
        </is>
      </c>
      <c r="O3" s="16">
        <f>IF(ISNUMBER(M3),ROUND(M3*(1-Condizioni!$B$2),2),"")</f>
        <v/>
      </c>
      <c r="P3" s="17" t="inlineStr">
        <is>
          <t>Sì</t>
        </is>
      </c>
    </row>
    <row r="4">
      <c r="A4" s="14" t="inlineStr">
        <is>
          <t>Terre di Mezzo</t>
        </is>
      </c>
      <c r="B4" s="14" t="inlineStr">
        <is>
          <t>Bobò pupazzo distratto</t>
        </is>
      </c>
      <c r="C4" s="14" t="inlineStr">
        <is>
          <t>Édouard Manceau</t>
        </is>
      </c>
      <c r="D4" s="14" t="inlineStr">
        <is>
          <t>L'Acchiappastorie – Per i più piccoli</t>
        </is>
      </c>
      <c r="E4" s="14" t="inlineStr">
        <is>
          <t>per i più piccoli</t>
        </is>
      </c>
      <c r="F4" s="14" t="inlineStr">
        <is>
          <t>0-3 anni</t>
        </is>
      </c>
      <c r="G4" s="14" t="inlineStr">
        <is>
          <t>Libro cartonato</t>
        </is>
      </c>
      <c r="H4" s="14" t="inlineStr"/>
      <c r="I4" s="14" t="inlineStr">
        <is>
          <t>No</t>
        </is>
      </c>
      <c r="J4" s="14" t="inlineStr">
        <is>
          <t>Collana</t>
        </is>
      </c>
      <c r="K4" s="14" t="inlineStr">
        <is>
          <t>0-3 anni</t>
        </is>
      </c>
      <c r="L4" s="14" t="inlineStr">
        <is>
          <t>Catalogo Terre di Mezzo 1° semestre 2026, p. 8 (ISBN 9788861897366)</t>
        </is>
      </c>
      <c r="M4" s="16" t="n">
        <v>10.9</v>
      </c>
      <c r="N4" s="14" t="inlineStr">
        <is>
          <t>Catalogo Terre di Mezzo 1° semestre 2026</t>
        </is>
      </c>
      <c r="O4" s="16">
        <f>IF(ISNUMBER(M4),ROUND(M4*(1-Condizioni!$B$2),2),"")</f>
        <v/>
      </c>
      <c r="P4" s="17" t="inlineStr">
        <is>
          <t>No</t>
        </is>
      </c>
    </row>
    <row r="5">
      <c r="A5" s="14" t="inlineStr">
        <is>
          <t>Terre di Mezzo</t>
        </is>
      </c>
      <c r="B5" s="14" t="inlineStr">
        <is>
          <t>Buonanotte, Coniglietto</t>
        </is>
      </c>
      <c r="C5" s="14" t="inlineStr">
        <is>
          <t>Jörg Mühle</t>
        </is>
      </c>
      <c r="D5" s="14" t="inlineStr">
        <is>
          <t>L'Acchiappastorie – Per i più piccoli</t>
        </is>
      </c>
      <c r="E5" s="14" t="inlineStr">
        <is>
          <t>per i più piccoli</t>
        </is>
      </c>
      <c r="F5" s="14" t="inlineStr">
        <is>
          <t>0-3 anni</t>
        </is>
      </c>
      <c r="G5" s="14" t="inlineStr">
        <is>
          <t>Libro cartonato</t>
        </is>
      </c>
      <c r="H5" s="14" t="inlineStr"/>
      <c r="I5" s="14" t="inlineStr">
        <is>
          <t>No</t>
        </is>
      </c>
      <c r="J5" s="14" t="inlineStr">
        <is>
          <t>Collana</t>
        </is>
      </c>
      <c r="K5" s="14" t="inlineStr">
        <is>
          <t>0-3 anni</t>
        </is>
      </c>
      <c r="L5" s="14" t="inlineStr">
        <is>
          <t>Catalogo Terre di Mezzo 1° semestre 2026, p. 5 (ISBN 9788861895034)</t>
        </is>
      </c>
      <c r="M5" s="16" t="n">
        <v>8.9</v>
      </c>
      <c r="N5" s="14" t="inlineStr">
        <is>
          <t>Catalogo Terre di Mezzo 1° semestre 2026</t>
        </is>
      </c>
      <c r="O5" s="16">
        <f>IF(ISNUMBER(M5),ROUND(M5*(1-Condizioni!$B$2),2),"")</f>
        <v/>
      </c>
      <c r="P5" s="17" t="inlineStr">
        <is>
          <t>Sì</t>
        </is>
      </c>
    </row>
    <row r="6">
      <c r="A6" s="14" t="inlineStr">
        <is>
          <t>Terre di Mezzo</t>
        </is>
      </c>
      <c r="B6" s="14" t="inlineStr">
        <is>
          <t>Chi dorme nel lettone?</t>
        </is>
      </c>
      <c r="C6" s="14" t="inlineStr">
        <is>
          <t>Susanne Strasser</t>
        </is>
      </c>
      <c r="D6" s="14" t="inlineStr">
        <is>
          <t>L'Acchiappastorie – Per i più piccoli</t>
        </is>
      </c>
      <c r="E6" s="14" t="inlineStr">
        <is>
          <t>per i più piccoli</t>
        </is>
      </c>
      <c r="F6" s="14" t="inlineStr">
        <is>
          <t>0-3 anni</t>
        </is>
      </c>
      <c r="G6" s="14" t="inlineStr">
        <is>
          <t>Libro cartonato</t>
        </is>
      </c>
      <c r="H6" s="14" t="inlineStr"/>
      <c r="I6" s="14" t="inlineStr">
        <is>
          <t>No</t>
        </is>
      </c>
      <c r="J6" s="14" t="inlineStr">
        <is>
          <t>Collana</t>
        </is>
      </c>
      <c r="K6" s="14" t="inlineStr">
        <is>
          <t>0-3 anni</t>
        </is>
      </c>
      <c r="L6" s="14" t="inlineStr">
        <is>
          <t>Catalogo Terre di Mezzo 1° semestre 2026, p. 4 (ISBN 9788861897458)</t>
        </is>
      </c>
      <c r="M6" s="16" t="n">
        <v>12.9</v>
      </c>
      <c r="N6" s="14" t="inlineStr">
        <is>
          <t>Catalogo Terre di Mezzo 1° semestre 2026</t>
        </is>
      </c>
      <c r="O6" s="16">
        <f>IF(ISNUMBER(M6),ROUND(M6*(1-Condizioni!$B$2),2),"")</f>
        <v/>
      </c>
      <c r="P6" s="17" t="inlineStr">
        <is>
          <t>No</t>
        </is>
      </c>
    </row>
    <row r="7">
      <c r="A7" s="14" t="inlineStr">
        <is>
          <t>Terre di Mezzo</t>
        </is>
      </c>
      <c r="B7" s="14" t="inlineStr">
        <is>
          <t>Chi sono?</t>
        </is>
      </c>
      <c r="C7" s="14" t="inlineStr">
        <is>
          <t>Caroline Dall’Ava</t>
        </is>
      </c>
      <c r="D7" s="14" t="inlineStr">
        <is>
          <t>L'Acchiappastorie – Per i più piccoli</t>
        </is>
      </c>
      <c r="E7" s="14" t="inlineStr">
        <is>
          <t>per i più piccoli</t>
        </is>
      </c>
      <c r="F7" s="14" t="inlineStr">
        <is>
          <t>0-3 anni</t>
        </is>
      </c>
      <c r="G7" s="14" t="inlineStr">
        <is>
          <t>Libro cartonato</t>
        </is>
      </c>
      <c r="H7" s="14" t="inlineStr"/>
      <c r="I7" s="14" t="inlineStr">
        <is>
          <t>No</t>
        </is>
      </c>
      <c r="J7" s="14" t="inlineStr">
        <is>
          <t>Collana</t>
        </is>
      </c>
      <c r="K7" s="14" t="inlineStr">
        <is>
          <t>0-3 anni</t>
        </is>
      </c>
      <c r="L7" s="14" t="inlineStr">
        <is>
          <t>Catalogo Terre di Mezzo 1° semestre 2026, p. 8 (ISBN 9788861897427)</t>
        </is>
      </c>
      <c r="M7" s="16" t="n">
        <v>13.5</v>
      </c>
      <c r="N7" s="14" t="inlineStr">
        <is>
          <t>Catalogo Terre di Mezzo 1° semestre 2026</t>
        </is>
      </c>
      <c r="O7" s="16">
        <f>IF(ISNUMBER(M7),ROUND(M7*(1-Condizioni!$B$2),2),"")</f>
        <v/>
      </c>
      <c r="P7" s="17" t="inlineStr">
        <is>
          <t>No</t>
        </is>
      </c>
    </row>
    <row r="8">
      <c r="A8" s="14" t="inlineStr">
        <is>
          <t>Terre di Mezzo</t>
        </is>
      </c>
      <c r="B8" s="14" t="inlineStr">
        <is>
          <t>Coniglietto fa il bagnetto</t>
        </is>
      </c>
      <c r="C8" s="14" t="inlineStr">
        <is>
          <t>Jörg Mühle</t>
        </is>
      </c>
      <c r="D8" s="14" t="inlineStr">
        <is>
          <t>L'Acchiappastorie – Per i più piccoli</t>
        </is>
      </c>
      <c r="E8" s="14" t="inlineStr">
        <is>
          <t>per i più piccoli</t>
        </is>
      </c>
      <c r="F8" s="14" t="inlineStr">
        <is>
          <t>0-3 anni</t>
        </is>
      </c>
      <c r="G8" s="14" t="inlineStr">
        <is>
          <t>Libro cartonato</t>
        </is>
      </c>
      <c r="H8" s="14" t="inlineStr"/>
      <c r="I8" s="14" t="inlineStr">
        <is>
          <t>No</t>
        </is>
      </c>
      <c r="J8" s="14" t="inlineStr">
        <is>
          <t>Collana</t>
        </is>
      </c>
      <c r="K8" s="14" t="inlineStr">
        <is>
          <t>0-3 anni</t>
        </is>
      </c>
      <c r="L8" s="14" t="inlineStr">
        <is>
          <t>Catalogo Terre di Mezzo 1° semestre 2026, p. 5 (ISBN 9788861895096)</t>
        </is>
      </c>
      <c r="M8" s="16" t="n">
        <v>8.9</v>
      </c>
      <c r="N8" s="14" t="inlineStr">
        <is>
          <t>Catalogo Terre di Mezzo 1° semestre 2026</t>
        </is>
      </c>
      <c r="O8" s="16">
        <f>IF(ISNUMBER(M8),ROUND(M8*(1-Condizioni!$B$2),2),"")</f>
        <v/>
      </c>
      <c r="P8" s="17" t="inlineStr">
        <is>
          <t>No</t>
        </is>
      </c>
    </row>
    <row r="9">
      <c r="A9" s="14" t="inlineStr">
        <is>
          <t>Terre di Mezzo</t>
        </is>
      </c>
      <c r="B9" s="14" t="inlineStr">
        <is>
          <t>Coniglietto ha la bua</t>
        </is>
      </c>
      <c r="C9" s="14" t="inlineStr">
        <is>
          <t>Jörg Mühle</t>
        </is>
      </c>
      <c r="D9" s="14" t="inlineStr">
        <is>
          <t>L'Acchiappastorie – Per i più piccoli</t>
        </is>
      </c>
      <c r="E9" s="14" t="inlineStr">
        <is>
          <t>per i più piccoli</t>
        </is>
      </c>
      <c r="F9" s="14" t="inlineStr">
        <is>
          <t>0-3 anni</t>
        </is>
      </c>
      <c r="G9" s="14" t="inlineStr">
        <is>
          <t>Libro cartonato</t>
        </is>
      </c>
      <c r="H9" s="14" t="inlineStr"/>
      <c r="I9" s="14" t="inlineStr">
        <is>
          <t>No</t>
        </is>
      </c>
      <c r="J9" s="14" t="inlineStr">
        <is>
          <t>Collana</t>
        </is>
      </c>
      <c r="K9" s="14" t="inlineStr">
        <is>
          <t>0-3 anni</t>
        </is>
      </c>
      <c r="L9" s="14" t="inlineStr">
        <is>
          <t>Catalogo Terre di Mezzo 1° semestre 2026, p. 5 (ISBN 9788861895553)</t>
        </is>
      </c>
      <c r="M9" s="16" t="n">
        <v>8.9</v>
      </c>
      <c r="N9" s="14" t="inlineStr">
        <is>
          <t>Catalogo Terre di Mezzo 1° semestre 2026</t>
        </is>
      </c>
      <c r="O9" s="16">
        <f>IF(ISNUMBER(M9),ROUND(M9*(1-Condizioni!$B$2),2),"")</f>
        <v/>
      </c>
      <c r="P9" s="17" t="inlineStr">
        <is>
          <t>No</t>
        </is>
      </c>
    </row>
    <row r="10">
      <c r="A10" s="14" t="inlineStr">
        <is>
          <t>Terre di Mezzo</t>
        </is>
      </c>
      <c r="B10" s="14" t="inlineStr">
        <is>
          <t>Decidi sempre tu!</t>
        </is>
      </c>
      <c r="C10" s="14" t="inlineStr">
        <is>
          <t>Jörg Mühle</t>
        </is>
      </c>
      <c r="D10" s="14" t="inlineStr">
        <is>
          <t>L'Acchiappastorie – Per i più piccoli</t>
        </is>
      </c>
      <c r="E10" s="14" t="inlineStr">
        <is>
          <t>per i più piccoli</t>
        </is>
      </c>
      <c r="F10" s="14" t="inlineStr">
        <is>
          <t>0-3 anni</t>
        </is>
      </c>
      <c r="G10" s="14" t="inlineStr">
        <is>
          <t>Libro cartonato</t>
        </is>
      </c>
      <c r="H10" s="14" t="inlineStr"/>
      <c r="I10" s="14" t="inlineStr">
        <is>
          <t>No</t>
        </is>
      </c>
      <c r="J10" s="14" t="inlineStr">
        <is>
          <t>Collana</t>
        </is>
      </c>
      <c r="K10" s="14" t="inlineStr">
        <is>
          <t>0-3 anni</t>
        </is>
      </c>
      <c r="L10" s="14" t="inlineStr">
        <is>
          <t>Catalogo Terre di Mezzo 1° semestre 2026, p. 6 (ISBN 9791259962614)</t>
        </is>
      </c>
      <c r="M10" s="16" t="n">
        <v>14</v>
      </c>
      <c r="N10" s="14" t="inlineStr">
        <is>
          <t>Catalogo Terre di Mezzo 1° semestre 2026</t>
        </is>
      </c>
      <c r="O10" s="16">
        <f>IF(ISNUMBER(M10),ROUND(M10*(1-Condizioni!$B$2),2),"")</f>
        <v/>
      </c>
      <c r="P10" s="17" t="inlineStr">
        <is>
          <t>No</t>
        </is>
      </c>
    </row>
    <row r="11">
      <c r="A11" s="14" t="inlineStr">
        <is>
          <t>Terre di Mezzo</t>
        </is>
      </c>
      <c r="B11" s="14" t="inlineStr">
        <is>
          <t>Due a me, uno a te</t>
        </is>
      </c>
      <c r="C11" s="14" t="inlineStr">
        <is>
          <t>Jörg Mühle</t>
        </is>
      </c>
      <c r="D11" s="14" t="inlineStr">
        <is>
          <t>L'Acchiappastorie – Per i più piccoli</t>
        </is>
      </c>
      <c r="E11" s="14" t="inlineStr">
        <is>
          <t>per i più piccoli</t>
        </is>
      </c>
      <c r="F11" s="14" t="inlineStr">
        <is>
          <t>0-3 anni</t>
        </is>
      </c>
      <c r="G11" s="14" t="inlineStr">
        <is>
          <t>Libro cartonato</t>
        </is>
      </c>
      <c r="H11" s="14" t="inlineStr"/>
      <c r="I11" s="14" t="inlineStr">
        <is>
          <t>No</t>
        </is>
      </c>
      <c r="J11" s="14" t="inlineStr">
        <is>
          <t>Collana</t>
        </is>
      </c>
      <c r="K11" s="14" t="inlineStr">
        <is>
          <t>0-3 anni</t>
        </is>
      </c>
      <c r="L11" s="14" t="inlineStr">
        <is>
          <t>Catalogo Terre di Mezzo 1° semestre 2026, p. 6 (ISBN 9788861895577)</t>
        </is>
      </c>
      <c r="M11" s="16" t="n">
        <v>14</v>
      </c>
      <c r="N11" s="14" t="inlineStr">
        <is>
          <t>Catalogo Terre di Mezzo 1° semestre 2026</t>
        </is>
      </c>
      <c r="O11" s="16">
        <f>IF(ISNUMBER(M11),ROUND(M11*(1-Condizioni!$B$2),2),"")</f>
        <v/>
      </c>
      <c r="P11" s="17" t="inlineStr">
        <is>
          <t>No</t>
        </is>
      </c>
    </row>
    <row r="12">
      <c r="A12" s="14" t="inlineStr">
        <is>
          <t>Terre di Mezzo</t>
        </is>
      </c>
      <c r="B12" s="14" t="inlineStr">
        <is>
          <t>Ehi! che cos’è?</t>
        </is>
      </c>
      <c r="C12" s="14" t="inlineStr">
        <is>
          <t>Cédric Ramadier, Vincent Bourgeau</t>
        </is>
      </c>
      <c r="D12" s="14" t="inlineStr">
        <is>
          <t>L'Acchiappastorie – Per i più piccoli</t>
        </is>
      </c>
      <c r="E12" s="14" t="inlineStr">
        <is>
          <t>per i più piccoli</t>
        </is>
      </c>
      <c r="F12" s="14" t="inlineStr">
        <is>
          <t>0-3 anni</t>
        </is>
      </c>
      <c r="G12" s="14" t="inlineStr">
        <is>
          <t>Libro cartonato</t>
        </is>
      </c>
      <c r="H12" s="14" t="inlineStr"/>
      <c r="I12" s="14" t="inlineStr">
        <is>
          <t>No</t>
        </is>
      </c>
      <c r="J12" s="14" t="inlineStr">
        <is>
          <t>Collana</t>
        </is>
      </c>
      <c r="K12" s="14" t="inlineStr">
        <is>
          <t>0-3 anni</t>
        </is>
      </c>
      <c r="L12" s="14" t="inlineStr">
        <is>
          <t>Catalogo Terre di Mezzo 1° semestre 2026, p. 7 (ISBN 9791259960702)</t>
        </is>
      </c>
      <c r="M12" s="16" t="n">
        <v>14</v>
      </c>
      <c r="N12" s="14" t="inlineStr">
        <is>
          <t>Catalogo Terre di Mezzo 1° semestre 2026</t>
        </is>
      </c>
      <c r="O12" s="16">
        <f>IF(ISNUMBER(M12),ROUND(M12*(1-Condizioni!$B$2),2),"")</f>
        <v/>
      </c>
      <c r="P12" s="17" t="inlineStr">
        <is>
          <t>No</t>
        </is>
      </c>
    </row>
    <row r="13">
      <c r="A13" s="14" t="inlineStr">
        <is>
          <t>Terre di Mezzo</t>
        </is>
      </c>
      <c r="B13" s="14" t="inlineStr">
        <is>
          <t>Facciamo che eravamo</t>
        </is>
      </c>
      <c r="C13" s="14" t="inlineStr">
        <is>
          <t>Shawn Harris</t>
        </is>
      </c>
      <c r="D13" s="14" t="inlineStr">
        <is>
          <t>L'Acchiappastorie – Per i più piccoli</t>
        </is>
      </c>
      <c r="E13" s="14" t="inlineStr">
        <is>
          <t>per i più piccoli</t>
        </is>
      </c>
      <c r="F13" s="14" t="inlineStr">
        <is>
          <t>0-3 anni</t>
        </is>
      </c>
      <c r="G13" s="14" t="inlineStr">
        <is>
          <t>Libro cartonato</t>
        </is>
      </c>
      <c r="H13" s="14" t="inlineStr"/>
      <c r="I13" s="14" t="inlineStr">
        <is>
          <t>No</t>
        </is>
      </c>
      <c r="J13" s="14" t="inlineStr">
        <is>
          <t>Collana</t>
        </is>
      </c>
      <c r="K13" s="14" t="inlineStr">
        <is>
          <t>0-3 anni</t>
        </is>
      </c>
      <c r="L13" s="14" t="inlineStr">
        <is>
          <t>Catalogo Terre di Mezzo 1° semestre 2026, p. 5 (ISBN 9791259963222)</t>
        </is>
      </c>
      <c r="M13" s="16" t="n">
        <v>16</v>
      </c>
      <c r="N13" s="14" t="inlineStr">
        <is>
          <t>Catalogo Terre di Mezzo 1° semestre 2026</t>
        </is>
      </c>
      <c r="O13" s="16">
        <f>IF(ISNUMBER(M13),ROUND(M13*(1-Condizioni!$B$2),2),"")</f>
        <v/>
      </c>
      <c r="P13" s="17" t="inlineStr">
        <is>
          <t>No</t>
        </is>
      </c>
    </row>
    <row r="14">
      <c r="A14" s="14" t="inlineStr">
        <is>
          <t>Terre di Mezzo</t>
        </is>
      </c>
      <c r="B14" s="14" t="inlineStr">
        <is>
          <t>Fermate quella palla!</t>
        </is>
      </c>
      <c r="C14" s="14" t="inlineStr">
        <is>
          <t>Susanne Strasser</t>
        </is>
      </c>
      <c r="D14" s="14" t="inlineStr">
        <is>
          <t>L'Acchiappastorie – Per i più piccoli</t>
        </is>
      </c>
      <c r="E14" s="14" t="inlineStr">
        <is>
          <t>per i più piccoli</t>
        </is>
      </c>
      <c r="F14" s="14" t="inlineStr">
        <is>
          <t>0-3 anni</t>
        </is>
      </c>
      <c r="G14" s="14" t="inlineStr">
        <is>
          <t>Libro cartonato</t>
        </is>
      </c>
      <c r="H14" s="14" t="inlineStr"/>
      <c r="I14" s="14" t="inlineStr">
        <is>
          <t>No</t>
        </is>
      </c>
      <c r="J14" s="14" t="inlineStr">
        <is>
          <t>Collana</t>
        </is>
      </c>
      <c r="K14" s="14" t="inlineStr">
        <is>
          <t>0-3 anni</t>
        </is>
      </c>
      <c r="L14" s="14" t="inlineStr">
        <is>
          <t>Catalogo Terre di Mezzo 1° semestre 2026, p. 5 (ISBN 9791259963314)</t>
        </is>
      </c>
      <c r="M14" s="16" t="n">
        <v>12.9</v>
      </c>
      <c r="N14" s="14" t="inlineStr">
        <is>
          <t>Catalogo Terre di Mezzo 1° semestre 2026</t>
        </is>
      </c>
      <c r="O14" s="16">
        <f>IF(ISNUMBER(M14),ROUND(M14*(1-Condizioni!$B$2),2),"")</f>
        <v/>
      </c>
      <c r="P14" s="17" t="inlineStr">
        <is>
          <t>No</t>
        </is>
      </c>
    </row>
    <row r="15">
      <c r="A15" s="14" t="inlineStr">
        <is>
          <t>Terre di Mezzo</t>
        </is>
      </c>
      <c r="B15" s="14" t="inlineStr">
        <is>
          <t>Hai visto il dinosauro?</t>
        </is>
      </c>
      <c r="C15" s="14" t="inlineStr">
        <is>
          <t>David Barrow</t>
        </is>
      </c>
      <c r="D15" s="14" t="inlineStr">
        <is>
          <t>L'Acchiappastorie – Per i più piccoli</t>
        </is>
      </c>
      <c r="E15" s="14" t="inlineStr">
        <is>
          <t>per i più piccoli</t>
        </is>
      </c>
      <c r="F15" s="14" t="inlineStr">
        <is>
          <t>0-3 anni</t>
        </is>
      </c>
      <c r="G15" s="14" t="inlineStr">
        <is>
          <t>Libro cartonato</t>
        </is>
      </c>
      <c r="H15" s="14" t="inlineStr"/>
      <c r="I15" s="14" t="inlineStr">
        <is>
          <t>No</t>
        </is>
      </c>
      <c r="J15" s="14" t="inlineStr">
        <is>
          <t>Collana</t>
        </is>
      </c>
      <c r="K15" s="14" t="inlineStr">
        <is>
          <t>0-3 anni</t>
        </is>
      </c>
      <c r="L15" s="14" t="inlineStr">
        <is>
          <t>Catalogo Terre di Mezzo 1° semestre 2026, p. 7 (ISBN 9791259962027)</t>
        </is>
      </c>
      <c r="M15" s="16" t="n">
        <v>16</v>
      </c>
      <c r="N15" s="14" t="inlineStr">
        <is>
          <t>Catalogo Terre di Mezzo 1° semestre 2026</t>
        </is>
      </c>
      <c r="O15" s="16">
        <f>IF(ISNUMBER(M15),ROUND(M15*(1-Condizioni!$B$2),2),"")</f>
        <v/>
      </c>
      <c r="P15" s="17" t="inlineStr">
        <is>
          <t>No</t>
        </is>
      </c>
    </row>
    <row r="16">
      <c r="A16" s="14" t="inlineStr">
        <is>
          <t>Terre di Mezzo</t>
        </is>
      </c>
      <c r="B16" s="14" t="inlineStr">
        <is>
          <t>Hai visto l’elefante?</t>
        </is>
      </c>
      <c r="C16" s="14" t="inlineStr">
        <is>
          <t>David Barrow</t>
        </is>
      </c>
      <c r="D16" s="14" t="inlineStr">
        <is>
          <t>L'Acchiappastorie – Per i più piccoli</t>
        </is>
      </c>
      <c r="E16" s="14" t="inlineStr">
        <is>
          <t>per i più piccoli</t>
        </is>
      </c>
      <c r="F16" s="14" t="inlineStr">
        <is>
          <t>0-3 anni</t>
        </is>
      </c>
      <c r="G16" s="14" t="inlineStr">
        <is>
          <t>Libro cartonato</t>
        </is>
      </c>
      <c r="H16" s="14" t="inlineStr"/>
      <c r="I16" s="14" t="inlineStr">
        <is>
          <t>No</t>
        </is>
      </c>
      <c r="J16" s="14" t="inlineStr">
        <is>
          <t>Collana</t>
        </is>
      </c>
      <c r="K16" s="14" t="inlineStr">
        <is>
          <t>0-3 anni</t>
        </is>
      </c>
      <c r="L16" s="14" t="inlineStr">
        <is>
          <t>Catalogo Terre di Mezzo 1° semestre 2026, p. 7 (ISBN 9791259962010)</t>
        </is>
      </c>
      <c r="M16" s="16" t="n">
        <v>16</v>
      </c>
      <c r="N16" s="14" t="inlineStr">
        <is>
          <t>Catalogo Terre di Mezzo 1° semestre 2026</t>
        </is>
      </c>
      <c r="O16" s="16">
        <f>IF(ISNUMBER(M16),ROUND(M16*(1-Condizioni!$B$2),2),"")</f>
        <v/>
      </c>
      <c r="P16" s="17" t="inlineStr">
        <is>
          <t>No</t>
        </is>
      </c>
    </row>
    <row r="17">
      <c r="A17" s="14" t="inlineStr">
        <is>
          <t>Terre di Mezzo</t>
        </is>
      </c>
      <c r="B17" s="14" t="inlineStr">
        <is>
          <t>Il procione lava tutto!</t>
        </is>
      </c>
      <c r="C17" s="14" t="inlineStr">
        <is>
          <t>Susanne Strasser</t>
        </is>
      </c>
      <c r="D17" s="14" t="inlineStr">
        <is>
          <t>L'Acchiappastorie – Per i più piccoli</t>
        </is>
      </c>
      <c r="E17" s="14" t="inlineStr">
        <is>
          <t>per i più piccoli</t>
        </is>
      </c>
      <c r="F17" s="14" t="inlineStr">
        <is>
          <t>0-3 anni</t>
        </is>
      </c>
      <c r="G17" s="14" t="inlineStr">
        <is>
          <t>Libro cartonato</t>
        </is>
      </c>
      <c r="H17" s="14" t="inlineStr"/>
      <c r="I17" s="14" t="inlineStr">
        <is>
          <t>No</t>
        </is>
      </c>
      <c r="J17" s="14" t="inlineStr">
        <is>
          <t>Collana</t>
        </is>
      </c>
      <c r="K17" s="14" t="inlineStr">
        <is>
          <t>0-3 anni</t>
        </is>
      </c>
      <c r="L17" s="14" t="inlineStr">
        <is>
          <t>Catalogo Terre di Mezzo 1° semestre 2026, p. 4 (ISBN 9791259962355)</t>
        </is>
      </c>
      <c r="M17" s="16" t="n">
        <v>12.9</v>
      </c>
      <c r="N17" s="14" t="inlineStr">
        <is>
          <t>Catalogo Terre di Mezzo 1° semestre 2026</t>
        </is>
      </c>
      <c r="O17" s="16">
        <f>IF(ISNUMBER(M17),ROUND(M17*(1-Condizioni!$B$2),2),"")</f>
        <v/>
      </c>
      <c r="P17" s="17" t="inlineStr">
        <is>
          <t>No</t>
        </is>
      </c>
    </row>
    <row r="18">
      <c r="A18" s="14" t="inlineStr">
        <is>
          <t>Terre di Mezzo</t>
        </is>
      </c>
      <c r="B18" s="14" t="inlineStr">
        <is>
          <t>La torta è troppo in alto!</t>
        </is>
      </c>
      <c r="C18" s="14" t="inlineStr">
        <is>
          <t>Susanne Strasser</t>
        </is>
      </c>
      <c r="D18" s="14" t="inlineStr">
        <is>
          <t>L'Acchiappastorie – Per i più piccoli</t>
        </is>
      </c>
      <c r="E18" s="14" t="inlineStr">
        <is>
          <t>per i più piccoli</t>
        </is>
      </c>
      <c r="F18" s="14" t="inlineStr">
        <is>
          <t>0-3 anni</t>
        </is>
      </c>
      <c r="G18" s="14" t="inlineStr">
        <is>
          <t>Libro cartonato</t>
        </is>
      </c>
      <c r="H18" s="14" t="inlineStr"/>
      <c r="I18" s="14" t="inlineStr">
        <is>
          <t>No</t>
        </is>
      </c>
      <c r="J18" s="14" t="inlineStr">
        <is>
          <t>Collana</t>
        </is>
      </c>
      <c r="K18" s="14" t="inlineStr">
        <is>
          <t>0-3 anni</t>
        </is>
      </c>
      <c r="L18" s="14" t="inlineStr">
        <is>
          <t>Catalogo Terre di Mezzo 1° semestre 2026, p. 4 (ISBN 9788861896369)</t>
        </is>
      </c>
      <c r="M18" s="16" t="n">
        <v>12.9</v>
      </c>
      <c r="N18" s="14" t="inlineStr">
        <is>
          <t>Catalogo Terre di Mezzo 1° semestre 2026</t>
        </is>
      </c>
      <c r="O18" s="16">
        <f>IF(ISNUMBER(M18),ROUND(M18*(1-Condizioni!$B$2),2),"")</f>
        <v/>
      </c>
      <c r="P18" s="17" t="inlineStr">
        <is>
          <t>No</t>
        </is>
      </c>
    </row>
    <row r="19">
      <c r="A19" s="14" t="inlineStr">
        <is>
          <t>Terre di Mezzo</t>
        </is>
      </c>
      <c r="B19" s="14" t="inlineStr">
        <is>
          <t>Nella zuppa Cosa c’è?</t>
        </is>
      </c>
      <c r="C19" s="14" t="inlineStr">
        <is>
          <t>Susanne Strasser</t>
        </is>
      </c>
      <c r="D19" s="14" t="inlineStr">
        <is>
          <t>L'Acchiappastorie – Per i più piccoli</t>
        </is>
      </c>
      <c r="E19" s="14" t="inlineStr">
        <is>
          <t>per i più piccoli</t>
        </is>
      </c>
      <c r="F19" s="14" t="inlineStr">
        <is>
          <t>0-3 anni</t>
        </is>
      </c>
      <c r="G19" s="14" t="inlineStr">
        <is>
          <t>Libro cartonato</t>
        </is>
      </c>
      <c r="H19" s="14" t="inlineStr"/>
      <c r="I19" s="14" t="inlineStr">
        <is>
          <t>No</t>
        </is>
      </c>
      <c r="J19" s="14" t="inlineStr">
        <is>
          <t>Collana</t>
        </is>
      </c>
      <c r="K19" s="14" t="inlineStr">
        <is>
          <t>0-3 anni</t>
        </is>
      </c>
      <c r="L19" s="14" t="inlineStr">
        <is>
          <t>Catalogo Terre di Mezzo 1° semestre 2026, p. 4 (ISBN 9791259961334)</t>
        </is>
      </c>
      <c r="M19" s="16" t="n">
        <v>12.9</v>
      </c>
      <c r="N19" s="14" t="inlineStr">
        <is>
          <t>Catalogo Terre di Mezzo 1° semestre 2026</t>
        </is>
      </c>
      <c r="O19" s="16">
        <f>IF(ISNUMBER(M19),ROUND(M19*(1-Condizioni!$B$2),2),"")</f>
        <v/>
      </c>
      <c r="P19" s="17" t="inlineStr">
        <is>
          <t>No</t>
        </is>
      </c>
    </row>
    <row r="20">
      <c r="A20" s="14" t="inlineStr">
        <is>
          <t>Terre di Mezzo</t>
        </is>
      </c>
      <c r="B20" s="14" t="inlineStr">
        <is>
          <t>No, no, Scoiattolino!</t>
        </is>
      </c>
      <c r="C20" s="14" t="inlineStr">
        <is>
          <t>Anne Hunter</t>
        </is>
      </c>
      <c r="D20" s="14" t="inlineStr">
        <is>
          <t>L'Acchiappastorie – Per i più piccoli</t>
        </is>
      </c>
      <c r="E20" s="14" t="inlineStr">
        <is>
          <t>per i più piccoli</t>
        </is>
      </c>
      <c r="F20" s="14" t="inlineStr">
        <is>
          <t>0-3 anni</t>
        </is>
      </c>
      <c r="G20" s="14" t="inlineStr">
        <is>
          <t>Libro cartonato</t>
        </is>
      </c>
      <c r="H20" s="14" t="inlineStr"/>
      <c r="I20" s="14" t="inlineStr">
        <is>
          <t>No</t>
        </is>
      </c>
      <c r="J20" s="14" t="inlineStr">
        <is>
          <t>Collana</t>
        </is>
      </c>
      <c r="K20" s="14" t="inlineStr">
        <is>
          <t>0-3 anni</t>
        </is>
      </c>
      <c r="L20" s="14" t="inlineStr">
        <is>
          <t>Catalogo Terre di Mezzo 1° semestre 2026, p. 8 (ISBN 9791259961778)</t>
        </is>
      </c>
      <c r="M20" s="16" t="n">
        <v>15</v>
      </c>
      <c r="N20" s="14" t="inlineStr">
        <is>
          <t>Catalogo Terre di Mezzo 1° semestre 2026</t>
        </is>
      </c>
      <c r="O20" s="16">
        <f>IF(ISNUMBER(M20),ROUND(M20*(1-Condizioni!$B$2),2),"")</f>
        <v/>
      </c>
      <c r="P20" s="17" t="inlineStr">
        <is>
          <t>No</t>
        </is>
      </c>
    </row>
    <row r="21">
      <c r="A21" s="14" t="inlineStr">
        <is>
          <t>Terre di Mezzo</t>
        </is>
      </c>
      <c r="B21" s="14" t="inlineStr">
        <is>
          <t>Non l’ho fatto apposta!</t>
        </is>
      </c>
      <c r="C21" s="14" t="inlineStr">
        <is>
          <t>Jörg Mühle</t>
        </is>
      </c>
      <c r="D21" s="14" t="inlineStr">
        <is>
          <t>L'Acchiappastorie – Per i più piccoli</t>
        </is>
      </c>
      <c r="E21" s="14" t="inlineStr">
        <is>
          <t>per i più piccoli</t>
        </is>
      </c>
      <c r="F21" s="14" t="inlineStr">
        <is>
          <t>0-3 anni</t>
        </is>
      </c>
      <c r="G21" s="14" t="inlineStr">
        <is>
          <t>Libro cartonato</t>
        </is>
      </c>
      <c r="H21" s="14" t="inlineStr"/>
      <c r="I21" s="14" t="inlineStr">
        <is>
          <t>No</t>
        </is>
      </c>
      <c r="J21" s="14" t="inlineStr">
        <is>
          <t>Collana</t>
        </is>
      </c>
      <c r="K21" s="14" t="inlineStr">
        <is>
          <t>0-3 anni</t>
        </is>
      </c>
      <c r="L21" s="14" t="inlineStr">
        <is>
          <t>Catalogo Terre di Mezzo 1° semestre 2026, p. 6 (ISBN 9791259963949)</t>
        </is>
      </c>
      <c r="M21" s="16" t="n">
        <v>14</v>
      </c>
      <c r="N21" s="14" t="inlineStr">
        <is>
          <t>Catalogo Terre di Mezzo 1° semestre 2026</t>
        </is>
      </c>
      <c r="O21" s="16">
        <f>IF(ISNUMBER(M21),ROUND(M21*(1-Condizioni!$B$2),2),"")</f>
        <v/>
      </c>
      <c r="P21" s="17" t="inlineStr">
        <is>
          <t>No</t>
        </is>
      </c>
    </row>
    <row r="22">
      <c r="A22" s="14" t="inlineStr">
        <is>
          <t>Terre di Mezzo</t>
        </is>
      </c>
      <c r="B22" s="14" t="inlineStr">
        <is>
          <t>Panda e Pandino cosa fanno?</t>
        </is>
      </c>
      <c r="C22" s="14" t="inlineStr">
        <is>
          <t>Satoshi Iriyama</t>
        </is>
      </c>
      <c r="D22" s="14" t="inlineStr">
        <is>
          <t>L'Acchiappastorie – Per i più piccoli</t>
        </is>
      </c>
      <c r="E22" s="14" t="inlineStr">
        <is>
          <t>per i più piccoli</t>
        </is>
      </c>
      <c r="F22" s="14" t="inlineStr">
        <is>
          <t>0-3 anni</t>
        </is>
      </c>
      <c r="G22" s="14" t="inlineStr">
        <is>
          <t>Libro cartonato</t>
        </is>
      </c>
      <c r="H22" s="14" t="inlineStr"/>
      <c r="I22" s="14" t="inlineStr">
        <is>
          <t>No</t>
        </is>
      </c>
      <c r="J22" s="14" t="inlineStr">
        <is>
          <t>Collana</t>
        </is>
      </c>
      <c r="K22" s="14" t="inlineStr">
        <is>
          <t>0-3 anni</t>
        </is>
      </c>
      <c r="L22" s="14" t="inlineStr">
        <is>
          <t>Catalogo Terre di Mezzo 1° semestre 2026, p. 6 (ISBN 9788861895928)</t>
        </is>
      </c>
      <c r="M22" s="16" t="n">
        <v>10.9</v>
      </c>
      <c r="N22" s="14" t="inlineStr">
        <is>
          <t>Catalogo Terre di Mezzo 1° semestre 2026</t>
        </is>
      </c>
      <c r="O22" s="16">
        <f>IF(ISNUMBER(M22),ROUND(M22*(1-Condizioni!$B$2),2),"")</f>
        <v/>
      </c>
      <c r="P22" s="17" t="inlineStr">
        <is>
          <t>No</t>
        </is>
      </c>
    </row>
    <row r="23">
      <c r="A23" s="14" t="inlineStr">
        <is>
          <t>Terre di Mezzo</t>
        </is>
      </c>
      <c r="B23" s="14" t="inlineStr">
        <is>
          <t>Pandino cosa fa?</t>
        </is>
      </c>
      <c r="C23" s="14" t="inlineStr">
        <is>
          <t>Satoshi Iriyama</t>
        </is>
      </c>
      <c r="D23" s="14" t="inlineStr">
        <is>
          <t>L'Acchiappastorie – Per i più piccoli</t>
        </is>
      </c>
      <c r="E23" s="14" t="inlineStr">
        <is>
          <t>per i più piccoli</t>
        </is>
      </c>
      <c r="F23" s="14" t="inlineStr">
        <is>
          <t>0-3 anni</t>
        </is>
      </c>
      <c r="G23" s="14" t="inlineStr">
        <is>
          <t>Libro cartonato</t>
        </is>
      </c>
      <c r="H23" s="14" t="inlineStr"/>
      <c r="I23" s="14" t="inlineStr">
        <is>
          <t>No</t>
        </is>
      </c>
      <c r="J23" s="14" t="inlineStr">
        <is>
          <t>Collana</t>
        </is>
      </c>
      <c r="K23" s="14" t="inlineStr">
        <is>
          <t>0-3 anni</t>
        </is>
      </c>
      <c r="L23" s="14" t="inlineStr">
        <is>
          <t>Catalogo Terre di Mezzo 1° semestre 2026, p. 6 (ISBN 9788861895119)</t>
        </is>
      </c>
      <c r="M23" s="16" t="n">
        <v>12</v>
      </c>
      <c r="N23" s="14" t="inlineStr">
        <is>
          <t>Catalogo Terre di Mezzo 1° semestre 2026</t>
        </is>
      </c>
      <c r="O23" s="16">
        <f>IF(ISNUMBER(M23),ROUND(M23*(1-Condizioni!$B$2),2),"")</f>
        <v/>
      </c>
      <c r="P23" s="17" t="inlineStr">
        <is>
          <t>No</t>
        </is>
      </c>
    </row>
    <row r="24">
      <c r="A24" s="14" t="inlineStr">
        <is>
          <t>Terre di Mezzo</t>
        </is>
      </c>
      <c r="B24" s="14" t="inlineStr">
        <is>
          <t>Pandino fa le facce</t>
        </is>
      </c>
      <c r="C24" s="14" t="inlineStr">
        <is>
          <t>Satoshi Iriyama</t>
        </is>
      </c>
      <c r="D24" s="14" t="inlineStr">
        <is>
          <t>L'Acchiappastorie – Per i più piccoli</t>
        </is>
      </c>
      <c r="E24" s="14" t="inlineStr">
        <is>
          <t>per i più piccoli</t>
        </is>
      </c>
      <c r="F24" s="14" t="inlineStr">
        <is>
          <t>0-3 anni</t>
        </is>
      </c>
      <c r="G24" s="14" t="inlineStr">
        <is>
          <t>Libro cartonato</t>
        </is>
      </c>
      <c r="H24" s="14" t="inlineStr"/>
      <c r="I24" s="14" t="inlineStr">
        <is>
          <t>No</t>
        </is>
      </c>
      <c r="J24" s="14" t="inlineStr">
        <is>
          <t>Collana</t>
        </is>
      </c>
      <c r="K24" s="14" t="inlineStr">
        <is>
          <t>0-3 anni</t>
        </is>
      </c>
      <c r="L24" s="14" t="inlineStr">
        <is>
          <t>Catalogo Terre di Mezzo 1° semestre 2026, p. 6 (ISBN 9791259963550)</t>
        </is>
      </c>
      <c r="M24" s="16" t="n">
        <v>12</v>
      </c>
      <c r="N24" s="14" t="inlineStr">
        <is>
          <t>Catalogo Terre di Mezzo 1° semestre 2026</t>
        </is>
      </c>
      <c r="O24" s="16">
        <f>IF(ISNUMBER(M24),ROUND(M24*(1-Condizioni!$B$2),2),"")</f>
        <v/>
      </c>
      <c r="P24" s="17" t="inlineStr">
        <is>
          <t>No</t>
        </is>
      </c>
    </row>
    <row r="25">
      <c r="A25" s="14" t="inlineStr">
        <is>
          <t>Terre di Mezzo</t>
        </is>
      </c>
      <c r="B25" s="14" t="inlineStr">
        <is>
          <t>Pilù e Papà Lupo. è l’ora del vasino!</t>
        </is>
      </c>
      <c r="C25" s="14" t="inlineStr">
        <is>
          <t>Alexandra Garibal, Marianne Vilcoq</t>
        </is>
      </c>
      <c r="D25" s="14" t="inlineStr">
        <is>
          <t>L'Acchiappastorie – Per i più piccoli</t>
        </is>
      </c>
      <c r="E25" s="14" t="inlineStr">
        <is>
          <t>per i più piccoli</t>
        </is>
      </c>
      <c r="F25" s="14" t="inlineStr">
        <is>
          <t>0-3 anni</t>
        </is>
      </c>
      <c r="G25" s="14" t="inlineStr">
        <is>
          <t>Libro cartonato</t>
        </is>
      </c>
      <c r="H25" s="14" t="inlineStr"/>
      <c r="I25" s="14" t="inlineStr">
        <is>
          <t>No</t>
        </is>
      </c>
      <c r="J25" s="14" t="inlineStr">
        <is>
          <t>Collana</t>
        </is>
      </c>
      <c r="K25" s="14" t="inlineStr">
        <is>
          <t>0-3 anni</t>
        </is>
      </c>
      <c r="L25" s="14" t="inlineStr">
        <is>
          <t>Catalogo Terre di Mezzo 1° semestre 2026, p. 7 (ISBN 9791259960689)</t>
        </is>
      </c>
      <c r="M25" s="16" t="n">
        <v>12</v>
      </c>
      <c r="N25" s="14" t="inlineStr">
        <is>
          <t>Catalogo Terre di Mezzo 1° semestre 2026</t>
        </is>
      </c>
      <c r="O25" s="16">
        <f>IF(ISNUMBER(M25),ROUND(M25*(1-Condizioni!$B$2),2),"")</f>
        <v/>
      </c>
      <c r="P25" s="17" t="inlineStr">
        <is>
          <t>No</t>
        </is>
      </c>
    </row>
    <row r="26">
      <c r="A26" s="14" t="inlineStr">
        <is>
          <t>Terre di Mezzo</t>
        </is>
      </c>
      <c r="B26" s="14" t="inlineStr">
        <is>
          <t>Pilù e papà Lupo. un coniglietto da sgranocchiare</t>
        </is>
      </c>
      <c r="C26" s="14" t="inlineStr">
        <is>
          <t>Alexandra Garibal, Marianne Vilcoq</t>
        </is>
      </c>
      <c r="D26" s="14" t="inlineStr">
        <is>
          <t>L'Acchiappastorie – Per i più piccoli</t>
        </is>
      </c>
      <c r="E26" s="14" t="inlineStr">
        <is>
          <t>per i più piccoli</t>
        </is>
      </c>
      <c r="F26" s="14" t="inlineStr">
        <is>
          <t>0-3 anni</t>
        </is>
      </c>
      <c r="G26" s="14" t="inlineStr">
        <is>
          <t>Libro cartonato</t>
        </is>
      </c>
      <c r="H26" s="14" t="inlineStr"/>
      <c r="I26" s="14" t="inlineStr">
        <is>
          <t>No</t>
        </is>
      </c>
      <c r="J26" s="14" t="inlineStr">
        <is>
          <t>Collana</t>
        </is>
      </c>
      <c r="K26" s="14" t="inlineStr">
        <is>
          <t>0-3 anni</t>
        </is>
      </c>
      <c r="L26" s="14" t="inlineStr">
        <is>
          <t>Catalogo Terre di Mezzo 1° semestre 2026, p. 7 (ISBN 9791259960634)</t>
        </is>
      </c>
      <c r="M26" s="16" t="n">
        <v>12</v>
      </c>
      <c r="N26" s="14" t="inlineStr">
        <is>
          <t>Catalogo Terre di Mezzo 1° semestre 2026</t>
        </is>
      </c>
      <c r="O26" s="16">
        <f>IF(ISNUMBER(M26),ROUND(M26*(1-Condizioni!$B$2),2),"")</f>
        <v/>
      </c>
      <c r="P26" s="17" t="inlineStr">
        <is>
          <t>No</t>
        </is>
      </c>
    </row>
    <row r="27">
      <c r="A27" s="14" t="inlineStr">
        <is>
          <t>Terre di Mezzo</t>
        </is>
      </c>
      <c r="B27" s="14" t="inlineStr">
        <is>
          <t>Pina adotta un cucciolo</t>
        </is>
      </c>
      <c r="C27" s="14" t="inlineStr">
        <is>
          <t>Lucy Cousins</t>
        </is>
      </c>
      <c r="D27" s="14" t="inlineStr">
        <is>
          <t>L'Acchiappastorie – Per i più piccoli</t>
        </is>
      </c>
      <c r="E27" s="14" t="inlineStr">
        <is>
          <t>per i più piccoli</t>
        </is>
      </c>
      <c r="F27" s="14" t="inlineStr">
        <is>
          <t>0-3 anni</t>
        </is>
      </c>
      <c r="G27" s="14" t="inlineStr">
        <is>
          <t>Libro cartonato</t>
        </is>
      </c>
      <c r="H27" s="14" t="inlineStr"/>
      <c r="I27" s="14" t="inlineStr">
        <is>
          <t>No</t>
        </is>
      </c>
      <c r="J27" s="14" t="inlineStr">
        <is>
          <t>Collana</t>
        </is>
      </c>
      <c r="K27" s="14" t="inlineStr">
        <is>
          <t>0-3 anni</t>
        </is>
      </c>
      <c r="L27" s="14" t="inlineStr">
        <is>
          <t>Catalogo Terre di Mezzo 1° semestre 2026, p. 8 (ISBN 9788861896734)</t>
        </is>
      </c>
      <c r="M27" s="16" t="n">
        <v>12</v>
      </c>
      <c r="N27" s="14" t="inlineStr">
        <is>
          <t>Catalogo Terre di Mezzo 1° semestre 2026</t>
        </is>
      </c>
      <c r="O27" s="16">
        <f>IF(ISNUMBER(M27),ROUND(M27*(1-Condizioni!$B$2),2),"")</f>
        <v/>
      </c>
      <c r="P27" s="17" t="inlineStr">
        <is>
          <t>No</t>
        </is>
      </c>
    </row>
    <row r="28">
      <c r="A28" s="14" t="inlineStr">
        <is>
          <t>Terre di Mezzo</t>
        </is>
      </c>
      <c r="B28" s="14" t="inlineStr">
        <is>
          <t>Pina gioca all’aria aperta</t>
        </is>
      </c>
      <c r="C28" s="14" t="inlineStr">
        <is>
          <t>Lucy Cousins</t>
        </is>
      </c>
      <c r="D28" s="14" t="inlineStr">
        <is>
          <t>L'Acchiappastorie – Per i più piccoli</t>
        </is>
      </c>
      <c r="E28" s="14" t="inlineStr">
        <is>
          <t>per i più piccoli</t>
        </is>
      </c>
      <c r="F28" s="14" t="inlineStr">
        <is>
          <t>0-3 anni</t>
        </is>
      </c>
      <c r="G28" s="14" t="inlineStr">
        <is>
          <t>Libro cartonato</t>
        </is>
      </c>
      <c r="H28" s="14" t="inlineStr"/>
      <c r="I28" s="14" t="inlineStr">
        <is>
          <t>No</t>
        </is>
      </c>
      <c r="J28" s="14" t="inlineStr">
        <is>
          <t>Collana</t>
        </is>
      </c>
      <c r="K28" s="14" t="inlineStr">
        <is>
          <t>0-3 anni</t>
        </is>
      </c>
      <c r="L28" s="14" t="inlineStr">
        <is>
          <t>Catalogo Terre di Mezzo 1° semestre 2026, p. 8 (ISBN 9788861896741)</t>
        </is>
      </c>
      <c r="M28" s="16" t="n">
        <v>12</v>
      </c>
      <c r="N28" s="14" t="inlineStr">
        <is>
          <t>Catalogo Terre di Mezzo 1° semestre 2026</t>
        </is>
      </c>
      <c r="O28" s="16">
        <f>IF(ISNUMBER(M28),ROUND(M28*(1-Condizioni!$B$2),2),"")</f>
        <v/>
      </c>
      <c r="P28" s="17" t="inlineStr">
        <is>
          <t>No</t>
        </is>
      </c>
    </row>
    <row r="29">
      <c r="A29" s="14" t="inlineStr">
        <is>
          <t>Terre di Mezzo</t>
        </is>
      </c>
      <c r="B29" s="14" t="inlineStr">
        <is>
          <t>Toc Toc! dov’è la mia mamma?</t>
        </is>
      </c>
      <c r="C29" s="14" t="inlineStr">
        <is>
          <t>Cédric Ramadier, Vincent Bourgeau</t>
        </is>
      </c>
      <c r="D29" s="14" t="inlineStr">
        <is>
          <t>L'Acchiappastorie – Per i più piccoli</t>
        </is>
      </c>
      <c r="E29" s="14" t="inlineStr">
        <is>
          <t>per i più piccoli</t>
        </is>
      </c>
      <c r="F29" s="14" t="inlineStr">
        <is>
          <t>0-3 anni</t>
        </is>
      </c>
      <c r="G29" s="14" t="inlineStr">
        <is>
          <t>Libro cartonato</t>
        </is>
      </c>
      <c r="H29" s="14" t="inlineStr"/>
      <c r="I29" s="14" t="inlineStr">
        <is>
          <t>No</t>
        </is>
      </c>
      <c r="J29" s="14" t="inlineStr">
        <is>
          <t>Collana</t>
        </is>
      </c>
      <c r="K29" s="14" t="inlineStr">
        <is>
          <t>0-3 anni</t>
        </is>
      </c>
      <c r="L29" s="14" t="inlineStr">
        <is>
          <t>Catalogo Terre di Mezzo 1° semestre 2026, p. 8 (ISBN 9791259962546)</t>
        </is>
      </c>
      <c r="M29" s="16" t="n">
        <v>12</v>
      </c>
      <c r="N29" s="14" t="inlineStr">
        <is>
          <t>Catalogo Terre di Mezzo 1° semestre 2026</t>
        </is>
      </c>
      <c r="O29" s="16">
        <f>IF(ISNUMBER(M29),ROUND(M29*(1-Condizioni!$B$2),2),"")</f>
        <v/>
      </c>
      <c r="P29" s="17" t="inlineStr">
        <is>
          <t>No</t>
        </is>
      </c>
    </row>
    <row r="30">
      <c r="A30" s="14" t="inlineStr">
        <is>
          <t>Terre di Mezzo</t>
        </is>
      </c>
      <c r="B30" s="14" t="inlineStr">
        <is>
          <t>Tutti sul divano!</t>
        </is>
      </c>
      <c r="C30" s="14" t="inlineStr">
        <is>
          <t>Susanne Strasser</t>
        </is>
      </c>
      <c r="D30" s="14" t="inlineStr">
        <is>
          <t>L'Acchiappastorie – Per i più piccoli</t>
        </is>
      </c>
      <c r="E30" s="14" t="inlineStr">
        <is>
          <t>per i più piccoli</t>
        </is>
      </c>
      <c r="F30" s="14" t="inlineStr">
        <is>
          <t>0-3 anni</t>
        </is>
      </c>
      <c r="G30" s="14" t="inlineStr">
        <is>
          <t>Libro cartonato</t>
        </is>
      </c>
      <c r="H30" s="14" t="inlineStr"/>
      <c r="I30" s="14" t="inlineStr">
        <is>
          <t>No</t>
        </is>
      </c>
      <c r="J30" s="14" t="inlineStr">
        <is>
          <t>Collana</t>
        </is>
      </c>
      <c r="K30" s="14" t="inlineStr">
        <is>
          <t>0-3 anni</t>
        </is>
      </c>
      <c r="L30" s="14" t="inlineStr">
        <is>
          <t>Catalogo Terre di Mezzo 1° semestre 2026, p. 4 (ISBN 9791259960108)</t>
        </is>
      </c>
      <c r="M30" s="16" t="n">
        <v>12.9</v>
      </c>
      <c r="N30" s="14" t="inlineStr">
        <is>
          <t>Catalogo Terre di Mezzo 1° semestre 2026</t>
        </is>
      </c>
      <c r="O30" s="16">
        <f>IF(ISNUMBER(M30),ROUND(M30*(1-Condizioni!$B$2),2),"")</f>
        <v/>
      </c>
      <c r="P30" s="17" t="inlineStr">
        <is>
          <t>Sì</t>
        </is>
      </c>
    </row>
    <row r="31">
      <c r="A31" s="14" t="inlineStr">
        <is>
          <t>Terre di Mezzo</t>
        </is>
      </c>
      <c r="B31" s="14" t="inlineStr">
        <is>
          <t>Vola vola Coniglietto!</t>
        </is>
      </c>
      <c r="C31" s="14" t="inlineStr">
        <is>
          <t>Jörg Mühle</t>
        </is>
      </c>
      <c r="D31" s="14" t="inlineStr">
        <is>
          <t>L'Acchiappastorie – Per i più piccoli</t>
        </is>
      </c>
      <c r="E31" s="14" t="inlineStr">
        <is>
          <t>per i più piccoli</t>
        </is>
      </c>
      <c r="F31" s="14" t="inlineStr">
        <is>
          <t>0-3 anni</t>
        </is>
      </c>
      <c r="G31" s="14" t="inlineStr">
        <is>
          <t>Libro cartonato</t>
        </is>
      </c>
      <c r="H31" s="14" t="inlineStr"/>
      <c r="I31" s="14" t="inlineStr">
        <is>
          <t>No</t>
        </is>
      </c>
      <c r="J31" s="14" t="inlineStr">
        <is>
          <t>Collana</t>
        </is>
      </c>
      <c r="K31" s="14" t="inlineStr">
        <is>
          <t>0-3 anni</t>
        </is>
      </c>
      <c r="L31" s="14" t="inlineStr">
        <is>
          <t>Catalogo Terre di Mezzo 1° semestre 2026, p. 5 (ISBN 9791259960092)</t>
        </is>
      </c>
      <c r="M31" s="16" t="n">
        <v>8.9</v>
      </c>
      <c r="N31" s="14" t="inlineStr">
        <is>
          <t>Catalogo Terre di Mezzo 1° semestre 2026</t>
        </is>
      </c>
      <c r="O31" s="16">
        <f>IF(ISNUMBER(M31),ROUND(M31*(1-Condizioni!$B$2),2),"")</f>
        <v/>
      </c>
      <c r="P31" s="17" t="inlineStr">
        <is>
          <t>No</t>
        </is>
      </c>
    </row>
    <row r="32">
      <c r="A32" s="14" t="inlineStr">
        <is>
          <t>Terre di Mezzo</t>
        </is>
      </c>
      <c r="B32" s="14" t="inlineStr">
        <is>
          <t>A e b ogni giorno insieme</t>
        </is>
      </c>
      <c r="C32" s="14" t="inlineStr">
        <is>
          <t>Sara Donati</t>
        </is>
      </c>
      <c r="D32" s="14" t="inlineStr">
        <is>
          <t>L'Acchiappastorie – Albi illustrati</t>
        </is>
      </c>
      <c r="E32" s="14" t="inlineStr">
        <is>
          <t>albi illustrati (età indicativa)</t>
        </is>
      </c>
      <c r="F32" s="14" t="inlineStr">
        <is>
          <t>3-6 anni</t>
        </is>
      </c>
      <c r="G32" s="14" t="inlineStr">
        <is>
          <t>Albo illustrato</t>
        </is>
      </c>
      <c r="H32" s="14" t="inlineStr"/>
      <c r="I32" s="14" t="inlineStr">
        <is>
          <t>No</t>
        </is>
      </c>
      <c r="J32" s="14" t="inlineStr">
        <is>
          <t>Collana</t>
        </is>
      </c>
      <c r="K32" s="14" t="inlineStr">
        <is>
          <t>3-6 anni</t>
        </is>
      </c>
      <c r="L32" s="14" t="inlineStr">
        <is>
          <t>Catalogo Terre di Mezzo 1° semestre 2026, p. 10 (ISBN 9791259963925)</t>
        </is>
      </c>
      <c r="M32" s="16" t="n">
        <v>16</v>
      </c>
      <c r="N32" s="14" t="inlineStr">
        <is>
          <t>Catalogo Terre di Mezzo 1° semestre 2026</t>
        </is>
      </c>
      <c r="O32" s="16">
        <f>IF(ISNUMBER(M32),ROUND(M32*(1-Condizioni!$B$2),2),"")</f>
        <v/>
      </c>
      <c r="P32" s="17" t="inlineStr">
        <is>
          <t>No</t>
        </is>
      </c>
    </row>
    <row r="33">
      <c r="A33" s="14" t="inlineStr">
        <is>
          <t>Terre di Mezzo</t>
        </is>
      </c>
      <c r="B33" s="14" t="inlineStr">
        <is>
          <t>A spasso con Grizzly</t>
        </is>
      </c>
      <c r="C33" s="14" t="inlineStr">
        <is>
          <t>Hervé Le Goff</t>
        </is>
      </c>
      <c r="D33" s="14" t="inlineStr">
        <is>
          <t>L'Acchiappastorie – Albi illustrati</t>
        </is>
      </c>
      <c r="E33" s="14" t="inlineStr">
        <is>
          <t>albi illustrati (età indicativa)</t>
        </is>
      </c>
      <c r="F33" s="14" t="inlineStr">
        <is>
          <t>3-6 anni</t>
        </is>
      </c>
      <c r="G33" s="14" t="inlineStr">
        <is>
          <t>Albo illustrato</t>
        </is>
      </c>
      <c r="H33" s="14" t="inlineStr"/>
      <c r="I33" s="14" t="inlineStr">
        <is>
          <t>No</t>
        </is>
      </c>
      <c r="J33" s="14" t="inlineStr">
        <is>
          <t>Collana</t>
        </is>
      </c>
      <c r="K33" s="14" t="inlineStr">
        <is>
          <t>3-6 anni</t>
        </is>
      </c>
      <c r="L33" s="14" t="inlineStr">
        <is>
          <t>Catalogo Terre di Mezzo 1° semestre 2026, p. 16 (ISBN 9791259963352)</t>
        </is>
      </c>
      <c r="M33" s="16" t="n">
        <v>16</v>
      </c>
      <c r="N33" s="14" t="inlineStr">
        <is>
          <t>Catalogo Terre di Mezzo 1° semestre 2026</t>
        </is>
      </c>
      <c r="O33" s="16">
        <f>IF(ISNUMBER(M33),ROUND(M33*(1-Condizioni!$B$2),2),"")</f>
        <v/>
      </c>
      <c r="P33" s="17" t="inlineStr">
        <is>
          <t>No</t>
        </is>
      </c>
    </row>
    <row r="34">
      <c r="A34" s="14" t="inlineStr">
        <is>
          <t>Terre di Mezzo</t>
        </is>
      </c>
      <c r="B34" s="14" t="inlineStr">
        <is>
          <t>Alfonsina corre</t>
        </is>
      </c>
      <c r="C34" s="14" t="inlineStr">
        <is>
          <t>Joan Negrescolor</t>
        </is>
      </c>
      <c r="D34" s="14" t="inlineStr">
        <is>
          <t>L'Acchiappastorie – Albi illustrati</t>
        </is>
      </c>
      <c r="E34" s="14" t="inlineStr">
        <is>
          <t>albi illustrati (età indicativa)</t>
        </is>
      </c>
      <c r="F34" s="14" t="inlineStr">
        <is>
          <t>3-6 anni</t>
        </is>
      </c>
      <c r="G34" s="14" t="inlineStr">
        <is>
          <t>Albo illustrato</t>
        </is>
      </c>
      <c r="H34" s="14" t="inlineStr"/>
      <c r="I34" s="14" t="inlineStr">
        <is>
          <t>No</t>
        </is>
      </c>
      <c r="J34" s="14" t="inlineStr">
        <is>
          <t>Collana</t>
        </is>
      </c>
      <c r="K34" s="14" t="inlineStr">
        <is>
          <t>3-6 anni</t>
        </is>
      </c>
      <c r="L34" s="14" t="inlineStr">
        <is>
          <t>Catalogo Terre di Mezzo 1° semestre 2026, p. 36 (ISBN 9788861896697)</t>
        </is>
      </c>
      <c r="M34" s="16" t="n">
        <v>15</v>
      </c>
      <c r="N34" s="14" t="inlineStr">
        <is>
          <t>Catalogo Terre di Mezzo 1° semestre 2026</t>
        </is>
      </c>
      <c r="O34" s="16">
        <f>IF(ISNUMBER(M34),ROUND(M34*(1-Condizioni!$B$2),2),"")</f>
        <v/>
      </c>
      <c r="P34" s="17" t="inlineStr">
        <is>
          <t>Sì</t>
        </is>
      </c>
    </row>
    <row r="35">
      <c r="A35" s="14" t="inlineStr">
        <is>
          <t>Terre di Mezzo</t>
        </is>
      </c>
      <c r="B35" s="14" t="inlineStr">
        <is>
          <t>Alice nel paese delle meraviglie</t>
        </is>
      </c>
      <c r="C35" s="14" t="inlineStr">
        <is>
          <t>Lewis Carroll, Valeria Docampo</t>
        </is>
      </c>
      <c r="D35" s="14" t="inlineStr">
        <is>
          <t>L'Acchiappastorie – Albi illustrati</t>
        </is>
      </c>
      <c r="E35" s="14" t="inlineStr">
        <is>
          <t>albi illustrati (età indicativa)</t>
        </is>
      </c>
      <c r="F35" s="14" t="inlineStr">
        <is>
          <t>3-6 anni</t>
        </is>
      </c>
      <c r="G35" s="14" t="inlineStr">
        <is>
          <t>Albo illustrato</t>
        </is>
      </c>
      <c r="H35" s="14" t="inlineStr"/>
      <c r="I35" s="14" t="inlineStr">
        <is>
          <t>No</t>
        </is>
      </c>
      <c r="J35" s="14" t="inlineStr">
        <is>
          <t>Collana</t>
        </is>
      </c>
      <c r="K35" s="14" t="inlineStr">
        <is>
          <t>3-6 anni</t>
        </is>
      </c>
      <c r="L35" s="14" t="inlineStr">
        <is>
          <t>Catalogo Terre di Mezzo 1° semestre 2026, p. 33 (ISBN 9788861896475)</t>
        </is>
      </c>
      <c r="M35" s="16" t="n">
        <v>20</v>
      </c>
      <c r="N35" s="14" t="inlineStr">
        <is>
          <t>Catalogo Terre di Mezzo 1° semestre 2026</t>
        </is>
      </c>
      <c r="O35" s="16">
        <f>IF(ISNUMBER(M35),ROUND(M35*(1-Condizioni!$B$2),2),"")</f>
        <v/>
      </c>
      <c r="P35" s="17" t="inlineStr">
        <is>
          <t>No</t>
        </is>
      </c>
    </row>
    <row r="36">
      <c r="A36" s="14" t="inlineStr">
        <is>
          <t>Terre di Mezzo</t>
        </is>
      </c>
      <c r="B36" s="14" t="inlineStr">
        <is>
          <t>Alla ricerca dell’uccello arcobaleno</t>
        </is>
      </c>
      <c r="C36" s="14" t="inlineStr">
        <is>
          <t>Nora Brech</t>
        </is>
      </c>
      <c r="D36" s="14" t="inlineStr">
        <is>
          <t>L'Acchiappastorie – Albi illustrati</t>
        </is>
      </c>
      <c r="E36" s="14" t="inlineStr">
        <is>
          <t>albi illustrati (età indicativa)</t>
        </is>
      </c>
      <c r="F36" s="14" t="inlineStr">
        <is>
          <t>3-6 anni</t>
        </is>
      </c>
      <c r="G36" s="14" t="inlineStr">
        <is>
          <t>Albo illustrato</t>
        </is>
      </c>
      <c r="H36" s="14" t="inlineStr"/>
      <c r="I36" s="14" t="inlineStr">
        <is>
          <t>No</t>
        </is>
      </c>
      <c r="J36" s="14" t="inlineStr">
        <is>
          <t>Collana</t>
        </is>
      </c>
      <c r="K36" s="14" t="inlineStr">
        <is>
          <t>3-6 anni</t>
        </is>
      </c>
      <c r="L36" s="14" t="inlineStr">
        <is>
          <t>Catalogo Terre di Mezzo 1° semestre 2026, p. 29 (ISBN 9791259960740)</t>
        </is>
      </c>
      <c r="M36" s="16" t="n">
        <v>16</v>
      </c>
      <c r="N36" s="14" t="inlineStr">
        <is>
          <t>Catalogo Terre di Mezzo 1° semestre 2026</t>
        </is>
      </c>
      <c r="O36" s="16">
        <f>IF(ISNUMBER(M36),ROUND(M36*(1-Condizioni!$B$2),2),"")</f>
        <v/>
      </c>
      <c r="P36" s="17" t="inlineStr">
        <is>
          <t>No</t>
        </is>
      </c>
    </row>
    <row r="37">
      <c r="A37" s="14" t="inlineStr">
        <is>
          <t>Terre di Mezzo</t>
        </is>
      </c>
      <c r="B37" s="14" t="inlineStr">
        <is>
          <t>Amico albero</t>
        </is>
      </c>
      <c r="C37" s="14" t="inlineStr">
        <is>
          <t>Sara Donati</t>
        </is>
      </c>
      <c r="D37" s="14" t="inlineStr">
        <is>
          <t>L'Acchiappastorie – Albi illustrati</t>
        </is>
      </c>
      <c r="E37" s="14" t="inlineStr">
        <is>
          <t>albi illustrati (età indicativa)</t>
        </is>
      </c>
      <c r="F37" s="14" t="inlineStr">
        <is>
          <t>3-6 anni</t>
        </is>
      </c>
      <c r="G37" s="14" t="inlineStr">
        <is>
          <t>Albo illustrato</t>
        </is>
      </c>
      <c r="H37" s="14" t="inlineStr"/>
      <c r="I37" s="14" t="inlineStr">
        <is>
          <t>No</t>
        </is>
      </c>
      <c r="J37" s="14" t="inlineStr">
        <is>
          <t>Collana</t>
        </is>
      </c>
      <c r="K37" s="14" t="inlineStr">
        <is>
          <t>3-6 anni</t>
        </is>
      </c>
      <c r="L37" s="14" t="inlineStr">
        <is>
          <t>Catalogo Terre di Mezzo 1° semestre 2026, p. 10 (ISBN 9791259961266)</t>
        </is>
      </c>
      <c r="M37" s="16" t="n">
        <v>16</v>
      </c>
      <c r="N37" s="14" t="inlineStr">
        <is>
          <t>Catalogo Terre di Mezzo 1° semestre 2026</t>
        </is>
      </c>
      <c r="O37" s="16">
        <f>IF(ISNUMBER(M37),ROUND(M37*(1-Condizioni!$B$2),2),"")</f>
        <v/>
      </c>
      <c r="P37" s="17" t="inlineStr">
        <is>
          <t>No</t>
        </is>
      </c>
    </row>
    <row r="38">
      <c r="A38" s="14" t="inlineStr">
        <is>
          <t>Terre di Mezzo</t>
        </is>
      </c>
      <c r="B38" s="14" t="inlineStr">
        <is>
          <t>Ancora, papà!</t>
        </is>
      </c>
      <c r="C38" s="14" t="inlineStr">
        <is>
          <t>Mariapaola Pesce, Irene Penazzi</t>
        </is>
      </c>
      <c r="D38" s="14" t="inlineStr">
        <is>
          <t>L'Acchiappastorie – Albi illustrati</t>
        </is>
      </c>
      <c r="E38" s="14" t="inlineStr">
        <is>
          <t>albi illustrati (età indicativa)</t>
        </is>
      </c>
      <c r="F38" s="14" t="inlineStr">
        <is>
          <t>3-6 anni</t>
        </is>
      </c>
      <c r="G38" s="14" t="inlineStr">
        <is>
          <t>Albo illustrato</t>
        </is>
      </c>
      <c r="H38" s="14" t="inlineStr"/>
      <c r="I38" s="14" t="inlineStr">
        <is>
          <t>No</t>
        </is>
      </c>
      <c r="J38" s="14" t="inlineStr">
        <is>
          <t>Collana</t>
        </is>
      </c>
      <c r="K38" s="14" t="inlineStr">
        <is>
          <t>3-6 anni</t>
        </is>
      </c>
      <c r="L38" s="14" t="inlineStr">
        <is>
          <t>Catalogo Terre di Mezzo 1° semestre 2026, p. 27 (ISBN 9788861896017)</t>
        </is>
      </c>
      <c r="M38" s="16" t="n">
        <v>15</v>
      </c>
      <c r="N38" s="14" t="inlineStr">
        <is>
          <t>Catalogo Terre di Mezzo 1° semestre 2026</t>
        </is>
      </c>
      <c r="O38" s="16">
        <f>IF(ISNUMBER(M38),ROUND(M38*(1-Condizioni!$B$2),2),"")</f>
        <v/>
      </c>
      <c r="P38" s="17" t="inlineStr">
        <is>
          <t>No</t>
        </is>
      </c>
    </row>
    <row r="39">
      <c r="A39" s="14" t="inlineStr">
        <is>
          <t>Terre di Mezzo</t>
        </is>
      </c>
      <c r="B39" s="14" t="inlineStr">
        <is>
          <t>Barboncini e patatine</t>
        </is>
      </c>
      <c r="C39" s="14" t="inlineStr">
        <is>
          <t>Pija Lindenbaum</t>
        </is>
      </c>
      <c r="D39" s="14" t="inlineStr">
        <is>
          <t>L'Acchiappastorie – Albi illustrati</t>
        </is>
      </c>
      <c r="E39" s="14" t="inlineStr">
        <is>
          <t>albi illustrati (età indicativa)</t>
        </is>
      </c>
      <c r="F39" s="14" t="inlineStr">
        <is>
          <t>3-6 anni</t>
        </is>
      </c>
      <c r="G39" s="14" t="inlineStr">
        <is>
          <t>Albo illustrato</t>
        </is>
      </c>
      <c r="H39" s="14" t="inlineStr"/>
      <c r="I39" s="14" t="inlineStr">
        <is>
          <t>No</t>
        </is>
      </c>
      <c r="J39" s="14" t="inlineStr">
        <is>
          <t>Collana</t>
        </is>
      </c>
      <c r="K39" s="14" t="inlineStr">
        <is>
          <t>3-6 anni</t>
        </is>
      </c>
      <c r="L39" s="14" t="inlineStr">
        <is>
          <t>Catalogo Terre di Mezzo 1° semestre 2026, p. 22 (ISBN 9791259960405)</t>
        </is>
      </c>
      <c r="M39" s="16" t="n">
        <v>15</v>
      </c>
      <c r="N39" s="14" t="inlineStr">
        <is>
          <t>Catalogo Terre di Mezzo 1° semestre 2026</t>
        </is>
      </c>
      <c r="O39" s="16">
        <f>IF(ISNUMBER(M39),ROUND(M39*(1-Condizioni!$B$2),2),"")</f>
        <v/>
      </c>
      <c r="P39" s="17" t="inlineStr">
        <is>
          <t>No</t>
        </is>
      </c>
    </row>
    <row r="40">
      <c r="A40" s="14" t="inlineStr">
        <is>
          <t>Terre di Mezzo</t>
        </is>
      </c>
      <c r="B40" s="14" t="inlineStr">
        <is>
          <t>Barnabé alla scoperta del mondo</t>
        </is>
      </c>
      <c r="C40" s="14" t="inlineStr">
        <is>
          <t>Gilles Bizouerne, Béatrice Rodriguez</t>
        </is>
      </c>
      <c r="D40" s="14" t="inlineStr">
        <is>
          <t>L'Acchiappastorie – Albi illustrati</t>
        </is>
      </c>
      <c r="E40" s="14" t="inlineStr">
        <is>
          <t>albi illustrati (età indicativa)</t>
        </is>
      </c>
      <c r="F40" s="14" t="inlineStr">
        <is>
          <t>3-6 anni</t>
        </is>
      </c>
      <c r="G40" s="14" t="inlineStr">
        <is>
          <t>Albo illustrato</t>
        </is>
      </c>
      <c r="H40" s="14" t="inlineStr"/>
      <c r="I40" s="14" t="inlineStr">
        <is>
          <t>No</t>
        </is>
      </c>
      <c r="J40" s="14" t="inlineStr">
        <is>
          <t>Collana</t>
        </is>
      </c>
      <c r="K40" s="14" t="inlineStr">
        <is>
          <t>3-6 anni</t>
        </is>
      </c>
      <c r="L40" s="14" t="inlineStr">
        <is>
          <t>Catalogo Terre di Mezzo 1° semestre 2026, p. 35 (ISBN 9788861896550)</t>
        </is>
      </c>
      <c r="M40" s="16" t="n">
        <v>12</v>
      </c>
      <c r="N40" s="14" t="inlineStr">
        <is>
          <t>Catalogo Terre di Mezzo 1° semestre 2026</t>
        </is>
      </c>
      <c r="O40" s="16">
        <f>IF(ISNUMBER(M40),ROUND(M40*(1-Condizioni!$B$2),2),"")</f>
        <v/>
      </c>
      <c r="P40" s="17" t="inlineStr">
        <is>
          <t>No</t>
        </is>
      </c>
    </row>
    <row r="41">
      <c r="A41" s="14" t="inlineStr">
        <is>
          <t>Terre di Mezzo</t>
        </is>
      </c>
      <c r="B41" s="14" t="inlineStr">
        <is>
          <t>Barnabé cura il pianeta</t>
        </is>
      </c>
      <c r="C41" s="14" t="inlineStr">
        <is>
          <t>Gilles Bizouerne, Béatrice Rodriguez</t>
        </is>
      </c>
      <c r="D41" s="14" t="inlineStr">
        <is>
          <t>L'Acchiappastorie – Albi illustrati</t>
        </is>
      </c>
      <c r="E41" s="14" t="inlineStr">
        <is>
          <t>albi illustrati (età indicativa)</t>
        </is>
      </c>
      <c r="F41" s="14" t="inlineStr">
        <is>
          <t>3-6 anni</t>
        </is>
      </c>
      <c r="G41" s="14" t="inlineStr">
        <is>
          <t>Albo illustrato</t>
        </is>
      </c>
      <c r="H41" s="14" t="inlineStr"/>
      <c r="I41" s="14" t="inlineStr">
        <is>
          <t>No</t>
        </is>
      </c>
      <c r="J41" s="14" t="inlineStr">
        <is>
          <t>Collana</t>
        </is>
      </c>
      <c r="K41" s="14" t="inlineStr">
        <is>
          <t>3-6 anni</t>
        </is>
      </c>
      <c r="L41" s="14" t="inlineStr">
        <is>
          <t>Catalogo Terre di Mezzo 1° semestre 2026, p. 35 (ISBN 9788861896956)</t>
        </is>
      </c>
      <c r="M41" s="16" t="n">
        <v>12</v>
      </c>
      <c r="N41" s="14" t="inlineStr">
        <is>
          <t>Catalogo Terre di Mezzo 1° semestre 2026</t>
        </is>
      </c>
      <c r="O41" s="16">
        <f>IF(ISNUMBER(M41),ROUND(M41*(1-Condizioni!$B$2),2),"")</f>
        <v/>
      </c>
      <c r="P41" s="17" t="inlineStr">
        <is>
          <t>No</t>
        </is>
      </c>
    </row>
    <row r="42">
      <c r="A42" s="14" t="inlineStr">
        <is>
          <t>Terre di Mezzo</t>
        </is>
      </c>
      <c r="B42" s="14" t="inlineStr">
        <is>
          <t>Bravo Buz!</t>
        </is>
      </c>
      <c r="C42" s="14" t="inlineStr">
        <is>
          <t>Marianna Coppo</t>
        </is>
      </c>
      <c r="D42" s="14" t="inlineStr">
        <is>
          <t>L'Acchiappastorie – Albi illustrati</t>
        </is>
      </c>
      <c r="E42" s="14" t="inlineStr">
        <is>
          <t>albi illustrati (età indicativa)</t>
        </is>
      </c>
      <c r="F42" s="14" t="inlineStr">
        <is>
          <t>3-6 anni</t>
        </is>
      </c>
      <c r="G42" s="14" t="inlineStr">
        <is>
          <t>Albo illustrato</t>
        </is>
      </c>
      <c r="H42" s="14" t="inlineStr"/>
      <c r="I42" s="14" t="inlineStr">
        <is>
          <t>No</t>
        </is>
      </c>
      <c r="J42" s="14" t="inlineStr">
        <is>
          <t>Collana</t>
        </is>
      </c>
      <c r="K42" s="14" t="inlineStr">
        <is>
          <t>3-6 anni</t>
        </is>
      </c>
      <c r="L42" s="14" t="inlineStr">
        <is>
          <t>Catalogo Terre di Mezzo 1° semestre 2026, p. 36 (ISBN 9788861895980)</t>
        </is>
      </c>
      <c r="M42" s="16" t="n">
        <v>15</v>
      </c>
      <c r="N42" s="14" t="inlineStr">
        <is>
          <t>Catalogo Terre di Mezzo 1° semestre 2026</t>
        </is>
      </c>
      <c r="O42" s="16">
        <f>IF(ISNUMBER(M42),ROUND(M42*(1-Condizioni!$B$2),2),"")</f>
        <v/>
      </c>
      <c r="P42" s="17" t="inlineStr">
        <is>
          <t>No</t>
        </is>
      </c>
    </row>
    <row r="43">
      <c r="A43" s="14" t="inlineStr">
        <is>
          <t>Terre di Mezzo</t>
        </is>
      </c>
      <c r="B43" s="14" t="inlineStr">
        <is>
          <t>Buon compleanno!</t>
        </is>
      </c>
      <c r="C43" s="14" t="inlineStr">
        <is>
          <t>Heena Baek</t>
        </is>
      </c>
      <c r="D43" s="14" t="inlineStr">
        <is>
          <t>L'Acchiappastorie – Albi illustrati</t>
        </is>
      </c>
      <c r="E43" s="14" t="inlineStr">
        <is>
          <t>albi illustrati (età indicativa)</t>
        </is>
      </c>
      <c r="F43" s="14" t="inlineStr">
        <is>
          <t>3-6 anni</t>
        </is>
      </c>
      <c r="G43" s="14" t="inlineStr">
        <is>
          <t>Albo illustrato</t>
        </is>
      </c>
      <c r="H43" s="14" t="inlineStr"/>
      <c r="I43" s="14" t="inlineStr">
        <is>
          <t>No</t>
        </is>
      </c>
      <c r="J43" s="14" t="inlineStr">
        <is>
          <t>Collana</t>
        </is>
      </c>
      <c r="K43" s="14" t="inlineStr">
        <is>
          <t>3-6 anni</t>
        </is>
      </c>
      <c r="L43" s="14" t="inlineStr">
        <is>
          <t>Catalogo Terre di Mezzo 1° semestre 2026, p. 20 (ISBN 9791259963574)</t>
        </is>
      </c>
      <c r="M43" s="16" t="n">
        <v>16</v>
      </c>
      <c r="N43" s="14" t="inlineStr">
        <is>
          <t>Catalogo Terre di Mezzo 1° semestre 2026</t>
        </is>
      </c>
      <c r="O43" s="16">
        <f>IF(ISNUMBER(M43),ROUND(M43*(1-Condizioni!$B$2),2),"")</f>
        <v/>
      </c>
      <c r="P43" s="17" t="inlineStr">
        <is>
          <t>No</t>
        </is>
      </c>
    </row>
    <row r="44">
      <c r="A44" s="14" t="inlineStr">
        <is>
          <t>Terre di Mezzo</t>
        </is>
      </c>
      <c r="B44" s="14" t="inlineStr">
        <is>
          <t>Buonanotte bosco</t>
        </is>
      </c>
      <c r="C44" s="14" t="inlineStr">
        <is>
          <t>Karen Jameson, Marc Boutavant, traduzione di Chiara Carminati</t>
        </is>
      </c>
      <c r="D44" s="14" t="inlineStr">
        <is>
          <t>L'Acchiappastorie – Albi illustrati</t>
        </is>
      </c>
      <c r="E44" s="14" t="inlineStr">
        <is>
          <t>albi illustrati (età indicativa)</t>
        </is>
      </c>
      <c r="F44" s="14" t="inlineStr">
        <is>
          <t>3-6 anni</t>
        </is>
      </c>
      <c r="G44" s="14" t="inlineStr">
        <is>
          <t>Albo illustrato</t>
        </is>
      </c>
      <c r="H44" s="14" t="inlineStr"/>
      <c r="I44" s="14" t="inlineStr">
        <is>
          <t>No</t>
        </is>
      </c>
      <c r="J44" s="14" t="inlineStr">
        <is>
          <t>Collana</t>
        </is>
      </c>
      <c r="K44" s="14" t="inlineStr">
        <is>
          <t>3-6 anni</t>
        </is>
      </c>
      <c r="L44" s="14" t="inlineStr">
        <is>
          <t>Catalogo Terre di Mezzo 1° semestre 2026, p. 24 (ISBN 9788861896963)</t>
        </is>
      </c>
      <c r="M44" s="16" t="n">
        <v>16</v>
      </c>
      <c r="N44" s="14" t="inlineStr">
        <is>
          <t>Catalogo Terre di Mezzo 1° semestre 2026</t>
        </is>
      </c>
      <c r="O44" s="16">
        <f>IF(ISNUMBER(M44),ROUND(M44*(1-Condizioni!$B$2),2),"")</f>
        <v/>
      </c>
      <c r="P44" s="17" t="inlineStr">
        <is>
          <t>No</t>
        </is>
      </c>
    </row>
    <row r="45">
      <c r="A45" s="14" t="inlineStr">
        <is>
          <t>Terre di Mezzo</t>
        </is>
      </c>
      <c r="B45" s="14" t="inlineStr">
        <is>
          <t>Buongiorno bosco!</t>
        </is>
      </c>
      <c r="C45" s="14" t="inlineStr">
        <is>
          <t>Karen Jameson, Marc Boutavant, traduzione di Chiara Carminati</t>
        </is>
      </c>
      <c r="D45" s="14" t="inlineStr">
        <is>
          <t>L'Acchiappastorie – Albi illustrati</t>
        </is>
      </c>
      <c r="E45" s="14" t="inlineStr">
        <is>
          <t>albi illustrati (età indicativa)</t>
        </is>
      </c>
      <c r="F45" s="14" t="inlineStr">
        <is>
          <t>3-6 anni</t>
        </is>
      </c>
      <c r="G45" s="14" t="inlineStr">
        <is>
          <t>Albo illustrato</t>
        </is>
      </c>
      <c r="H45" s="14" t="inlineStr"/>
      <c r="I45" s="14" t="inlineStr">
        <is>
          <t>No</t>
        </is>
      </c>
      <c r="J45" s="14" t="inlineStr">
        <is>
          <t>Collana</t>
        </is>
      </c>
      <c r="K45" s="14" t="inlineStr">
        <is>
          <t>3-6 anni</t>
        </is>
      </c>
      <c r="L45" s="14" t="inlineStr">
        <is>
          <t>Catalogo Terre di Mezzo 1° semestre 2026, p. 24 (ISBN 9791259961860)</t>
        </is>
      </c>
      <c r="M45" s="16" t="n">
        <v>16</v>
      </c>
      <c r="N45" s="14" t="inlineStr">
        <is>
          <t>Catalogo Terre di Mezzo 1° semestre 2026</t>
        </is>
      </c>
      <c r="O45" s="16">
        <f>IF(ISNUMBER(M45),ROUND(M45*(1-Condizioni!$B$2),2),"")</f>
        <v/>
      </c>
      <c r="P45" s="17" t="inlineStr">
        <is>
          <t>No</t>
        </is>
      </c>
    </row>
    <row r="46">
      <c r="A46" s="14" t="inlineStr">
        <is>
          <t>Terre di Mezzo</t>
        </is>
      </c>
      <c r="B46" s="14" t="inlineStr">
        <is>
          <t>Cane Nero</t>
        </is>
      </c>
      <c r="C46" s="14" t="inlineStr">
        <is>
          <t>Levi Pinfold</t>
        </is>
      </c>
      <c r="D46" s="14" t="inlineStr">
        <is>
          <t>L'Acchiappastorie – Albi illustrati</t>
        </is>
      </c>
      <c r="E46" s="14" t="inlineStr">
        <is>
          <t>albi illustrati (età indicativa)</t>
        </is>
      </c>
      <c r="F46" s="14" t="inlineStr">
        <is>
          <t>3-6 anni</t>
        </is>
      </c>
      <c r="G46" s="14" t="inlineStr">
        <is>
          <t>Albo illustrato</t>
        </is>
      </c>
      <c r="H46" s="14" t="inlineStr"/>
      <c r="I46" s="14" t="inlineStr">
        <is>
          <t>No</t>
        </is>
      </c>
      <c r="J46" s="14" t="inlineStr">
        <is>
          <t>Collana</t>
        </is>
      </c>
      <c r="K46" s="14" t="inlineStr">
        <is>
          <t>3-6 anni</t>
        </is>
      </c>
      <c r="L46" s="14" t="inlineStr">
        <is>
          <t>Catalogo Terre di Mezzo 1° semestre 2026, p. 35 (ISBN 9788861892767)</t>
        </is>
      </c>
      <c r="M46" s="16" t="n">
        <v>16</v>
      </c>
      <c r="N46" s="14" t="inlineStr">
        <is>
          <t>Catalogo Terre di Mezzo 1° semestre 2026</t>
        </is>
      </c>
      <c r="O46" s="16">
        <f>IF(ISNUMBER(M46),ROUND(M46*(1-Condizioni!$B$2),2),"")</f>
        <v/>
      </c>
      <c r="P46" s="17" t="inlineStr">
        <is>
          <t>No</t>
        </is>
      </c>
    </row>
    <row r="47">
      <c r="A47" s="14" t="inlineStr">
        <is>
          <t>Terre di Mezzo</t>
        </is>
      </c>
      <c r="B47" s="14" t="inlineStr">
        <is>
          <t>Canto per una casa ritrovata</t>
        </is>
      </c>
      <c r="C47" s="14" t="inlineStr">
        <is>
          <t>Sophie Blackall, traduzione di Chiara Carminati</t>
        </is>
      </c>
      <c r="D47" s="14" t="inlineStr">
        <is>
          <t>L'Acchiappastorie – Albi illustrati</t>
        </is>
      </c>
      <c r="E47" s="14" t="inlineStr">
        <is>
          <t>albi illustrati (età indicativa)</t>
        </is>
      </c>
      <c r="F47" s="14" t="inlineStr">
        <is>
          <t>3-6 anni</t>
        </is>
      </c>
      <c r="G47" s="14" t="inlineStr">
        <is>
          <t>Albo illustrato</t>
        </is>
      </c>
      <c r="H47" s="14" t="inlineStr"/>
      <c r="I47" s="14" t="inlineStr">
        <is>
          <t>No</t>
        </is>
      </c>
      <c r="J47" s="14" t="inlineStr">
        <is>
          <t>Collana</t>
        </is>
      </c>
      <c r="K47" s="14" t="inlineStr">
        <is>
          <t>3-6 anni</t>
        </is>
      </c>
      <c r="L47" s="14" t="inlineStr">
        <is>
          <t>Catalogo Terre di Mezzo 1° semestre 2026, p. 27 (ISBN 9791259961150)</t>
        </is>
      </c>
      <c r="M47" s="16" t="n">
        <v>16</v>
      </c>
      <c r="N47" s="14" t="inlineStr">
        <is>
          <t>Catalogo Terre di Mezzo 1° semestre 2026</t>
        </is>
      </c>
      <c r="O47" s="16">
        <f>IF(ISNUMBER(M47),ROUND(M47*(1-Condizioni!$B$2),2),"")</f>
        <v/>
      </c>
      <c r="P47" s="17" t="inlineStr">
        <is>
          <t>No</t>
        </is>
      </c>
    </row>
    <row r="48">
      <c r="A48" s="14" t="inlineStr">
        <is>
          <t>Terre di Mezzo</t>
        </is>
      </c>
      <c r="B48" s="14" t="inlineStr">
        <is>
          <t>Celeste e la gemella Blu</t>
        </is>
      </c>
      <c r="C48" s="14" t="inlineStr">
        <is>
          <t>Angelo Mozzillo, Deco</t>
        </is>
      </c>
      <c r="D48" s="14" t="inlineStr">
        <is>
          <t>L'Acchiappastorie – Albi illustrati</t>
        </is>
      </c>
      <c r="E48" s="14" t="inlineStr">
        <is>
          <t>albi illustrati (età indicativa)</t>
        </is>
      </c>
      <c r="F48" s="14" t="inlineStr">
        <is>
          <t>3-6 anni</t>
        </is>
      </c>
      <c r="G48" s="14" t="inlineStr">
        <is>
          <t>Albo illustrato</t>
        </is>
      </c>
      <c r="H48" s="14" t="inlineStr"/>
      <c r="I48" s="14" t="inlineStr">
        <is>
          <t>No</t>
        </is>
      </c>
      <c r="J48" s="14" t="inlineStr">
        <is>
          <t>Collana</t>
        </is>
      </c>
      <c r="K48" s="14" t="inlineStr">
        <is>
          <t>3-6 anni</t>
        </is>
      </c>
      <c r="L48" s="14" t="inlineStr">
        <is>
          <t>Catalogo Terre di Mezzo 1° semestre 2026, p. 26 (ISBN 9791259961907)</t>
        </is>
      </c>
      <c r="M48" s="16" t="n">
        <v>16</v>
      </c>
      <c r="N48" s="14" t="inlineStr">
        <is>
          <t>Catalogo Terre di Mezzo 1° semestre 2026</t>
        </is>
      </c>
      <c r="O48" s="16">
        <f>IF(ISNUMBER(M48),ROUND(M48*(1-Condizioni!$B$2),2),"")</f>
        <v/>
      </c>
      <c r="P48" s="17" t="inlineStr">
        <is>
          <t>Sì</t>
        </is>
      </c>
    </row>
    <row r="49">
      <c r="A49" s="14" t="inlineStr">
        <is>
          <t>Terre di Mezzo</t>
        </is>
      </c>
      <c r="B49" s="14" t="inlineStr">
        <is>
          <t>Chapeau!</t>
        </is>
      </c>
      <c r="C49" s="14" t="inlineStr">
        <is>
          <t>Marianna Coppo</t>
        </is>
      </c>
      <c r="D49" s="14" t="inlineStr">
        <is>
          <t>L'Acchiappastorie – Albi illustrati</t>
        </is>
      </c>
      <c r="E49" s="14" t="inlineStr">
        <is>
          <t>albi illustrati (età indicativa)</t>
        </is>
      </c>
      <c r="F49" s="14" t="inlineStr">
        <is>
          <t>3-6 anni</t>
        </is>
      </c>
      <c r="G49" s="14" t="inlineStr">
        <is>
          <t>Albo illustrato</t>
        </is>
      </c>
      <c r="H49" s="14" t="inlineStr"/>
      <c r="I49" s="14" t="inlineStr">
        <is>
          <t>No</t>
        </is>
      </c>
      <c r="J49" s="14" t="inlineStr">
        <is>
          <t>Collana</t>
        </is>
      </c>
      <c r="K49" s="14" t="inlineStr">
        <is>
          <t>3-6 anni</t>
        </is>
      </c>
      <c r="L49" s="14" t="inlineStr">
        <is>
          <t>Catalogo Terre di Mezzo 1° semestre 2026, p. 36 (ISBN 9788861893061)</t>
        </is>
      </c>
      <c r="M49" s="16" t="n">
        <v>15</v>
      </c>
      <c r="N49" s="14" t="inlineStr">
        <is>
          <t>Catalogo Terre di Mezzo 1° semestre 2026</t>
        </is>
      </c>
      <c r="O49" s="16">
        <f>IF(ISNUMBER(M49),ROUND(M49*(1-Condizioni!$B$2),2),"")</f>
        <v/>
      </c>
      <c r="P49" s="17" t="inlineStr">
        <is>
          <t>No</t>
        </is>
      </c>
    </row>
    <row r="50">
      <c r="A50" s="14" t="inlineStr">
        <is>
          <t>Terre di Mezzo</t>
        </is>
      </c>
      <c r="B50" s="14" t="inlineStr">
        <is>
          <t>Che cos’è il tempo?</t>
        </is>
      </c>
      <c r="C50" s="14" t="inlineStr">
        <is>
          <t>Julie Morstad</t>
        </is>
      </c>
      <c r="D50" s="14" t="inlineStr">
        <is>
          <t>L'Acchiappastorie – Albi illustrati</t>
        </is>
      </c>
      <c r="E50" s="14" t="inlineStr">
        <is>
          <t>albi illustrati (età indicativa)</t>
        </is>
      </c>
      <c r="F50" s="14" t="inlineStr">
        <is>
          <t>3-6 anni</t>
        </is>
      </c>
      <c r="G50" s="14" t="inlineStr">
        <is>
          <t>Albo illustrato</t>
        </is>
      </c>
      <c r="H50" s="14" t="inlineStr"/>
      <c r="I50" s="14" t="inlineStr">
        <is>
          <t>No</t>
        </is>
      </c>
      <c r="J50" s="14" t="inlineStr">
        <is>
          <t>Collana</t>
        </is>
      </c>
      <c r="K50" s="14" t="inlineStr">
        <is>
          <t>3-6 anni</t>
        </is>
      </c>
      <c r="L50" s="14" t="inlineStr">
        <is>
          <t>Catalogo Terre di Mezzo 1° semestre 2026, p. 22 (ISBN 9791259960931)</t>
        </is>
      </c>
      <c r="M50" s="16" t="n">
        <v>18</v>
      </c>
      <c r="N50" s="14" t="inlineStr">
        <is>
          <t>Catalogo Terre di Mezzo 1° semestre 2026</t>
        </is>
      </c>
      <c r="O50" s="16">
        <f>IF(ISNUMBER(M50),ROUND(M50*(1-Condizioni!$B$2),2),"")</f>
        <v/>
      </c>
      <c r="P50" s="17" t="inlineStr">
        <is>
          <t>No</t>
        </is>
      </c>
    </row>
    <row r="51">
      <c r="A51" s="14" t="inlineStr">
        <is>
          <t>Terre di Mezzo</t>
        </is>
      </c>
      <c r="B51" s="14" t="inlineStr">
        <is>
          <t>Che cos’è la scuola?</t>
        </is>
      </c>
      <c r="C51" s="14" t="inlineStr">
        <is>
          <t>Luca Tortolini, Marco Somà</t>
        </is>
      </c>
      <c r="D51" s="14" t="inlineStr">
        <is>
          <t>L'Acchiappastorie – Albi illustrati</t>
        </is>
      </c>
      <c r="E51" s="14" t="inlineStr">
        <is>
          <t>albi illustrati (età indicativa)</t>
        </is>
      </c>
      <c r="F51" s="14" t="inlineStr">
        <is>
          <t>3-6 anni</t>
        </is>
      </c>
      <c r="G51" s="14" t="inlineStr">
        <is>
          <t>Albo illustrato</t>
        </is>
      </c>
      <c r="H51" s="14" t="inlineStr"/>
      <c r="I51" s="14" t="inlineStr">
        <is>
          <t>No</t>
        </is>
      </c>
      <c r="J51" s="14" t="inlineStr">
        <is>
          <t>Collana</t>
        </is>
      </c>
      <c r="K51" s="14" t="inlineStr">
        <is>
          <t>3-6 anni</t>
        </is>
      </c>
      <c r="L51" s="14" t="inlineStr">
        <is>
          <t>Catalogo Terre di Mezzo 1° semestre 2026, p. 11 (ISBN 9788861896383)</t>
        </is>
      </c>
      <c r="M51" s="16" t="n">
        <v>16</v>
      </c>
      <c r="N51" s="14" t="inlineStr">
        <is>
          <t>Catalogo Terre di Mezzo 1° semestre 2026</t>
        </is>
      </c>
      <c r="O51" s="16">
        <f>IF(ISNUMBER(M51),ROUND(M51*(1-Condizioni!$B$2),2),"")</f>
        <v/>
      </c>
      <c r="P51" s="17" t="inlineStr">
        <is>
          <t>Sì</t>
        </is>
      </c>
    </row>
    <row r="52">
      <c r="A52" s="14" t="inlineStr">
        <is>
          <t>Terre di Mezzo</t>
        </is>
      </c>
      <c r="B52" s="14" t="inlineStr">
        <is>
          <t>Che cos’è l’amicizia?</t>
        </is>
      </c>
      <c r="C52" s="14" t="inlineStr">
        <is>
          <t>Luca Tortolini, Paolo Proietti</t>
        </is>
      </c>
      <c r="D52" s="14" t="inlineStr">
        <is>
          <t>L'Acchiappastorie – Albi illustrati</t>
        </is>
      </c>
      <c r="E52" s="14" t="inlineStr">
        <is>
          <t>albi illustrati (età indicativa)</t>
        </is>
      </c>
      <c r="F52" s="14" t="inlineStr">
        <is>
          <t>3-6 anni</t>
        </is>
      </c>
      <c r="G52" s="14" t="inlineStr">
        <is>
          <t>Albo illustrato</t>
        </is>
      </c>
      <c r="H52" s="14" t="inlineStr"/>
      <c r="I52" s="14" t="inlineStr">
        <is>
          <t>No</t>
        </is>
      </c>
      <c r="J52" s="14" t="inlineStr">
        <is>
          <t>Collana</t>
        </is>
      </c>
      <c r="K52" s="14" t="inlineStr">
        <is>
          <t>3-6 anni</t>
        </is>
      </c>
      <c r="L52" s="14" t="inlineStr">
        <is>
          <t>Catalogo Terre di Mezzo 1° semestre 2026, p. 11 (ISBN 9791259963987)</t>
        </is>
      </c>
      <c r="M52" s="16" t="n">
        <v>16</v>
      </c>
      <c r="N52" s="14" t="inlineStr">
        <is>
          <t>Catalogo Terre di Mezzo 1° semestre 2026</t>
        </is>
      </c>
      <c r="O52" s="16">
        <f>IF(ISNUMBER(M52),ROUND(M52*(1-Condizioni!$B$2),2),"")</f>
        <v/>
      </c>
      <c r="P52" s="17" t="inlineStr">
        <is>
          <t>Sì</t>
        </is>
      </c>
    </row>
    <row r="53">
      <c r="A53" s="14" t="inlineStr">
        <is>
          <t>Terre di Mezzo</t>
        </is>
      </c>
      <c r="B53" s="14" t="inlineStr">
        <is>
          <t>Che cos’è l’amore?</t>
        </is>
      </c>
      <c r="C53" s="14" t="inlineStr">
        <is>
          <t>Mac Barnett, Carson Ellis</t>
        </is>
      </c>
      <c r="D53" s="14" t="inlineStr">
        <is>
          <t>L'Acchiappastorie – Albi illustrati</t>
        </is>
      </c>
      <c r="E53" s="14" t="inlineStr">
        <is>
          <t>albi illustrati (età indicativa)</t>
        </is>
      </c>
      <c r="F53" s="14" t="inlineStr">
        <is>
          <t>3-6 anni</t>
        </is>
      </c>
      <c r="G53" s="14" t="inlineStr">
        <is>
          <t>Albo illustrato</t>
        </is>
      </c>
      <c r="H53" s="14" t="inlineStr"/>
      <c r="I53" s="14" t="inlineStr">
        <is>
          <t>No</t>
        </is>
      </c>
      <c r="J53" s="14" t="inlineStr">
        <is>
          <t>Collana</t>
        </is>
      </c>
      <c r="K53" s="14" t="inlineStr">
        <is>
          <t>3-6 anni</t>
        </is>
      </c>
      <c r="L53" s="14" t="inlineStr">
        <is>
          <t>Catalogo Terre di Mezzo 1° semestre 2026, p. 25 (ISBN 9788861897380)</t>
        </is>
      </c>
      <c r="M53" s="16" t="n">
        <v>16</v>
      </c>
      <c r="N53" s="14" t="inlineStr">
        <is>
          <t>Catalogo Terre di Mezzo 1° semestre 2026</t>
        </is>
      </c>
      <c r="O53" s="16">
        <f>IF(ISNUMBER(M53),ROUND(M53*(1-Condizioni!$B$2),2),"")</f>
        <v/>
      </c>
      <c r="P53" s="17" t="inlineStr">
        <is>
          <t>No</t>
        </is>
      </c>
    </row>
    <row r="54">
      <c r="A54" s="14" t="inlineStr">
        <is>
          <t>Terre di Mezzo</t>
        </is>
      </c>
      <c r="B54" s="14" t="inlineStr">
        <is>
          <t>Che fretta c’è?</t>
        </is>
      </c>
      <c r="C54" s="14" t="inlineStr">
        <is>
          <t>Yiting Lee</t>
        </is>
      </c>
      <c r="D54" s="14" t="inlineStr">
        <is>
          <t>L'Acchiappastorie – Albi illustrati</t>
        </is>
      </c>
      <c r="E54" s="14" t="inlineStr">
        <is>
          <t>albi illustrati (età indicativa)</t>
        </is>
      </c>
      <c r="F54" s="14" t="inlineStr">
        <is>
          <t>3-6 anni</t>
        </is>
      </c>
      <c r="G54" s="14" t="inlineStr">
        <is>
          <t>Albo illustrato</t>
        </is>
      </c>
      <c r="H54" s="14" t="inlineStr"/>
      <c r="I54" s="14" t="inlineStr">
        <is>
          <t>No</t>
        </is>
      </c>
      <c r="J54" s="14" t="inlineStr">
        <is>
          <t>Collana</t>
        </is>
      </c>
      <c r="K54" s="14" t="inlineStr">
        <is>
          <t>3-6 anni</t>
        </is>
      </c>
      <c r="L54" s="14" t="inlineStr">
        <is>
          <t>Catalogo Terre di Mezzo 1° semestre 2026, p. 23 (ISBN 9791259961433)</t>
        </is>
      </c>
      <c r="M54" s="16" t="n">
        <v>15</v>
      </c>
      <c r="N54" s="14" t="inlineStr">
        <is>
          <t>Catalogo Terre di Mezzo 1° semestre 2026</t>
        </is>
      </c>
      <c r="O54" s="16">
        <f>IF(ISNUMBER(M54),ROUND(M54*(1-Condizioni!$B$2),2),"")</f>
        <v/>
      </c>
      <c r="P54" s="17" t="inlineStr">
        <is>
          <t>No</t>
        </is>
      </c>
    </row>
    <row r="55">
      <c r="A55" s="14" t="inlineStr">
        <is>
          <t>Terre di Mezzo</t>
        </is>
      </c>
      <c r="B55" s="14" t="inlineStr">
        <is>
          <t>Che noia!</t>
        </is>
      </c>
      <c r="C55" s="14" t="inlineStr">
        <is>
          <t>Felicita Sala</t>
        </is>
      </c>
      <c r="D55" s="14" t="inlineStr">
        <is>
          <t>L'Acchiappastorie – Albi illustrati</t>
        </is>
      </c>
      <c r="E55" s="14" t="inlineStr">
        <is>
          <t>albi illustrati (età indicativa)</t>
        </is>
      </c>
      <c r="F55" s="14" t="inlineStr">
        <is>
          <t>3-6 anni</t>
        </is>
      </c>
      <c r="G55" s="14" t="inlineStr">
        <is>
          <t>Albo illustrato</t>
        </is>
      </c>
      <c r="H55" s="14" t="inlineStr"/>
      <c r="I55" s="14" t="inlineStr">
        <is>
          <t>No</t>
        </is>
      </c>
      <c r="J55" s="14" t="inlineStr">
        <is>
          <t>Collana</t>
        </is>
      </c>
      <c r="K55" s="14" t="inlineStr">
        <is>
          <t>3-6 anni</t>
        </is>
      </c>
      <c r="L55" s="14" t="inlineStr">
        <is>
          <t>Catalogo Terre di Mezzo 1° semestre 2026, p. 15 (ISBN 9791259964205)</t>
        </is>
      </c>
      <c r="M55" s="16" t="n">
        <v>16</v>
      </c>
      <c r="N55" s="14" t="inlineStr">
        <is>
          <t>Catalogo Terre di Mezzo 1° semestre 2026</t>
        </is>
      </c>
      <c r="O55" s="16">
        <f>IF(ISNUMBER(M55),ROUND(M55*(1-Condizioni!$B$2),2),"")</f>
        <v/>
      </c>
      <c r="P55" s="17" t="inlineStr">
        <is>
          <t>No</t>
        </is>
      </c>
    </row>
    <row r="56">
      <c r="A56" s="14" t="inlineStr">
        <is>
          <t>Terre di Mezzo</t>
        </is>
      </c>
      <c r="B56" s="14" t="inlineStr">
        <is>
          <t>Chi è che fa beee? grosso guaio in fattoria</t>
        </is>
      </c>
      <c r="C56" s="14" t="inlineStr">
        <is>
          <t>Matthew Diffee</t>
        </is>
      </c>
      <c r="D56" s="14" t="inlineStr">
        <is>
          <t>L'Acchiappastorie – Albi illustrati</t>
        </is>
      </c>
      <c r="E56" s="14" t="inlineStr">
        <is>
          <t>albi illustrati (età indicativa)</t>
        </is>
      </c>
      <c r="F56" s="14" t="inlineStr">
        <is>
          <t>3-6 anni</t>
        </is>
      </c>
      <c r="G56" s="14" t="inlineStr">
        <is>
          <t>Albo illustrato</t>
        </is>
      </c>
      <c r="H56" s="14" t="inlineStr"/>
      <c r="I56" s="14" t="inlineStr">
        <is>
          <t>No</t>
        </is>
      </c>
      <c r="J56" s="14" t="inlineStr">
        <is>
          <t>Collana</t>
        </is>
      </c>
      <c r="K56" s="14" t="inlineStr">
        <is>
          <t>3-6 anni</t>
        </is>
      </c>
      <c r="L56" s="14" t="inlineStr">
        <is>
          <t>Catalogo Terre di Mezzo 1° semestre 2026, p. 10 (ISBN 9791259964038)</t>
        </is>
      </c>
      <c r="M56" s="16" t="n">
        <v>16</v>
      </c>
      <c r="N56" s="14" t="inlineStr">
        <is>
          <t>Catalogo Terre di Mezzo 1° semestre 2026</t>
        </is>
      </c>
      <c r="O56" s="16">
        <f>IF(ISNUMBER(M56),ROUND(M56*(1-Condizioni!$B$2),2),"")</f>
        <v/>
      </c>
      <c r="P56" s="17" t="inlineStr">
        <is>
          <t>No</t>
        </is>
      </c>
    </row>
    <row r="57">
      <c r="A57" s="14" t="inlineStr">
        <is>
          <t>Terre di Mezzo</t>
        </is>
      </c>
      <c r="B57" s="14" t="inlineStr">
        <is>
          <t>Chiedimi Cosa mi piace</t>
        </is>
      </c>
      <c r="C57" s="14" t="inlineStr">
        <is>
          <t>Bernard Waber, Suzy Lee</t>
        </is>
      </c>
      <c r="D57" s="14" t="inlineStr">
        <is>
          <t>L'Acchiappastorie – Albi illustrati</t>
        </is>
      </c>
      <c r="E57" s="14" t="inlineStr">
        <is>
          <t>albi illustrati (età indicativa)</t>
        </is>
      </c>
      <c r="F57" s="14" t="inlineStr">
        <is>
          <t>3-6 anni</t>
        </is>
      </c>
      <c r="G57" s="14" t="inlineStr">
        <is>
          <t>Albo illustrato</t>
        </is>
      </c>
      <c r="H57" s="14" t="inlineStr"/>
      <c r="I57" s="14" t="inlineStr">
        <is>
          <t>No</t>
        </is>
      </c>
      <c r="J57" s="14" t="inlineStr">
        <is>
          <t>Collana</t>
        </is>
      </c>
      <c r="K57" s="14" t="inlineStr">
        <is>
          <t>3-6 anni</t>
        </is>
      </c>
      <c r="L57" s="14" t="inlineStr">
        <is>
          <t>Catalogo Terre di Mezzo 1° semestre 2026, p. 38 (ISBN 9788861894006)</t>
        </is>
      </c>
      <c r="M57" s="16" t="n">
        <v>15</v>
      </c>
      <c r="N57" s="14" t="inlineStr">
        <is>
          <t>Catalogo Terre di Mezzo 1° semestre 2026</t>
        </is>
      </c>
      <c r="O57" s="16">
        <f>IF(ISNUMBER(M57),ROUND(M57*(1-Condizioni!$B$2),2),"")</f>
        <v/>
      </c>
      <c r="P57" s="17" t="inlineStr">
        <is>
          <t>No</t>
        </is>
      </c>
    </row>
    <row r="58">
      <c r="A58" s="14" t="inlineStr">
        <is>
          <t>Terre di Mezzo</t>
        </is>
      </c>
      <c r="B58" s="14" t="inlineStr">
        <is>
          <t>Ci conosciamo?</t>
        </is>
      </c>
      <c r="C58" s="14" t="inlineStr">
        <is>
          <t>Tina Oziewicz, Aleksandra Zając</t>
        </is>
      </c>
      <c r="D58" s="14" t="inlineStr">
        <is>
          <t>L'Acchiappastorie – Albi illustrati</t>
        </is>
      </c>
      <c r="E58" s="14" t="inlineStr">
        <is>
          <t>albi illustrati (età indicativa)</t>
        </is>
      </c>
      <c r="F58" s="14" t="inlineStr">
        <is>
          <t>3-6 anni</t>
        </is>
      </c>
      <c r="G58" s="14" t="inlineStr">
        <is>
          <t>Albo illustrato</t>
        </is>
      </c>
      <c r="H58" s="14" t="inlineStr"/>
      <c r="I58" s="14" t="inlineStr">
        <is>
          <t>No</t>
        </is>
      </c>
      <c r="J58" s="14" t="inlineStr">
        <is>
          <t>Collana</t>
        </is>
      </c>
      <c r="K58" s="14" t="inlineStr">
        <is>
          <t>3-6 anni</t>
        </is>
      </c>
      <c r="L58" s="14" t="inlineStr">
        <is>
          <t>Catalogo Terre di Mezzo 1° semestre 2026, p. 19 (ISBN 9788861897021)</t>
        </is>
      </c>
      <c r="M58" s="16" t="n">
        <v>16</v>
      </c>
      <c r="N58" s="14" t="inlineStr">
        <is>
          <t>Catalogo Terre di Mezzo 1° semestre 2026</t>
        </is>
      </c>
      <c r="O58" s="16">
        <f>IF(ISNUMBER(M58),ROUND(M58*(1-Condizioni!$B$2),2),"")</f>
        <v/>
      </c>
      <c r="P58" s="17" t="inlineStr">
        <is>
          <t>No</t>
        </is>
      </c>
    </row>
    <row r="59">
      <c r="A59" s="14" t="inlineStr">
        <is>
          <t>Terre di Mezzo</t>
        </is>
      </c>
      <c r="B59" s="14" t="inlineStr">
        <is>
          <t>Ci vediamo fuori?</t>
        </is>
      </c>
      <c r="C59" s="14" t="inlineStr">
        <is>
          <t>Emma Lidia Squillari</t>
        </is>
      </c>
      <c r="D59" s="14" t="inlineStr">
        <is>
          <t>L'Acchiappastorie – Albi illustrati</t>
        </is>
      </c>
      <c r="E59" s="14" t="inlineStr">
        <is>
          <t>albi illustrati (età indicativa)</t>
        </is>
      </c>
      <c r="F59" s="14" t="inlineStr">
        <is>
          <t>3-6 anni</t>
        </is>
      </c>
      <c r="G59" s="14" t="inlineStr">
        <is>
          <t>Albo illustrato</t>
        </is>
      </c>
      <c r="H59" s="14" t="inlineStr"/>
      <c r="I59" s="14" t="inlineStr">
        <is>
          <t>No</t>
        </is>
      </c>
      <c r="J59" s="14" t="inlineStr">
        <is>
          <t>Collana</t>
        </is>
      </c>
      <c r="K59" s="14" t="inlineStr">
        <is>
          <t>3-6 anni</t>
        </is>
      </c>
      <c r="L59" s="14" t="inlineStr">
        <is>
          <t>Catalogo Terre di Mezzo 1° semestre 2026, p. 13 (ISBN 9788861896321)</t>
        </is>
      </c>
      <c r="M59" s="16" t="n">
        <v>15</v>
      </c>
      <c r="N59" s="14" t="inlineStr">
        <is>
          <t>Catalogo Terre di Mezzo 1° semestre 2026</t>
        </is>
      </c>
      <c r="O59" s="16">
        <f>IF(ISNUMBER(M59),ROUND(M59*(1-Condizioni!$B$2),2),"")</f>
        <v/>
      </c>
      <c r="P59" s="17" t="inlineStr">
        <is>
          <t>No</t>
        </is>
      </c>
    </row>
    <row r="60">
      <c r="A60" s="14" t="inlineStr">
        <is>
          <t>Terre di Mezzo</t>
        </is>
      </c>
      <c r="B60" s="14" t="inlineStr">
        <is>
          <t>Ciri e Cirirì. che spasso la pioggia!</t>
        </is>
      </c>
      <c r="C60" s="14" t="inlineStr">
        <is>
          <t>Kaya Doi</t>
        </is>
      </c>
      <c r="D60" s="14" t="inlineStr">
        <is>
          <t>L'Acchiappastorie – Albi illustrati</t>
        </is>
      </c>
      <c r="E60" s="14" t="inlineStr">
        <is>
          <t>albi illustrati (età indicativa)</t>
        </is>
      </c>
      <c r="F60" s="14" t="inlineStr">
        <is>
          <t>3-6 anni</t>
        </is>
      </c>
      <c r="G60" s="14" t="inlineStr">
        <is>
          <t>Albo illustrato</t>
        </is>
      </c>
      <c r="H60" s="14" t="inlineStr"/>
      <c r="I60" s="14" t="inlineStr">
        <is>
          <t>No</t>
        </is>
      </c>
      <c r="J60" s="14" t="inlineStr">
        <is>
          <t>Collana</t>
        </is>
      </c>
      <c r="K60" s="14" t="inlineStr">
        <is>
          <t>3-6 anni</t>
        </is>
      </c>
      <c r="L60" s="14" t="inlineStr">
        <is>
          <t>Catalogo Terre di Mezzo 1° semestre 2026, p. 30 (ISBN 9788861897717)</t>
        </is>
      </c>
      <c r="M60" s="16" t="n">
        <v>12.9</v>
      </c>
      <c r="N60" s="14" t="inlineStr">
        <is>
          <t>Catalogo Terre di Mezzo 1° semestre 2026</t>
        </is>
      </c>
      <c r="O60" s="16">
        <f>IF(ISNUMBER(M60),ROUND(M60*(1-Condizioni!$B$2),2),"")</f>
        <v/>
      </c>
      <c r="P60" s="17" t="inlineStr">
        <is>
          <t>No</t>
        </is>
      </c>
    </row>
    <row r="61">
      <c r="A61" s="14" t="inlineStr">
        <is>
          <t>Terre di Mezzo</t>
        </is>
      </c>
      <c r="B61" s="14" t="inlineStr">
        <is>
          <t>Come fa Babbo Natale a passare dal camino?</t>
        </is>
      </c>
      <c r="C61" s="14" t="inlineStr">
        <is>
          <t>Mac Barnett, Jon Klassen</t>
        </is>
      </c>
      <c r="D61" s="14" t="inlineStr">
        <is>
          <t>L'Acchiappastorie – Albi illustrati</t>
        </is>
      </c>
      <c r="E61" s="14" t="inlineStr">
        <is>
          <t>albi illustrati (età indicativa)</t>
        </is>
      </c>
      <c r="F61" s="14" t="inlineStr">
        <is>
          <t>3-6 anni</t>
        </is>
      </c>
      <c r="G61" s="14" t="inlineStr">
        <is>
          <t>Albo illustrato</t>
        </is>
      </c>
      <c r="H61" s="14" t="inlineStr"/>
      <c r="I61" s="14" t="inlineStr">
        <is>
          <t>No</t>
        </is>
      </c>
      <c r="J61" s="14" t="inlineStr">
        <is>
          <t>Collana</t>
        </is>
      </c>
      <c r="K61" s="14" t="inlineStr">
        <is>
          <t>3-6 anni</t>
        </is>
      </c>
      <c r="L61" s="14" t="inlineStr">
        <is>
          <t>Catalogo Terre di Mezzo 1° semestre 2026, p. 25 (ISBN 9791259961501)</t>
        </is>
      </c>
      <c r="M61" s="16" t="n">
        <v>16</v>
      </c>
      <c r="N61" s="14" t="inlineStr">
        <is>
          <t>Catalogo Terre di Mezzo 1° semestre 2026</t>
        </is>
      </c>
      <c r="O61" s="16">
        <f>IF(ISNUMBER(M61),ROUND(M61*(1-Condizioni!$B$2),2),"")</f>
        <v/>
      </c>
      <c r="P61" s="17" t="inlineStr">
        <is>
          <t>No</t>
        </is>
      </c>
    </row>
    <row r="62">
      <c r="A62" s="14" t="inlineStr">
        <is>
          <t>Terre di Mezzo</t>
        </is>
      </c>
      <c r="B62" s="14" t="inlineStr">
        <is>
          <t>Come si fanno le caramelle magiche</t>
        </is>
      </c>
      <c r="C62" s="14" t="inlineStr">
        <is>
          <t>Heena Baek</t>
        </is>
      </c>
      <c r="D62" s="14" t="inlineStr">
        <is>
          <t>L'Acchiappastorie – Albi illustrati</t>
        </is>
      </c>
      <c r="E62" s="14" t="inlineStr">
        <is>
          <t>albi illustrati (età indicativa)</t>
        </is>
      </c>
      <c r="F62" s="14" t="inlineStr">
        <is>
          <t>3-6 anni</t>
        </is>
      </c>
      <c r="G62" s="14" t="inlineStr">
        <is>
          <t>Albo illustrato</t>
        </is>
      </c>
      <c r="H62" s="14" t="inlineStr"/>
      <c r="I62" s="14" t="inlineStr">
        <is>
          <t>No</t>
        </is>
      </c>
      <c r="J62" s="14" t="inlineStr">
        <is>
          <t>Collana</t>
        </is>
      </c>
      <c r="K62" s="14" t="inlineStr">
        <is>
          <t>3-6 anni</t>
        </is>
      </c>
      <c r="L62" s="14" t="inlineStr">
        <is>
          <t>Catalogo Terre di Mezzo 1° semestre 2026, p. 20 (ISBN 9791259962966)</t>
        </is>
      </c>
      <c r="M62" s="16" t="n">
        <v>13.5</v>
      </c>
      <c r="N62" s="14" t="inlineStr">
        <is>
          <t>Catalogo Terre di Mezzo 1° semestre 2026</t>
        </is>
      </c>
      <c r="O62" s="16">
        <f>IF(ISNUMBER(M62),ROUND(M62*(1-Condizioni!$B$2),2),"")</f>
        <v/>
      </c>
      <c r="P62" s="17" t="inlineStr">
        <is>
          <t>No</t>
        </is>
      </c>
    </row>
    <row r="63">
      <c r="A63" s="14" t="inlineStr">
        <is>
          <t>Terre di Mezzo</t>
        </is>
      </c>
      <c r="B63" s="14" t="inlineStr">
        <is>
          <t>Compleanno al Polo nord</t>
        </is>
      </c>
      <c r="C63" s="14" t="inlineStr">
        <is>
          <t>Nora Brech</t>
        </is>
      </c>
      <c r="D63" s="14" t="inlineStr">
        <is>
          <t>L'Acchiappastorie – Albi illustrati</t>
        </is>
      </c>
      <c r="E63" s="14" t="inlineStr">
        <is>
          <t>albi illustrati (età indicativa)</t>
        </is>
      </c>
      <c r="F63" s="14" t="inlineStr">
        <is>
          <t>3-6 anni</t>
        </is>
      </c>
      <c r="G63" s="14" t="inlineStr">
        <is>
          <t>Albo illustrato</t>
        </is>
      </c>
      <c r="H63" s="14" t="inlineStr"/>
      <c r="I63" s="14" t="inlineStr">
        <is>
          <t>No</t>
        </is>
      </c>
      <c r="J63" s="14" t="inlineStr">
        <is>
          <t>Collana</t>
        </is>
      </c>
      <c r="K63" s="14" t="inlineStr">
        <is>
          <t>3-6 anni</t>
        </is>
      </c>
      <c r="L63" s="14" t="inlineStr">
        <is>
          <t>Catalogo Terre di Mezzo 1° semestre 2026, p. 29 (ISBN 9791259960658)</t>
        </is>
      </c>
      <c r="M63" s="16" t="n">
        <v>16</v>
      </c>
      <c r="N63" s="14" t="inlineStr">
        <is>
          <t>Catalogo Terre di Mezzo 1° semestre 2026</t>
        </is>
      </c>
      <c r="O63" s="16">
        <f>IF(ISNUMBER(M63),ROUND(M63*(1-Condizioni!$B$2),2),"")</f>
        <v/>
      </c>
      <c r="P63" s="17" t="inlineStr">
        <is>
          <t>No</t>
        </is>
      </c>
    </row>
    <row r="64">
      <c r="A64" s="14" t="inlineStr">
        <is>
          <t>Terre di Mezzo</t>
        </is>
      </c>
      <c r="B64" s="14" t="inlineStr">
        <is>
          <t>Coraggioso come un topo</t>
        </is>
      </c>
      <c r="C64" s="14" t="inlineStr">
        <is>
          <t>Nicolò Carozzi</t>
        </is>
      </c>
      <c r="D64" s="14" t="inlineStr">
        <is>
          <t>L'Acchiappastorie – Albi illustrati</t>
        </is>
      </c>
      <c r="E64" s="14" t="inlineStr">
        <is>
          <t>albi illustrati (età indicativa)</t>
        </is>
      </c>
      <c r="F64" s="14" t="inlineStr">
        <is>
          <t>3-6 anni</t>
        </is>
      </c>
      <c r="G64" s="14" t="inlineStr">
        <is>
          <t>Albo illustrato</t>
        </is>
      </c>
      <c r="H64" s="14" t="inlineStr"/>
      <c r="I64" s="14" t="inlineStr">
        <is>
          <t>No</t>
        </is>
      </c>
      <c r="J64" s="14" t="inlineStr">
        <is>
          <t>Collana</t>
        </is>
      </c>
      <c r="K64" s="14" t="inlineStr">
        <is>
          <t>3-6 anni</t>
        </is>
      </c>
      <c r="L64" s="14" t="inlineStr">
        <is>
          <t>Catalogo Terre di Mezzo 1° semestre 2026, p. 30 (ISBN 9791259960146)</t>
        </is>
      </c>
      <c r="M64" s="16" t="n">
        <v>15</v>
      </c>
      <c r="N64" s="14" t="inlineStr">
        <is>
          <t>Catalogo Terre di Mezzo 1° semestre 2026</t>
        </is>
      </c>
      <c r="O64" s="16">
        <f>IF(ISNUMBER(M64),ROUND(M64*(1-Condizioni!$B$2),2),"")</f>
        <v/>
      </c>
      <c r="P64" s="17" t="inlineStr">
        <is>
          <t>No</t>
        </is>
      </c>
    </row>
    <row r="65">
      <c r="A65" s="14" t="inlineStr">
        <is>
          <t>Terre di Mezzo</t>
        </is>
      </c>
      <c r="B65" s="14" t="inlineStr">
        <is>
          <t>Corrado Rospigliosi e l’abbraccio perfetto</t>
        </is>
      </c>
      <c r="C65" s="14" t="inlineStr">
        <is>
          <t>Oren Lavie, Anke Kuhl</t>
        </is>
      </c>
      <c r="D65" s="14" t="inlineStr">
        <is>
          <t>L'Acchiappastorie – Albi illustrati</t>
        </is>
      </c>
      <c r="E65" s="14" t="inlineStr">
        <is>
          <t>albi illustrati (età indicativa)</t>
        </is>
      </c>
      <c r="F65" s="14" t="inlineStr">
        <is>
          <t>3-6 anni</t>
        </is>
      </c>
      <c r="G65" s="14" t="inlineStr">
        <is>
          <t>Albo illustrato</t>
        </is>
      </c>
      <c r="H65" s="14" t="inlineStr"/>
      <c r="I65" s="14" t="inlineStr">
        <is>
          <t>No</t>
        </is>
      </c>
      <c r="J65" s="14" t="inlineStr">
        <is>
          <t>Collana</t>
        </is>
      </c>
      <c r="K65" s="14" t="inlineStr">
        <is>
          <t>3-6 anni</t>
        </is>
      </c>
      <c r="L65" s="14" t="inlineStr">
        <is>
          <t>Catalogo Terre di Mezzo 1° semestre 2026, p. 28 (ISBN 9791259962072)</t>
        </is>
      </c>
      <c r="M65" s="16" t="n">
        <v>16</v>
      </c>
      <c r="N65" s="14" t="inlineStr">
        <is>
          <t>Catalogo Terre di Mezzo 1° semestre 2026</t>
        </is>
      </c>
      <c r="O65" s="16">
        <f>IF(ISNUMBER(M65),ROUND(M65*(1-Condizioni!$B$2),2),"")</f>
        <v/>
      </c>
      <c r="P65" s="17" t="inlineStr">
        <is>
          <t>No</t>
        </is>
      </c>
    </row>
    <row r="66">
      <c r="A66" s="14" t="inlineStr">
        <is>
          <t>Terre di Mezzo</t>
        </is>
      </c>
      <c r="B66" s="14" t="inlineStr">
        <is>
          <t>Cosa c’è nella scatola?</t>
        </is>
      </c>
      <c r="C66" s="14" t="inlineStr">
        <is>
          <t>Alberto Lot</t>
        </is>
      </c>
      <c r="D66" s="14" t="inlineStr">
        <is>
          <t>L'Acchiappastorie – Albi illustrati</t>
        </is>
      </c>
      <c r="E66" s="14" t="inlineStr">
        <is>
          <t>albi illustrati (età indicativa)</t>
        </is>
      </c>
      <c r="F66" s="14" t="inlineStr">
        <is>
          <t>3-6 anni</t>
        </is>
      </c>
      <c r="G66" s="14" t="inlineStr">
        <is>
          <t>Albo illustrato</t>
        </is>
      </c>
      <c r="H66" s="14" t="inlineStr"/>
      <c r="I66" s="14" t="inlineStr">
        <is>
          <t>No</t>
        </is>
      </c>
      <c r="J66" s="14" t="inlineStr">
        <is>
          <t>Collana</t>
        </is>
      </c>
      <c r="K66" s="14" t="inlineStr">
        <is>
          <t>3-6 anni</t>
        </is>
      </c>
      <c r="L66" s="14" t="inlineStr">
        <is>
          <t>Catalogo Terre di Mezzo 1° semestre 2026, p. 22 (ISBN 9791259962621)</t>
        </is>
      </c>
      <c r="M66" s="16" t="n">
        <v>16</v>
      </c>
      <c r="N66" s="14" t="inlineStr">
        <is>
          <t>Catalogo Terre di Mezzo 1° semestre 2026</t>
        </is>
      </c>
      <c r="O66" s="16">
        <f>IF(ISNUMBER(M66),ROUND(M66*(1-Condizioni!$B$2),2),"")</f>
        <v/>
      </c>
      <c r="P66" s="17" t="inlineStr">
        <is>
          <t>No</t>
        </is>
      </c>
    </row>
    <row r="67">
      <c r="A67" s="14" t="inlineStr">
        <is>
          <t>Terre di Mezzo</t>
        </is>
      </c>
      <c r="B67" s="14" t="inlineStr">
        <is>
          <t>Cosa c’è nella tua valigia?</t>
        </is>
      </c>
      <c r="C67" s="14" t="inlineStr">
        <is>
          <t>Chris Naylor-Ballesteros</t>
        </is>
      </c>
      <c r="D67" s="14" t="inlineStr">
        <is>
          <t>L'Acchiappastorie – Albi illustrati</t>
        </is>
      </c>
      <c r="E67" s="14" t="inlineStr">
        <is>
          <t>albi illustrati (età indicativa)</t>
        </is>
      </c>
      <c r="F67" s="14" t="inlineStr">
        <is>
          <t>3-6 anni</t>
        </is>
      </c>
      <c r="G67" s="14" t="inlineStr">
        <is>
          <t>Albo illustrato</t>
        </is>
      </c>
      <c r="H67" s="14" t="inlineStr"/>
      <c r="I67" s="14" t="inlineStr">
        <is>
          <t>No</t>
        </is>
      </c>
      <c r="J67" s="14" t="inlineStr">
        <is>
          <t>Collana</t>
        </is>
      </c>
      <c r="K67" s="14" t="inlineStr">
        <is>
          <t>3-6 anni</t>
        </is>
      </c>
      <c r="L67" s="14" t="inlineStr">
        <is>
          <t>Catalogo Terre di Mezzo 1° semestre 2026, p. 23 (ISBN 9788861895560)</t>
        </is>
      </c>
      <c r="M67" s="16" t="n">
        <v>15</v>
      </c>
      <c r="N67" s="14" t="inlineStr">
        <is>
          <t>Catalogo Terre di Mezzo 1° semestre 2026</t>
        </is>
      </c>
      <c r="O67" s="16">
        <f>IF(ISNUMBER(M67),ROUND(M67*(1-Condizioni!$B$2),2),"")</f>
        <v/>
      </c>
      <c r="P67" s="17" t="inlineStr">
        <is>
          <t>No</t>
        </is>
      </c>
    </row>
    <row r="68">
      <c r="A68" s="14" t="inlineStr">
        <is>
          <t>Terre di Mezzo</t>
        </is>
      </c>
      <c r="B68" s="14" t="inlineStr">
        <is>
          <t>Cosa fanno i sentimenti di notte?</t>
        </is>
      </c>
      <c r="C68" s="14" t="inlineStr">
        <is>
          <t>Tina Oziewicz, Aleksandra Zając</t>
        </is>
      </c>
      <c r="D68" s="14" t="inlineStr">
        <is>
          <t>L'Acchiappastorie – Albi illustrati</t>
        </is>
      </c>
      <c r="E68" s="14" t="inlineStr">
        <is>
          <t>albi illustrati (età indicativa)</t>
        </is>
      </c>
      <c r="F68" s="14" t="inlineStr">
        <is>
          <t>3-6 anni</t>
        </is>
      </c>
      <c r="G68" s="14" t="inlineStr">
        <is>
          <t>Albo illustrato</t>
        </is>
      </c>
      <c r="H68" s="14" t="inlineStr"/>
      <c r="I68" s="14" t="inlineStr">
        <is>
          <t>No</t>
        </is>
      </c>
      <c r="J68" s="14" t="inlineStr">
        <is>
          <t>Collana</t>
        </is>
      </c>
      <c r="K68" s="14" t="inlineStr">
        <is>
          <t>3-6 anni</t>
        </is>
      </c>
      <c r="L68" s="14" t="inlineStr">
        <is>
          <t>Catalogo Terre di Mezzo 1° semestre 2026, p. 19 (ISBN 9791259962317)</t>
        </is>
      </c>
      <c r="M68" s="16" t="n">
        <v>16</v>
      </c>
      <c r="N68" s="14" t="inlineStr">
        <is>
          <t>Catalogo Terre di Mezzo 1° semestre 2026</t>
        </is>
      </c>
      <c r="O68" s="16">
        <f>IF(ISNUMBER(M68),ROUND(M68*(1-Condizioni!$B$2),2),"")</f>
        <v/>
      </c>
      <c r="P68" s="17" t="inlineStr">
        <is>
          <t>Sì</t>
        </is>
      </c>
    </row>
    <row r="69">
      <c r="A69" s="14" t="inlineStr">
        <is>
          <t>Terre di Mezzo</t>
        </is>
      </c>
      <c r="B69" s="14" t="inlineStr">
        <is>
          <t>C’è posta per Volpe</t>
        </is>
      </c>
      <c r="C69" s="14" t="inlineStr">
        <is>
          <t>Alex G. Griffiths</t>
        </is>
      </c>
      <c r="D69" s="14" t="inlineStr">
        <is>
          <t>L'Acchiappastorie – Albi illustrati</t>
        </is>
      </c>
      <c r="E69" s="14" t="inlineStr">
        <is>
          <t>albi illustrati (età indicativa)</t>
        </is>
      </c>
      <c r="F69" s="14" t="inlineStr">
        <is>
          <t>3-6 anni</t>
        </is>
      </c>
      <c r="G69" s="14" t="inlineStr">
        <is>
          <t>Albo illustrato</t>
        </is>
      </c>
      <c r="H69" s="14" t="inlineStr"/>
      <c r="I69" s="14" t="inlineStr">
        <is>
          <t>No</t>
        </is>
      </c>
      <c r="J69" s="14" t="inlineStr">
        <is>
          <t>Collana</t>
        </is>
      </c>
      <c r="K69" s="14" t="inlineStr">
        <is>
          <t>3-6 anni</t>
        </is>
      </c>
      <c r="L69" s="14" t="inlineStr">
        <is>
          <t>Catalogo Terre di Mezzo 1° semestre 2026, p. 12 (ISBN 9791259964045)</t>
        </is>
      </c>
      <c r="M69" s="16" t="n">
        <v>16</v>
      </c>
      <c r="N69" s="14" t="inlineStr">
        <is>
          <t>Catalogo Terre di Mezzo 1° semestre 2026</t>
        </is>
      </c>
      <c r="O69" s="16">
        <f>IF(ISNUMBER(M69),ROUND(M69*(1-Condizioni!$B$2),2),"")</f>
        <v/>
      </c>
      <c r="P69" s="17" t="inlineStr">
        <is>
          <t>Sì</t>
        </is>
      </c>
    </row>
    <row r="70">
      <c r="A70" s="14" t="inlineStr">
        <is>
          <t>Terre di Mezzo</t>
        </is>
      </c>
      <c r="B70" s="14" t="inlineStr">
        <is>
          <t>C’è un mostro nel lago?</t>
        </is>
      </c>
      <c r="C70" s="14" t="inlineStr">
        <is>
          <t>Leo Timmers</t>
        </is>
      </c>
      <c r="D70" s="14" t="inlineStr">
        <is>
          <t>L'Acchiappastorie – Albi illustrati</t>
        </is>
      </c>
      <c r="E70" s="14" t="inlineStr">
        <is>
          <t>albi illustrati (età indicativa)</t>
        </is>
      </c>
      <c r="F70" s="14" t="inlineStr">
        <is>
          <t>3-6 anni</t>
        </is>
      </c>
      <c r="G70" s="14" t="inlineStr">
        <is>
          <t>Albo illustrato</t>
        </is>
      </c>
      <c r="H70" s="14" t="inlineStr"/>
      <c r="I70" s="14" t="inlineStr">
        <is>
          <t>No</t>
        </is>
      </c>
      <c r="J70" s="14" t="inlineStr">
        <is>
          <t>Collana</t>
        </is>
      </c>
      <c r="K70" s="14" t="inlineStr">
        <is>
          <t>3-6 anni</t>
        </is>
      </c>
      <c r="L70" s="14" t="inlineStr">
        <is>
          <t>Catalogo Terre di Mezzo 1° semestre 2026, p. 24 (ISBN 9791259961556)</t>
        </is>
      </c>
      <c r="M70" s="16" t="n">
        <v>16</v>
      </c>
      <c r="N70" s="14" t="inlineStr">
        <is>
          <t>Catalogo Terre di Mezzo 1° semestre 2026</t>
        </is>
      </c>
      <c r="O70" s="16">
        <f>IF(ISNUMBER(M70),ROUND(M70*(1-Condizioni!$B$2),2),"")</f>
        <v/>
      </c>
      <c r="P70" s="17" t="inlineStr">
        <is>
          <t>No</t>
        </is>
      </c>
    </row>
    <row r="71">
      <c r="A71" s="14" t="inlineStr">
        <is>
          <t>Terre di Mezzo</t>
        </is>
      </c>
      <c r="B71" s="14" t="inlineStr">
        <is>
          <t>Dall’altra parte del mare</t>
        </is>
      </c>
      <c r="C71" s="14" t="inlineStr">
        <is>
          <t>Yukiko Noritake</t>
        </is>
      </c>
      <c r="D71" s="14" t="inlineStr">
        <is>
          <t>L'Acchiappastorie – Albi illustrati</t>
        </is>
      </c>
      <c r="E71" s="14" t="inlineStr">
        <is>
          <t>albi illustrati (età indicativa)</t>
        </is>
      </c>
      <c r="F71" s="14" t="inlineStr">
        <is>
          <t>3-6 anni</t>
        </is>
      </c>
      <c r="G71" s="14" t="inlineStr">
        <is>
          <t>Albo illustrato</t>
        </is>
      </c>
      <c r="H71" s="14" t="inlineStr"/>
      <c r="I71" s="14" t="inlineStr">
        <is>
          <t>No</t>
        </is>
      </c>
      <c r="J71" s="14" t="inlineStr">
        <is>
          <t>Collana</t>
        </is>
      </c>
      <c r="K71" s="14" t="inlineStr">
        <is>
          <t>3-6 anni</t>
        </is>
      </c>
      <c r="L71" s="14" t="inlineStr">
        <is>
          <t>Catalogo Terre di Mezzo 1° semestre 2026, p. 28 (ISBN 9791259961426)</t>
        </is>
      </c>
      <c r="M71" s="16" t="n">
        <v>16</v>
      </c>
      <c r="N71" s="14" t="inlineStr">
        <is>
          <t>Catalogo Terre di Mezzo 1° semestre 2026</t>
        </is>
      </c>
      <c r="O71" s="16">
        <f>IF(ISNUMBER(M71),ROUND(M71*(1-Condizioni!$B$2),2),"")</f>
        <v/>
      </c>
      <c r="P71" s="17" t="inlineStr">
        <is>
          <t>Sì</t>
        </is>
      </c>
    </row>
    <row r="72">
      <c r="A72" s="14" t="inlineStr">
        <is>
          <t>Terre di Mezzo</t>
        </is>
      </c>
      <c r="B72" s="14" t="inlineStr">
        <is>
          <t>Dentro me cosa c’è?</t>
        </is>
      </c>
      <c r="C72" s="14" t="inlineStr">
        <is>
          <t>Daniela Carucci, Giulia Pastorino</t>
        </is>
      </c>
      <c r="D72" s="14" t="inlineStr">
        <is>
          <t>L'Acchiappastorie – Albi illustrati</t>
        </is>
      </c>
      <c r="E72" s="14" t="inlineStr">
        <is>
          <t>albi illustrati (età indicativa)</t>
        </is>
      </c>
      <c r="F72" s="14" t="inlineStr">
        <is>
          <t>3-6 anni</t>
        </is>
      </c>
      <c r="G72" s="14" t="inlineStr">
        <is>
          <t>Albo illustrato</t>
        </is>
      </c>
      <c r="H72" s="14" t="inlineStr"/>
      <c r="I72" s="14" t="inlineStr">
        <is>
          <t>No</t>
        </is>
      </c>
      <c r="J72" s="14" t="inlineStr">
        <is>
          <t>Collana</t>
        </is>
      </c>
      <c r="K72" s="14" t="inlineStr">
        <is>
          <t>3-6 anni</t>
        </is>
      </c>
      <c r="L72" s="14" t="inlineStr">
        <is>
          <t>Catalogo Terre di Mezzo 1° semestre 2026, p. 27 (ISBN 9788861897861)</t>
        </is>
      </c>
      <c r="M72" s="16" t="n">
        <v>15</v>
      </c>
      <c r="N72" s="14" t="inlineStr">
        <is>
          <t>Catalogo Terre di Mezzo 1° semestre 2026</t>
        </is>
      </c>
      <c r="O72" s="16">
        <f>IF(ISNUMBER(M72),ROUND(M72*(1-Condizioni!$B$2),2),"")</f>
        <v/>
      </c>
      <c r="P72" s="17" t="inlineStr">
        <is>
          <t>No</t>
        </is>
      </c>
    </row>
    <row r="73">
      <c r="A73" s="14" t="inlineStr">
        <is>
          <t>Terre di Mezzo</t>
        </is>
      </c>
      <c r="B73" s="14" t="inlineStr">
        <is>
          <t>Di quante persone abbiamo bisogno?</t>
        </is>
      </c>
      <c r="C73" s="14" t="inlineStr">
        <is>
          <t>Anna Font</t>
        </is>
      </c>
      <c r="D73" s="14" t="inlineStr">
        <is>
          <t>L'Acchiappastorie – Albi illustrati</t>
        </is>
      </c>
      <c r="E73" s="14" t="inlineStr">
        <is>
          <t>albi illustrati (età indicativa)</t>
        </is>
      </c>
      <c r="F73" s="14" t="inlineStr">
        <is>
          <t>3-6 anni</t>
        </is>
      </c>
      <c r="G73" s="14" t="inlineStr">
        <is>
          <t>Albo illustrato</t>
        </is>
      </c>
      <c r="H73" s="14" t="inlineStr"/>
      <c r="I73" s="14" t="inlineStr">
        <is>
          <t>No</t>
        </is>
      </c>
      <c r="J73" s="14" t="inlineStr">
        <is>
          <t>Collana</t>
        </is>
      </c>
      <c r="K73" s="14" t="inlineStr">
        <is>
          <t>3-6 anni</t>
        </is>
      </c>
      <c r="L73" s="14" t="inlineStr">
        <is>
          <t>Catalogo Terre di Mezzo 1° semestre 2026, p. 10 (ISBN 9791259963970)</t>
        </is>
      </c>
      <c r="M73" s="16" t="n">
        <v>16</v>
      </c>
      <c r="N73" s="14" t="inlineStr">
        <is>
          <t>Catalogo Terre di Mezzo 1° semestre 2026</t>
        </is>
      </c>
      <c r="O73" s="16">
        <f>IF(ISNUMBER(M73),ROUND(M73*(1-Condizioni!$B$2),2),"")</f>
        <v/>
      </c>
      <c r="P73" s="17" t="inlineStr">
        <is>
          <t>Sì</t>
        </is>
      </c>
    </row>
    <row r="74">
      <c r="A74" s="14" t="inlineStr">
        <is>
          <t>Terre di Mezzo</t>
        </is>
      </c>
      <c r="B74" s="14" t="inlineStr">
        <is>
          <t>Dieci piccoli scoiattoli</t>
        </is>
      </c>
      <c r="C74" s="14" t="inlineStr">
        <is>
          <t>Kael Tudor, Marc Boutavant</t>
        </is>
      </c>
      <c r="D74" s="14" t="inlineStr">
        <is>
          <t>L'Acchiappastorie – Albi illustrati</t>
        </is>
      </c>
      <c r="E74" s="14" t="inlineStr">
        <is>
          <t>albi illustrati (età indicativa)</t>
        </is>
      </c>
      <c r="F74" s="14" t="inlineStr">
        <is>
          <t>3-6 anni</t>
        </is>
      </c>
      <c r="G74" s="14" t="inlineStr">
        <is>
          <t>Albo illustrato</t>
        </is>
      </c>
      <c r="H74" s="14" t="inlineStr"/>
      <c r="I74" s="14" t="inlineStr">
        <is>
          <t>No</t>
        </is>
      </c>
      <c r="J74" s="14" t="inlineStr">
        <is>
          <t>Collana</t>
        </is>
      </c>
      <c r="K74" s="14" t="inlineStr">
        <is>
          <t>3-6 anni</t>
        </is>
      </c>
      <c r="L74" s="14" t="inlineStr">
        <is>
          <t>Catalogo Terre di Mezzo 1° semestre 2026, p. 9 (ISBN 9791259964328)</t>
        </is>
      </c>
      <c r="M74" s="16" t="n">
        <v>16</v>
      </c>
      <c r="N74" s="14" t="inlineStr">
        <is>
          <t>Catalogo Terre di Mezzo 1° semestre 2026</t>
        </is>
      </c>
      <c r="O74" s="16">
        <f>IF(ISNUMBER(M74),ROUND(M74*(1-Condizioni!$B$2),2),"")</f>
        <v/>
      </c>
      <c r="P74" s="17" t="inlineStr">
        <is>
          <t>No</t>
        </is>
      </c>
    </row>
    <row r="75">
      <c r="A75" s="14" t="inlineStr">
        <is>
          <t>Terre di Mezzo</t>
        </is>
      </c>
      <c r="B75" s="14" t="inlineStr">
        <is>
          <t>Diletta, topolina architetta</t>
        </is>
      </c>
      <c r="C75" s="14" t="inlineStr">
        <is>
          <t>George Mendoza, Doris Susan Smith</t>
        </is>
      </c>
      <c r="D75" s="14" t="inlineStr">
        <is>
          <t>L'Acchiappastorie – Albi illustrati</t>
        </is>
      </c>
      <c r="E75" s="14" t="inlineStr">
        <is>
          <t>albi illustrati (età indicativa)</t>
        </is>
      </c>
      <c r="F75" s="14" t="inlineStr">
        <is>
          <t>3-6 anni</t>
        </is>
      </c>
      <c r="G75" s="14" t="inlineStr">
        <is>
          <t>Albo illustrato</t>
        </is>
      </c>
      <c r="H75" s="14" t="inlineStr"/>
      <c r="I75" s="14" t="inlineStr">
        <is>
          <t>No</t>
        </is>
      </c>
      <c r="J75" s="14" t="inlineStr">
        <is>
          <t>Collana</t>
        </is>
      </c>
      <c r="K75" s="14" t="inlineStr">
        <is>
          <t>3-6 anni</t>
        </is>
      </c>
      <c r="L75" s="14" t="inlineStr">
        <is>
          <t>Catalogo Terre di Mezzo 1° semestre 2026, p. 29 (ISBN 9791259961044)</t>
        </is>
      </c>
      <c r="M75" s="16" t="n">
        <v>16</v>
      </c>
      <c r="N75" s="14" t="inlineStr">
        <is>
          <t>Catalogo Terre di Mezzo 1° semestre 2026</t>
        </is>
      </c>
      <c r="O75" s="16">
        <f>IF(ISNUMBER(M75),ROUND(M75*(1-Condizioni!$B$2),2),"")</f>
        <v/>
      </c>
      <c r="P75" s="17" t="inlineStr">
        <is>
          <t>No</t>
        </is>
      </c>
    </row>
    <row r="76">
      <c r="A76" s="14" t="inlineStr">
        <is>
          <t>Terre di Mezzo</t>
        </is>
      </c>
      <c r="B76" s="14" t="inlineStr">
        <is>
          <t>Dinosauri a colazione</t>
        </is>
      </c>
      <c r="C76" s="14" t="inlineStr">
        <is>
          <t>Sean Taylor, Zehra Hicks</t>
        </is>
      </c>
      <c r="D76" s="14" t="inlineStr">
        <is>
          <t>L'Acchiappastorie – Albi illustrati</t>
        </is>
      </c>
      <c r="E76" s="14" t="inlineStr">
        <is>
          <t>albi illustrati (età indicativa)</t>
        </is>
      </c>
      <c r="F76" s="14" t="inlineStr">
        <is>
          <t>3-6 anni</t>
        </is>
      </c>
      <c r="G76" s="14" t="inlineStr">
        <is>
          <t>Albo illustrato</t>
        </is>
      </c>
      <c r="H76" s="14" t="inlineStr"/>
      <c r="I76" s="14" t="inlineStr">
        <is>
          <t>No</t>
        </is>
      </c>
      <c r="J76" s="14" t="inlineStr">
        <is>
          <t>Collana</t>
        </is>
      </c>
      <c r="K76" s="14" t="inlineStr">
        <is>
          <t>3-6 anni</t>
        </is>
      </c>
      <c r="L76" s="14" t="inlineStr">
        <is>
          <t>Catalogo Terre di Mezzo 1° semestre 2026, p. 21 (ISBN 9791259962867)</t>
        </is>
      </c>
      <c r="M76" s="16" t="n">
        <v>16</v>
      </c>
      <c r="N76" s="14" t="inlineStr">
        <is>
          <t>Catalogo Terre di Mezzo 1° semestre 2026</t>
        </is>
      </c>
      <c r="O76" s="16">
        <f>IF(ISNUMBER(M76),ROUND(M76*(1-Condizioni!$B$2),2),"")</f>
        <v/>
      </c>
      <c r="P76" s="17" t="inlineStr">
        <is>
          <t>No</t>
        </is>
      </c>
    </row>
    <row r="77">
      <c r="A77" s="14" t="inlineStr">
        <is>
          <t>Terre di Mezzo</t>
        </is>
      </c>
      <c r="B77" s="14" t="inlineStr">
        <is>
          <t>Domani inventerò</t>
        </is>
      </c>
      <c r="C77" s="14" t="inlineStr">
        <is>
          <t>Agnès de Lestrade, Valeria Docampo</t>
        </is>
      </c>
      <c r="D77" s="14" t="inlineStr">
        <is>
          <t>L'Acchiappastorie – Albi illustrati</t>
        </is>
      </c>
      <c r="E77" s="14" t="inlineStr">
        <is>
          <t>albi illustrati (età indicativa)</t>
        </is>
      </c>
      <c r="F77" s="14" t="inlineStr">
        <is>
          <t>3-6 anni</t>
        </is>
      </c>
      <c r="G77" s="14" t="inlineStr">
        <is>
          <t>Albo illustrato</t>
        </is>
      </c>
      <c r="H77" s="14" t="inlineStr"/>
      <c r="I77" s="14" t="inlineStr">
        <is>
          <t>No</t>
        </is>
      </c>
      <c r="J77" s="14" t="inlineStr">
        <is>
          <t>Collana</t>
        </is>
      </c>
      <c r="K77" s="14" t="inlineStr">
        <is>
          <t>3-6 anni</t>
        </is>
      </c>
      <c r="L77" s="14" t="inlineStr">
        <is>
          <t>Catalogo Terre di Mezzo 1° semestre 2026, p. 34 (ISBN 9788861893115)</t>
        </is>
      </c>
      <c r="M77" s="16" t="n">
        <v>18</v>
      </c>
      <c r="N77" s="14" t="inlineStr">
        <is>
          <t>Catalogo Terre di Mezzo 1° semestre 2026</t>
        </is>
      </c>
      <c r="O77" s="16">
        <f>IF(ISNUMBER(M77),ROUND(M77*(1-Condizioni!$B$2),2),"")</f>
        <v/>
      </c>
      <c r="P77" s="17" t="inlineStr">
        <is>
          <t>No</t>
        </is>
      </c>
    </row>
    <row r="78">
      <c r="A78" s="14" t="inlineStr">
        <is>
          <t>Terre di Mezzo</t>
        </is>
      </c>
      <c r="B78" s="14" t="inlineStr">
        <is>
          <t>Dove sono i miei occhiali?</t>
        </is>
      </c>
      <c r="C78" s="14" t="inlineStr">
        <is>
          <t>Leo Timmers</t>
        </is>
      </c>
      <c r="D78" s="14" t="inlineStr">
        <is>
          <t>L'Acchiappastorie – Albi illustrati</t>
        </is>
      </c>
      <c r="E78" s="14" t="inlineStr">
        <is>
          <t>albi illustrati (età indicativa)</t>
        </is>
      </c>
      <c r="F78" s="14" t="inlineStr">
        <is>
          <t>3-6 anni</t>
        </is>
      </c>
      <c r="G78" s="14" t="inlineStr">
        <is>
          <t>Albo illustrato</t>
        </is>
      </c>
      <c r="H78" s="14" t="inlineStr"/>
      <c r="I78" s="14" t="inlineStr">
        <is>
          <t>No</t>
        </is>
      </c>
      <c r="J78" s="14" t="inlineStr">
        <is>
          <t>Collana</t>
        </is>
      </c>
      <c r="K78" s="14" t="inlineStr">
        <is>
          <t>3-6 anni</t>
        </is>
      </c>
      <c r="L78" s="14" t="inlineStr">
        <is>
          <t>Catalogo Terre di Mezzo 1° semestre 2026, p. 24 (ISBN 9791259962454)</t>
        </is>
      </c>
      <c r="M78" s="16" t="n">
        <v>16</v>
      </c>
      <c r="N78" s="14" t="inlineStr">
        <is>
          <t>Catalogo Terre di Mezzo 1° semestre 2026</t>
        </is>
      </c>
      <c r="O78" s="16">
        <f>IF(ISNUMBER(M78),ROUND(M78*(1-Condizioni!$B$2),2),"")</f>
        <v/>
      </c>
      <c r="P78" s="17" t="inlineStr">
        <is>
          <t>No</t>
        </is>
      </c>
    </row>
    <row r="79">
      <c r="A79" s="14" t="inlineStr">
        <is>
          <t>Terre di Mezzo</t>
        </is>
      </c>
      <c r="B79" s="14" t="inlineStr">
        <is>
          <t>Due fratelli, una foresta</t>
        </is>
      </c>
      <c r="C79" s="14" t="inlineStr">
        <is>
          <t>Yukiko Noritake</t>
        </is>
      </c>
      <c r="D79" s="14" t="inlineStr">
        <is>
          <t>L'Acchiappastorie – Albi illustrati</t>
        </is>
      </c>
      <c r="E79" s="14" t="inlineStr">
        <is>
          <t>albi illustrati (età indicativa)</t>
        </is>
      </c>
      <c r="F79" s="14" t="inlineStr">
        <is>
          <t>3-6 anni</t>
        </is>
      </c>
      <c r="G79" s="14" t="inlineStr">
        <is>
          <t>Albo illustrato</t>
        </is>
      </c>
      <c r="H79" s="14" t="inlineStr"/>
      <c r="I79" s="14" t="inlineStr">
        <is>
          <t>No</t>
        </is>
      </c>
      <c r="J79" s="14" t="inlineStr">
        <is>
          <t>Collana</t>
        </is>
      </c>
      <c r="K79" s="14" t="inlineStr">
        <is>
          <t>3-6 anni</t>
        </is>
      </c>
      <c r="L79" s="14" t="inlineStr">
        <is>
          <t>Catalogo Terre di Mezzo 1° semestre 2026, p. 28 (ISBN 9788861897656)</t>
        </is>
      </c>
      <c r="M79" s="16" t="n">
        <v>15</v>
      </c>
      <c r="N79" s="14" t="inlineStr">
        <is>
          <t>Catalogo Terre di Mezzo 1° semestre 2026</t>
        </is>
      </c>
      <c r="O79" s="16">
        <f>IF(ISNUMBER(M79),ROUND(M79*(1-Condizioni!$B$2),2),"")</f>
        <v/>
      </c>
      <c r="P79" s="17" t="inlineStr">
        <is>
          <t>No</t>
        </is>
      </c>
    </row>
    <row r="80">
      <c r="A80" s="14" t="inlineStr">
        <is>
          <t>Terre di Mezzo</t>
        </is>
      </c>
      <c r="B80" s="14" t="inlineStr">
        <is>
          <t>E altri mestieri per salvare il mondo</t>
        </is>
      </c>
      <c r="C80" s="14" t="inlineStr">
        <is>
          <t>IL BANCHIERE DEI SEMI</t>
        </is>
      </c>
      <c r="D80" s="14" t="inlineStr">
        <is>
          <t>L'Acchiappastorie – Albi illustrati</t>
        </is>
      </c>
      <c r="E80" s="14" t="inlineStr">
        <is>
          <t>albi illustrati (età indicativa)</t>
        </is>
      </c>
      <c r="F80" s="14" t="inlineStr">
        <is>
          <t>3-6 anni</t>
        </is>
      </c>
      <c r="G80" s="14" t="inlineStr">
        <is>
          <t>Albo illustrato</t>
        </is>
      </c>
      <c r="H80" s="14" t="inlineStr"/>
      <c r="I80" s="14" t="inlineStr">
        <is>
          <t>No</t>
        </is>
      </c>
      <c r="J80" s="14" t="inlineStr">
        <is>
          <t>Collana</t>
        </is>
      </c>
      <c r="K80" s="14" t="inlineStr">
        <is>
          <t>3-6 anni</t>
        </is>
      </c>
      <c r="L80" s="14" t="inlineStr">
        <is>
          <t>Catalogo Terre di Mezzo 1° semestre 2026, p. 36 (ISBN 9791259961662)</t>
        </is>
      </c>
      <c r="M80" s="16" t="n">
        <v>16</v>
      </c>
      <c r="N80" s="14" t="inlineStr">
        <is>
          <t>Catalogo Terre di Mezzo 1° semestre 2026</t>
        </is>
      </c>
      <c r="O80" s="16">
        <f>IF(ISNUMBER(M80),ROUND(M80*(1-Condizioni!$B$2),2),"")</f>
        <v/>
      </c>
      <c r="P80" s="17" t="inlineStr">
        <is>
          <t>No</t>
        </is>
      </c>
    </row>
    <row r="81">
      <c r="A81" s="14" t="inlineStr">
        <is>
          <t>Terre di Mezzo</t>
        </is>
      </c>
      <c r="B81" s="14" t="inlineStr">
        <is>
          <t>E il caso della Lanterna Dorata</t>
        </is>
      </c>
      <c r="C81" s="14" t="inlineStr">
        <is>
          <t>L’INVESTIGATORE TALPONE</t>
        </is>
      </c>
      <c r="D81" s="14" t="inlineStr">
        <is>
          <t>L'Acchiappastorie – Albi illustrati</t>
        </is>
      </c>
      <c r="E81" s="14" t="inlineStr">
        <is>
          <t>albi illustrati (età indicativa)</t>
        </is>
      </c>
      <c r="F81" s="14" t="inlineStr">
        <is>
          <t>3-6 anni</t>
        </is>
      </c>
      <c r="G81" s="14" t="inlineStr">
        <is>
          <t>Albo illustrato</t>
        </is>
      </c>
      <c r="H81" s="14" t="inlineStr"/>
      <c r="I81" s="14" t="inlineStr">
        <is>
          <t>No</t>
        </is>
      </c>
      <c r="J81" s="14" t="inlineStr">
        <is>
          <t>Collana</t>
        </is>
      </c>
      <c r="K81" s="14" t="inlineStr">
        <is>
          <t>3-6 anni</t>
        </is>
      </c>
      <c r="L81" s="14" t="inlineStr">
        <is>
          <t>Catalogo Terre di Mezzo 1° semestre 2026, p. 35 (ISBN 9791259960054)</t>
        </is>
      </c>
      <c r="M81" s="16" t="n">
        <v>12.9</v>
      </c>
      <c r="N81" s="14" t="inlineStr">
        <is>
          <t>Catalogo Terre di Mezzo 1° semestre 2026</t>
        </is>
      </c>
      <c r="O81" s="16">
        <f>IF(ISNUMBER(M81),ROUND(M81*(1-Condizioni!$B$2),2),"")</f>
        <v/>
      </c>
      <c r="P81" s="17" t="inlineStr">
        <is>
          <t>No</t>
        </is>
      </c>
    </row>
    <row r="82">
      <c r="A82" s="14" t="inlineStr">
        <is>
          <t>Terre di Mezzo</t>
        </is>
      </c>
      <c r="B82" s="14" t="inlineStr">
        <is>
          <t>Ella sulle onde</t>
        </is>
      </c>
      <c r="C82" s="14" t="inlineStr">
        <is>
          <t>Britta Teckentrup</t>
        </is>
      </c>
      <c r="D82" s="14" t="inlineStr">
        <is>
          <t>L'Acchiappastorie – Albi illustrati</t>
        </is>
      </c>
      <c r="E82" s="14" t="inlineStr">
        <is>
          <t>albi illustrati (età indicativa)</t>
        </is>
      </c>
      <c r="F82" s="14" t="inlineStr">
        <is>
          <t>3-6 anni</t>
        </is>
      </c>
      <c r="G82" s="14" t="inlineStr">
        <is>
          <t>Albo illustrato</t>
        </is>
      </c>
      <c r="H82" s="14" t="inlineStr"/>
      <c r="I82" s="14" t="inlineStr">
        <is>
          <t>No</t>
        </is>
      </c>
      <c r="J82" s="14" t="inlineStr">
        <is>
          <t>Collana</t>
        </is>
      </c>
      <c r="K82" s="14" t="inlineStr">
        <is>
          <t>3-6 anni</t>
        </is>
      </c>
      <c r="L82" s="14" t="inlineStr">
        <is>
          <t>Catalogo Terre di Mezzo 1° semestre 2026, p. 31 (ISBN 9791259960757)</t>
        </is>
      </c>
      <c r="M82" s="16" t="n">
        <v>16</v>
      </c>
      <c r="N82" s="14" t="inlineStr">
        <is>
          <t>Catalogo Terre di Mezzo 1° semestre 2026</t>
        </is>
      </c>
      <c r="O82" s="16">
        <f>IF(ISNUMBER(M82),ROUND(M82*(1-Condizioni!$B$2),2),"")</f>
        <v/>
      </c>
      <c r="P82" s="17" t="inlineStr">
        <is>
          <t>No</t>
        </is>
      </c>
    </row>
    <row r="83">
      <c r="A83" s="14" t="inlineStr">
        <is>
          <t>Terre di Mezzo</t>
        </is>
      </c>
      <c r="B83" s="14" t="inlineStr">
        <is>
          <t>Elvis e Otto vanno in bici!</t>
        </is>
      </c>
      <c r="C83" s="14" t="inlineStr">
        <is>
          <t>Chris Naylor-Ballesteros</t>
        </is>
      </c>
      <c r="D83" s="14" t="inlineStr">
        <is>
          <t>L'Acchiappastorie – Albi illustrati</t>
        </is>
      </c>
      <c r="E83" s="14" t="inlineStr">
        <is>
          <t>albi illustrati (età indicativa)</t>
        </is>
      </c>
      <c r="F83" s="14" t="inlineStr">
        <is>
          <t>3-6 anni</t>
        </is>
      </c>
      <c r="G83" s="14" t="inlineStr">
        <is>
          <t>Albo illustrato</t>
        </is>
      </c>
      <c r="H83" s="14" t="inlineStr"/>
      <c r="I83" s="14" t="inlineStr">
        <is>
          <t>No</t>
        </is>
      </c>
      <c r="J83" s="14" t="inlineStr">
        <is>
          <t>Collana</t>
        </is>
      </c>
      <c r="K83" s="14" t="inlineStr">
        <is>
          <t>3-6 anni</t>
        </is>
      </c>
      <c r="L83" s="14" t="inlineStr">
        <is>
          <t>Catalogo Terre di Mezzo 1° semestre 2026, p. 23 (ISBN 9791259961853)</t>
        </is>
      </c>
      <c r="M83" s="16" t="n">
        <v>15</v>
      </c>
      <c r="N83" s="14" t="inlineStr">
        <is>
          <t>Catalogo Terre di Mezzo 1° semestre 2026</t>
        </is>
      </c>
      <c r="O83" s="16">
        <f>IF(ISNUMBER(M83),ROUND(M83*(1-Condizioni!$B$2),2),"")</f>
        <v/>
      </c>
      <c r="P83" s="17" t="inlineStr">
        <is>
          <t>No</t>
        </is>
      </c>
    </row>
    <row r="84">
      <c r="A84" s="14" t="inlineStr">
        <is>
          <t>Terre di Mezzo</t>
        </is>
      </c>
      <c r="B84" s="14" t="inlineStr">
        <is>
          <t>Elvis e Otto. chi ha mangiato quei biscotti?</t>
        </is>
      </c>
      <c r="C84" s="14" t="inlineStr">
        <is>
          <t>Chris Naylor-Ballesteros</t>
        </is>
      </c>
      <c r="D84" s="14" t="inlineStr">
        <is>
          <t>L'Acchiappastorie – Albi illustrati</t>
        </is>
      </c>
      <c r="E84" s="14" t="inlineStr">
        <is>
          <t>albi illustrati (età indicativa)</t>
        </is>
      </c>
      <c r="F84" s="14" t="inlineStr">
        <is>
          <t>3-6 anni</t>
        </is>
      </c>
      <c r="G84" s="14" t="inlineStr">
        <is>
          <t>Albo illustrato</t>
        </is>
      </c>
      <c r="H84" s="14" t="inlineStr"/>
      <c r="I84" s="14" t="inlineStr">
        <is>
          <t>No</t>
        </is>
      </c>
      <c r="J84" s="14" t="inlineStr">
        <is>
          <t>Collana</t>
        </is>
      </c>
      <c r="K84" s="14" t="inlineStr">
        <is>
          <t>3-6 anni</t>
        </is>
      </c>
      <c r="L84" s="14" t="inlineStr">
        <is>
          <t>Catalogo Terre di Mezzo 1° semestre 2026, p. 23 (ISBN 9791259963246)</t>
        </is>
      </c>
      <c r="M84" s="16" t="n">
        <v>16</v>
      </c>
      <c r="N84" s="14" t="inlineStr">
        <is>
          <t>Catalogo Terre di Mezzo 1° semestre 2026</t>
        </is>
      </c>
      <c r="O84" s="16">
        <f>IF(ISNUMBER(M84),ROUND(M84*(1-Condizioni!$B$2),2),"")</f>
        <v/>
      </c>
      <c r="P84" s="17" t="inlineStr">
        <is>
          <t>No</t>
        </is>
      </c>
    </row>
    <row r="85">
      <c r="A85" s="14" t="inlineStr">
        <is>
          <t>Terre di Mezzo</t>
        </is>
      </c>
      <c r="B85" s="14" t="inlineStr">
        <is>
          <t>Elvis e Otto. l’amicizia vince!</t>
        </is>
      </c>
      <c r="C85" s="14" t="inlineStr">
        <is>
          <t>Chris Naylor-Ballesteros</t>
        </is>
      </c>
      <c r="D85" s="14" t="inlineStr">
        <is>
          <t>L'Acchiappastorie – Albi illustrati</t>
        </is>
      </c>
      <c r="E85" s="14" t="inlineStr">
        <is>
          <t>albi illustrati (età indicativa)</t>
        </is>
      </c>
      <c r="F85" s="14" t="inlineStr">
        <is>
          <t>3-6 anni</t>
        </is>
      </c>
      <c r="G85" s="14" t="inlineStr">
        <is>
          <t>Albo illustrato</t>
        </is>
      </c>
      <c r="H85" s="14" t="inlineStr"/>
      <c r="I85" s="14" t="inlineStr">
        <is>
          <t>No</t>
        </is>
      </c>
      <c r="J85" s="14" t="inlineStr">
        <is>
          <t>Collana</t>
        </is>
      </c>
      <c r="K85" s="14" t="inlineStr">
        <is>
          <t>3-6 anni</t>
        </is>
      </c>
      <c r="L85" s="14" t="inlineStr">
        <is>
          <t>Catalogo Terre di Mezzo 1° semestre 2026, p. 23 (ISBN 9788861897779)</t>
        </is>
      </c>
      <c r="M85" s="16" t="n">
        <v>16</v>
      </c>
      <c r="N85" s="14" t="inlineStr">
        <is>
          <t>Catalogo Terre di Mezzo 1° semestre 2026</t>
        </is>
      </c>
      <c r="O85" s="16">
        <f>IF(ISNUMBER(M85),ROUND(M85*(1-Condizioni!$B$2),2),"")</f>
        <v/>
      </c>
      <c r="P85" s="17" t="inlineStr">
        <is>
          <t>No</t>
        </is>
      </c>
    </row>
    <row r="86">
      <c r="A86" s="14" t="inlineStr">
        <is>
          <t>Terre di Mezzo</t>
        </is>
      </c>
      <c r="B86" s="14" t="inlineStr">
        <is>
          <t>Faccio un etto con l’osso</t>
        </is>
      </c>
      <c r="C86" s="14" t="inlineStr">
        <is>
          <t>Sergio Olivotti</t>
        </is>
      </c>
      <c r="D86" s="14" t="inlineStr">
        <is>
          <t>L'Acchiappastorie – Albi illustrati</t>
        </is>
      </c>
      <c r="E86" s="14" t="inlineStr">
        <is>
          <t>albi illustrati (età indicativa)</t>
        </is>
      </c>
      <c r="F86" s="14" t="inlineStr">
        <is>
          <t>3-6 anni</t>
        </is>
      </c>
      <c r="G86" s="14" t="inlineStr">
        <is>
          <t>Albo illustrato</t>
        </is>
      </c>
      <c r="H86" s="14" t="inlineStr"/>
      <c r="I86" s="14" t="inlineStr">
        <is>
          <t>No</t>
        </is>
      </c>
      <c r="J86" s="14" t="inlineStr">
        <is>
          <t>Collana</t>
        </is>
      </c>
      <c r="K86" s="14" t="inlineStr">
        <is>
          <t>3-6 anni</t>
        </is>
      </c>
      <c r="L86" s="14" t="inlineStr">
        <is>
          <t>Catalogo Terre di Mezzo 1° semestre 2026, p. 16 (ISBN 9791259963437)</t>
        </is>
      </c>
      <c r="M86" s="16" t="n">
        <v>16</v>
      </c>
      <c r="N86" s="14" t="inlineStr">
        <is>
          <t>Catalogo Terre di Mezzo 1° semestre 2026</t>
        </is>
      </c>
      <c r="O86" s="16">
        <f>IF(ISNUMBER(M86),ROUND(M86*(1-Condizioni!$B$2),2),"")</f>
        <v/>
      </c>
      <c r="P86" s="17" t="inlineStr">
        <is>
          <t>No</t>
        </is>
      </c>
    </row>
    <row r="87">
      <c r="A87" s="14" t="inlineStr">
        <is>
          <t>Terre di Mezzo</t>
        </is>
      </c>
      <c r="B87" s="14" t="inlineStr">
        <is>
          <t>Filo magico</t>
        </is>
      </c>
      <c r="C87" s="14" t="inlineStr">
        <is>
          <t>Mac Barnett, Jon Klassen</t>
        </is>
      </c>
      <c r="D87" s="14" t="inlineStr">
        <is>
          <t>L'Acchiappastorie – Albi illustrati</t>
        </is>
      </c>
      <c r="E87" s="14" t="inlineStr">
        <is>
          <t>albi illustrati (età indicativa)</t>
        </is>
      </c>
      <c r="F87" s="14" t="inlineStr">
        <is>
          <t>3-6 anni</t>
        </is>
      </c>
      <c r="G87" s="14" t="inlineStr">
        <is>
          <t>Albo illustrato</t>
        </is>
      </c>
      <c r="H87" s="14" t="inlineStr"/>
      <c r="I87" s="14" t="inlineStr">
        <is>
          <t>No</t>
        </is>
      </c>
      <c r="J87" s="14" t="inlineStr">
        <is>
          <t>Collana</t>
        </is>
      </c>
      <c r="K87" s="14" t="inlineStr">
        <is>
          <t>3-6 anni</t>
        </is>
      </c>
      <c r="L87" s="14" t="inlineStr">
        <is>
          <t>Catalogo Terre di Mezzo 1° semestre 2026, p. 25 (ISBN 9788861894044)</t>
        </is>
      </c>
      <c r="M87" s="16" t="n">
        <v>15</v>
      </c>
      <c r="N87" s="14" t="inlineStr">
        <is>
          <t>Catalogo Terre di Mezzo 1° semestre 2026</t>
        </is>
      </c>
      <c r="O87" s="16">
        <f>IF(ISNUMBER(M87),ROUND(M87*(1-Condizioni!$B$2),2),"")</f>
        <v/>
      </c>
      <c r="P87" s="17" t="inlineStr">
        <is>
          <t>No</t>
        </is>
      </c>
    </row>
    <row r="88">
      <c r="A88" s="14" t="inlineStr">
        <is>
          <t>Terre di Mezzo</t>
        </is>
      </c>
      <c r="B88" s="14" t="inlineStr">
        <is>
          <t>Formica e Cicala</t>
        </is>
      </c>
      <c r="C88" s="14" t="inlineStr">
        <is>
          <t>Olga Tranchini</t>
        </is>
      </c>
      <c r="D88" s="14" t="inlineStr">
        <is>
          <t>L'Acchiappastorie – Albi illustrati</t>
        </is>
      </c>
      <c r="E88" s="14" t="inlineStr">
        <is>
          <t>albi illustrati (età indicativa)</t>
        </is>
      </c>
      <c r="F88" s="14" t="inlineStr">
        <is>
          <t>3-6 anni</t>
        </is>
      </c>
      <c r="G88" s="14" t="inlineStr">
        <is>
          <t>Albo illustrato</t>
        </is>
      </c>
      <c r="H88" s="14" t="inlineStr"/>
      <c r="I88" s="14" t="inlineStr">
        <is>
          <t>No</t>
        </is>
      </c>
      <c r="J88" s="14" t="inlineStr">
        <is>
          <t>Collana</t>
        </is>
      </c>
      <c r="K88" s="14" t="inlineStr">
        <is>
          <t>3-6 anni</t>
        </is>
      </c>
      <c r="L88" s="14" t="inlineStr">
        <is>
          <t>Catalogo Terre di Mezzo 1° semestre 2026, p. 30 (ISBN 9791259960085)</t>
        </is>
      </c>
      <c r="M88" s="16" t="n">
        <v>15</v>
      </c>
      <c r="N88" s="14" t="inlineStr">
        <is>
          <t>Catalogo Terre di Mezzo 1° semestre 2026</t>
        </is>
      </c>
      <c r="O88" s="16">
        <f>IF(ISNUMBER(M88),ROUND(M88*(1-Condizioni!$B$2),2),"")</f>
        <v/>
      </c>
      <c r="P88" s="17" t="inlineStr">
        <is>
          <t>No</t>
        </is>
      </c>
    </row>
    <row r="89">
      <c r="A89" s="14" t="inlineStr">
        <is>
          <t>Terre di Mezzo</t>
        </is>
      </c>
      <c r="B89" s="14" t="inlineStr">
        <is>
          <t>Giorni senza nuvole</t>
        </is>
      </c>
      <c r="C89" s="14" t="inlineStr">
        <is>
          <t>Tim Fischer</t>
        </is>
      </c>
      <c r="D89" s="14" t="inlineStr">
        <is>
          <t>L'Acchiappastorie – Albi illustrati</t>
        </is>
      </c>
      <c r="E89" s="14" t="inlineStr">
        <is>
          <t>albi illustrati (età indicativa)</t>
        </is>
      </c>
      <c r="F89" s="14" t="inlineStr">
        <is>
          <t>3-6 anni</t>
        </is>
      </c>
      <c r="G89" s="14" t="inlineStr">
        <is>
          <t>Albo illustrato</t>
        </is>
      </c>
      <c r="H89" s="14" t="inlineStr"/>
      <c r="I89" s="14" t="inlineStr">
        <is>
          <t>No</t>
        </is>
      </c>
      <c r="J89" s="14" t="inlineStr">
        <is>
          <t>Collana</t>
        </is>
      </c>
      <c r="K89" s="14" t="inlineStr">
        <is>
          <t>3-6 anni</t>
        </is>
      </c>
      <c r="L89" s="14" t="inlineStr">
        <is>
          <t>Catalogo Terre di Mezzo 1° semestre 2026, p. 28 (ISBN 9791259962447)</t>
        </is>
      </c>
      <c r="M89" s="16" t="n">
        <v>16</v>
      </c>
      <c r="N89" s="14" t="inlineStr">
        <is>
          <t>Catalogo Terre di Mezzo 1° semestre 2026</t>
        </is>
      </c>
      <c r="O89" s="16">
        <f>IF(ISNUMBER(M89),ROUND(M89*(1-Condizioni!$B$2),2),"")</f>
        <v/>
      </c>
      <c r="P89" s="17" t="inlineStr">
        <is>
          <t>No</t>
        </is>
      </c>
    </row>
    <row r="90">
      <c r="A90" s="14" t="inlineStr">
        <is>
          <t>Terre di Mezzo</t>
        </is>
      </c>
      <c r="B90" s="14" t="inlineStr">
        <is>
          <t>Ho sentito dire che...</t>
        </is>
      </c>
      <c r="C90" s="14" t="inlineStr">
        <is>
          <t>Mariapaola Pesce, Martina Tonello</t>
        </is>
      </c>
      <c r="D90" s="14" t="inlineStr">
        <is>
          <t>L'Acchiappastorie – Albi illustrati</t>
        </is>
      </c>
      <c r="E90" s="14" t="inlineStr">
        <is>
          <t>albi illustrati (età indicativa)</t>
        </is>
      </c>
      <c r="F90" s="14" t="inlineStr">
        <is>
          <t>3-6 anni</t>
        </is>
      </c>
      <c r="G90" s="14" t="inlineStr">
        <is>
          <t>Albo illustrato</t>
        </is>
      </c>
      <c r="H90" s="14" t="inlineStr"/>
      <c r="I90" s="14" t="inlineStr">
        <is>
          <t>No</t>
        </is>
      </c>
      <c r="J90" s="14" t="inlineStr">
        <is>
          <t>Collana</t>
        </is>
      </c>
      <c r="K90" s="14" t="inlineStr">
        <is>
          <t>3-6 anni</t>
        </is>
      </c>
      <c r="L90" s="14" t="inlineStr">
        <is>
          <t>Catalogo Terre di Mezzo 1° semestre 2026, p. 31 (ISBN 9791259960665)</t>
        </is>
      </c>
      <c r="M90" s="16" t="n">
        <v>16</v>
      </c>
      <c r="N90" s="14" t="inlineStr">
        <is>
          <t>Catalogo Terre di Mezzo 1° semestre 2026</t>
        </is>
      </c>
      <c r="O90" s="16">
        <f>IF(ISNUMBER(M90),ROUND(M90*(1-Condizioni!$B$2),2),"")</f>
        <v/>
      </c>
      <c r="P90" s="17" t="inlineStr">
        <is>
          <t>No</t>
        </is>
      </c>
    </row>
    <row r="91">
      <c r="A91" s="14" t="inlineStr">
        <is>
          <t>Terre di Mezzo</t>
        </is>
      </c>
      <c r="B91" s="14" t="inlineStr">
        <is>
          <t>I dispettosi</t>
        </is>
      </c>
      <c r="C91" s="14" t="inlineStr">
        <is>
          <t>Emma Lidia Squillari</t>
        </is>
      </c>
      <c r="D91" s="14" t="inlineStr">
        <is>
          <t>L'Acchiappastorie – Albi illustrati</t>
        </is>
      </c>
      <c r="E91" s="14" t="inlineStr">
        <is>
          <t>albi illustrati (età indicativa)</t>
        </is>
      </c>
      <c r="F91" s="14" t="inlineStr">
        <is>
          <t>3-6 anni</t>
        </is>
      </c>
      <c r="G91" s="14" t="inlineStr">
        <is>
          <t>Albo illustrato</t>
        </is>
      </c>
      <c r="H91" s="14" t="inlineStr"/>
      <c r="I91" s="14" t="inlineStr">
        <is>
          <t>No</t>
        </is>
      </c>
      <c r="J91" s="14" t="inlineStr">
        <is>
          <t>Collana</t>
        </is>
      </c>
      <c r="K91" s="14" t="inlineStr">
        <is>
          <t>3-6 anni</t>
        </is>
      </c>
      <c r="L91" s="14" t="inlineStr">
        <is>
          <t>Catalogo Terre di Mezzo 1° semestre 2026, p. 13 (ISBN 9788861897144)</t>
        </is>
      </c>
      <c r="M91" s="16" t="n">
        <v>15</v>
      </c>
      <c r="N91" s="14" t="inlineStr">
        <is>
          <t>Catalogo Terre di Mezzo 1° semestre 2026</t>
        </is>
      </c>
      <c r="O91" s="16">
        <f>IF(ISNUMBER(M91),ROUND(M91*(1-Condizioni!$B$2),2),"")</f>
        <v/>
      </c>
      <c r="P91" s="17" t="inlineStr">
        <is>
          <t>No</t>
        </is>
      </c>
    </row>
    <row r="92">
      <c r="A92" s="14" t="inlineStr">
        <is>
          <t>Terre di Mezzo</t>
        </is>
      </c>
      <c r="B92" s="14" t="inlineStr">
        <is>
          <t>Il Gattolaio</t>
        </is>
      </c>
      <c r="C92" s="14" t="inlineStr">
        <is>
          <t>Stella Nosella, Evelise Obinu</t>
        </is>
      </c>
      <c r="D92" s="14" t="inlineStr">
        <is>
          <t>L'Acchiappastorie – Albi illustrati</t>
        </is>
      </c>
      <c r="E92" s="14" t="inlineStr">
        <is>
          <t>albi illustrati (età indicativa)</t>
        </is>
      </c>
      <c r="F92" s="14" t="inlineStr">
        <is>
          <t>3-6 anni</t>
        </is>
      </c>
      <c r="G92" s="14" t="inlineStr">
        <is>
          <t>Albo illustrato</t>
        </is>
      </c>
      <c r="H92" s="14" t="inlineStr"/>
      <c r="I92" s="14" t="inlineStr">
        <is>
          <t>No</t>
        </is>
      </c>
      <c r="J92" s="14" t="inlineStr">
        <is>
          <t>Collana</t>
        </is>
      </c>
      <c r="K92" s="14" t="inlineStr">
        <is>
          <t>3-6 anni</t>
        </is>
      </c>
      <c r="L92" s="14" t="inlineStr">
        <is>
          <t>Catalogo Terre di Mezzo 1° semestre 2026, p. 27 (ISBN 9791259960399)</t>
        </is>
      </c>
      <c r="M92" s="16" t="n">
        <v>14</v>
      </c>
      <c r="N92" s="14" t="inlineStr">
        <is>
          <t>Catalogo Terre di Mezzo 1° semestre 2026</t>
        </is>
      </c>
      <c r="O92" s="16">
        <f>IF(ISNUMBER(M92),ROUND(M92*(1-Condizioni!$B$2),2),"")</f>
        <v/>
      </c>
      <c r="P92" s="17" t="inlineStr">
        <is>
          <t>No</t>
        </is>
      </c>
    </row>
    <row r="93">
      <c r="A93" s="14" t="inlineStr">
        <is>
          <t>Terre di Mezzo</t>
        </is>
      </c>
      <c r="B93" s="14" t="inlineStr">
        <is>
          <t>Il Maestro di carta</t>
        </is>
      </c>
      <c r="C93" s="14" t="inlineStr">
        <is>
          <t>Luca Cognolato, Silvia del Francia, Marco Paschetta</t>
        </is>
      </c>
      <c r="D93" s="14" t="inlineStr">
        <is>
          <t>L'Acchiappastorie – Albi illustrati</t>
        </is>
      </c>
      <c r="E93" s="14" t="inlineStr">
        <is>
          <t>albi illustrati (età indicativa)</t>
        </is>
      </c>
      <c r="F93" s="14" t="inlineStr">
        <is>
          <t>3-6 anni</t>
        </is>
      </c>
      <c r="G93" s="14" t="inlineStr">
        <is>
          <t>Albo illustrato</t>
        </is>
      </c>
      <c r="H93" s="14" t="inlineStr"/>
      <c r="I93" s="14" t="inlineStr">
        <is>
          <t>No</t>
        </is>
      </c>
      <c r="J93" s="14" t="inlineStr">
        <is>
          <t>Collana</t>
        </is>
      </c>
      <c r="K93" s="14" t="inlineStr">
        <is>
          <t>3-6 anni</t>
        </is>
      </c>
      <c r="L93" s="14" t="inlineStr">
        <is>
          <t>Catalogo Terre di Mezzo 1° semestre 2026, p. 9 (ISBN 9791259963895)</t>
        </is>
      </c>
      <c r="M93" s="16" t="n">
        <v>16</v>
      </c>
      <c r="N93" s="14" t="inlineStr">
        <is>
          <t>Catalogo Terre di Mezzo 1° semestre 2026</t>
        </is>
      </c>
      <c r="O93" s="16">
        <f>IF(ISNUMBER(M93),ROUND(M93*(1-Condizioni!$B$2),2),"")</f>
        <v/>
      </c>
      <c r="P93" s="17" t="inlineStr">
        <is>
          <t>No</t>
        </is>
      </c>
    </row>
    <row r="94">
      <c r="A94" s="14" t="inlineStr">
        <is>
          <t>Terre di Mezzo</t>
        </is>
      </c>
      <c r="B94" s="14" t="inlineStr">
        <is>
          <t>Il giardino del vicino</t>
        </is>
      </c>
      <c r="C94" s="14" t="inlineStr">
        <is>
          <t>Yiting Lee</t>
        </is>
      </c>
      <c r="D94" s="14" t="inlineStr">
        <is>
          <t>L'Acchiappastorie – Albi illustrati</t>
        </is>
      </c>
      <c r="E94" s="14" t="inlineStr">
        <is>
          <t>albi illustrati (età indicativa)</t>
        </is>
      </c>
      <c r="F94" s="14" t="inlineStr">
        <is>
          <t>3-6 anni</t>
        </is>
      </c>
      <c r="G94" s="14" t="inlineStr">
        <is>
          <t>Albo illustrato</t>
        </is>
      </c>
      <c r="H94" s="14" t="inlineStr"/>
      <c r="I94" s="14" t="inlineStr">
        <is>
          <t>No</t>
        </is>
      </c>
      <c r="J94" s="14" t="inlineStr">
        <is>
          <t>Collana</t>
        </is>
      </c>
      <c r="K94" s="14" t="inlineStr">
        <is>
          <t>3-6 anni</t>
        </is>
      </c>
      <c r="L94" s="14" t="inlineStr">
        <is>
          <t>Catalogo Terre di Mezzo 1° semestre 2026, p. 23 (ISBN 9791259962782)</t>
        </is>
      </c>
      <c r="M94" s="16" t="n">
        <v>16</v>
      </c>
      <c r="N94" s="14" t="inlineStr">
        <is>
          <t>Catalogo Terre di Mezzo 1° semestre 2026</t>
        </is>
      </c>
      <c r="O94" s="16">
        <f>IF(ISNUMBER(M94),ROUND(M94*(1-Condizioni!$B$2),2),"")</f>
        <v/>
      </c>
      <c r="P94" s="17" t="inlineStr">
        <is>
          <t>No</t>
        </is>
      </c>
    </row>
    <row r="95">
      <c r="A95" s="14" t="inlineStr">
        <is>
          <t>Terre di Mezzo</t>
        </is>
      </c>
      <c r="B95" s="14" t="inlineStr">
        <is>
          <t>Il lago dei cigni</t>
        </is>
      </c>
      <c r="C95" s="14" t="inlineStr">
        <is>
          <t>The New York City Ballet, Valeria Docampo</t>
        </is>
      </c>
      <c r="D95" s="14" t="inlineStr">
        <is>
          <t>L'Acchiappastorie – Albi illustrati</t>
        </is>
      </c>
      <c r="E95" s="14" t="inlineStr">
        <is>
          <t>albi illustrati (età indicativa)</t>
        </is>
      </c>
      <c r="F95" s="14" t="inlineStr">
        <is>
          <t>3-6 anni</t>
        </is>
      </c>
      <c r="G95" s="14" t="inlineStr">
        <is>
          <t>Albo illustrato</t>
        </is>
      </c>
      <c r="H95" s="14" t="inlineStr"/>
      <c r="I95" s="14" t="inlineStr">
        <is>
          <t>No</t>
        </is>
      </c>
      <c r="J95" s="14" t="inlineStr">
        <is>
          <t>Collana</t>
        </is>
      </c>
      <c r="K95" s="14" t="inlineStr">
        <is>
          <t>3-6 anni</t>
        </is>
      </c>
      <c r="L95" s="14" t="inlineStr">
        <is>
          <t>Catalogo Terre di Mezzo 1° semestre 2026, p. 33 (ISBN 9788861895683)</t>
        </is>
      </c>
      <c r="M95" s="16" t="n">
        <v>15</v>
      </c>
      <c r="N95" s="14" t="inlineStr">
        <is>
          <t>Catalogo Terre di Mezzo 1° semestre 2026</t>
        </is>
      </c>
      <c r="O95" s="16">
        <f>IF(ISNUMBER(M95),ROUND(M95*(1-Condizioni!$B$2),2),"")</f>
        <v/>
      </c>
      <c r="P95" s="17" t="inlineStr">
        <is>
          <t>No</t>
        </is>
      </c>
    </row>
    <row r="96">
      <c r="A96" s="14" t="inlineStr">
        <is>
          <t>Terre di Mezzo</t>
        </is>
      </c>
      <c r="B96" s="14" t="inlineStr">
        <is>
          <t>Il libro dal futuro</t>
        </is>
      </c>
      <c r="C96" s="14" t="inlineStr">
        <is>
          <t>Mac Barnett, Shawn Harris</t>
        </is>
      </c>
      <c r="D96" s="14" t="inlineStr">
        <is>
          <t>L'Acchiappastorie – Albi illustrati</t>
        </is>
      </c>
      <c r="E96" s="14" t="inlineStr">
        <is>
          <t>albi illustrati (età indicativa)</t>
        </is>
      </c>
      <c r="F96" s="14" t="inlineStr">
        <is>
          <t>3-6 anni</t>
        </is>
      </c>
      <c r="G96" s="14" t="inlineStr">
        <is>
          <t>Albo illustrato</t>
        </is>
      </c>
      <c r="H96" s="14" t="inlineStr"/>
      <c r="I96" s="14" t="inlineStr">
        <is>
          <t>No</t>
        </is>
      </c>
      <c r="J96" s="14" t="inlineStr">
        <is>
          <t>Collana</t>
        </is>
      </c>
      <c r="K96" s="14" t="inlineStr">
        <is>
          <t>3-6 anni</t>
        </is>
      </c>
      <c r="L96" s="14" t="inlineStr">
        <is>
          <t>Catalogo Terre di Mezzo 1° semestre 2026, p. 14 (ISBN 9791259964168)</t>
        </is>
      </c>
      <c r="M96" s="16" t="n">
        <v>16</v>
      </c>
      <c r="N96" s="14" t="inlineStr">
        <is>
          <t>Catalogo Terre di Mezzo 1° semestre 2026</t>
        </is>
      </c>
      <c r="O96" s="16">
        <f>IF(ISNUMBER(M96),ROUND(M96*(1-Condizioni!$B$2),2),"")</f>
        <v/>
      </c>
      <c r="P96" s="17" t="inlineStr">
        <is>
          <t>Sì</t>
        </is>
      </c>
    </row>
    <row r="97">
      <c r="A97" s="14" t="inlineStr">
        <is>
          <t>Terre di Mezzo</t>
        </is>
      </c>
      <c r="B97" s="14" t="inlineStr">
        <is>
          <t>Il librone. 17 storie Piccole</t>
        </is>
      </c>
      <c r="C97" s="14" t="inlineStr">
        <is>
          <t>Delphine Perret</t>
        </is>
      </c>
      <c r="D97" s="14" t="inlineStr">
        <is>
          <t>L'Acchiappastorie – Albi illustrati</t>
        </is>
      </c>
      <c r="E97" s="14" t="inlineStr">
        <is>
          <t>albi illustrati (età indicativa)</t>
        </is>
      </c>
      <c r="F97" s="14" t="inlineStr">
        <is>
          <t>3-6 anni</t>
        </is>
      </c>
      <c r="G97" s="14" t="inlineStr">
        <is>
          <t>Albo illustrato</t>
        </is>
      </c>
      <c r="H97" s="14" t="inlineStr"/>
      <c r="I97" s="14" t="inlineStr">
        <is>
          <t>No</t>
        </is>
      </c>
      <c r="J97" s="14" t="inlineStr">
        <is>
          <t>Collana</t>
        </is>
      </c>
      <c r="K97" s="14" t="inlineStr">
        <is>
          <t>3-6 anni</t>
        </is>
      </c>
      <c r="L97" s="14" t="inlineStr">
        <is>
          <t>Catalogo Terre di Mezzo 1° semestre 2026, p. 17 (ISBN 9791259963543)</t>
        </is>
      </c>
      <c r="M97" s="16" t="n">
        <v>14</v>
      </c>
      <c r="N97" s="14" t="inlineStr">
        <is>
          <t>Catalogo Terre di Mezzo 1° semestre 2026</t>
        </is>
      </c>
      <c r="O97" s="16">
        <f>IF(ISNUMBER(M97),ROUND(M97*(1-Condizioni!$B$2),2),"")</f>
        <v/>
      </c>
      <c r="P97" s="17" t="inlineStr">
        <is>
          <t>No</t>
        </is>
      </c>
    </row>
    <row r="98">
      <c r="A98" s="14" t="inlineStr">
        <is>
          <t>Terre di Mezzo</t>
        </is>
      </c>
      <c r="B98" s="14" t="inlineStr">
        <is>
          <t>Il mio asinello Benjamin e io</t>
        </is>
      </c>
      <c r="C98" s="14" t="inlineStr">
        <is>
          <t>Hans Limmer, Lennart Osbeck</t>
        </is>
      </c>
      <c r="D98" s="14" t="inlineStr">
        <is>
          <t>L'Acchiappastorie – Albi illustrati</t>
        </is>
      </c>
      <c r="E98" s="14" t="inlineStr">
        <is>
          <t>albi illustrati (età indicativa)</t>
        </is>
      </c>
      <c r="F98" s="14" t="inlineStr">
        <is>
          <t>3-6 anni</t>
        </is>
      </c>
      <c r="G98" s="14" t="inlineStr">
        <is>
          <t>Albo illustrato</t>
        </is>
      </c>
      <c r="H98" s="14" t="inlineStr"/>
      <c r="I98" s="14" t="inlineStr">
        <is>
          <t>No</t>
        </is>
      </c>
      <c r="J98" s="14" t="inlineStr">
        <is>
          <t>Collana</t>
        </is>
      </c>
      <c r="K98" s="14" t="inlineStr">
        <is>
          <t>3-6 anni</t>
        </is>
      </c>
      <c r="L98" s="14" t="inlineStr">
        <is>
          <t>Catalogo Terre di Mezzo 1° semestre 2026, p. 26 (ISBN 9791259960610)</t>
        </is>
      </c>
      <c r="M98" s="16" t="n">
        <v>15</v>
      </c>
      <c r="N98" s="14" t="inlineStr">
        <is>
          <t>Catalogo Terre di Mezzo 1° semestre 2026</t>
        </is>
      </c>
      <c r="O98" s="16">
        <f>IF(ISNUMBER(M98),ROUND(M98*(1-Condizioni!$B$2),2),"")</f>
        <v/>
      </c>
      <c r="P98" s="17" t="inlineStr">
        <is>
          <t>No</t>
        </is>
      </c>
    </row>
    <row r="99">
      <c r="A99" s="14" t="inlineStr">
        <is>
          <t>Terre di Mezzo</t>
        </is>
      </c>
      <c r="B99" s="14" t="inlineStr">
        <is>
          <t>Il mondo in tasca. alberi</t>
        </is>
      </c>
      <c r="C99" s="14" t="inlineStr">
        <is>
          <t>Carme Clopés, Anna Sanjuan</t>
        </is>
      </c>
      <c r="D99" s="14" t="inlineStr">
        <is>
          <t>L'Acchiappastorie – Albi illustrati</t>
        </is>
      </c>
      <c r="E99" s="14" t="inlineStr">
        <is>
          <t>albi illustrati (età indicativa)</t>
        </is>
      </c>
      <c r="F99" s="14" t="inlineStr">
        <is>
          <t>3-6 anni</t>
        </is>
      </c>
      <c r="G99" s="14" t="inlineStr">
        <is>
          <t>Albo illustrato</t>
        </is>
      </c>
      <c r="H99" s="14" t="inlineStr"/>
      <c r="I99" s="14" t="inlineStr">
        <is>
          <t>No</t>
        </is>
      </c>
      <c r="J99" s="14" t="inlineStr">
        <is>
          <t>Collana</t>
        </is>
      </c>
      <c r="K99" s="14" t="inlineStr">
        <is>
          <t>3-6 anni</t>
        </is>
      </c>
      <c r="L99" s="14" t="inlineStr">
        <is>
          <t>Catalogo Terre di Mezzo 1° semestre 2026, p. 14 (ISBN 9791259964304)</t>
        </is>
      </c>
      <c r="M99" s="16" t="n">
        <v>11</v>
      </c>
      <c r="N99" s="14" t="inlineStr">
        <is>
          <t>Catalogo Terre di Mezzo 1° semestre 2026</t>
        </is>
      </c>
      <c r="O99" s="16">
        <f>IF(ISNUMBER(M99),ROUND(M99*(1-Condizioni!$B$2),2),"")</f>
        <v/>
      </c>
      <c r="P99" s="17" t="inlineStr">
        <is>
          <t>No</t>
        </is>
      </c>
    </row>
    <row r="100">
      <c r="A100" s="14" t="inlineStr">
        <is>
          <t>Terre di Mezzo</t>
        </is>
      </c>
      <c r="B100" s="14" t="inlineStr">
        <is>
          <t>Il mondo in tasca. insetti</t>
        </is>
      </c>
      <c r="C100" s="14" t="inlineStr">
        <is>
          <t>Alex Nogués, Anna Sanjuan</t>
        </is>
      </c>
      <c r="D100" s="14" t="inlineStr">
        <is>
          <t>L'Acchiappastorie – Albi illustrati</t>
        </is>
      </c>
      <c r="E100" s="14" t="inlineStr">
        <is>
          <t>albi illustrati (età indicativa)</t>
        </is>
      </c>
      <c r="F100" s="14" t="inlineStr">
        <is>
          <t>3-6 anni</t>
        </is>
      </c>
      <c r="G100" s="14" t="inlineStr">
        <is>
          <t>Albo illustrato</t>
        </is>
      </c>
      <c r="H100" s="14" t="inlineStr"/>
      <c r="I100" s="14" t="inlineStr">
        <is>
          <t>No</t>
        </is>
      </c>
      <c r="J100" s="14" t="inlineStr">
        <is>
          <t>Collana</t>
        </is>
      </c>
      <c r="K100" s="14" t="inlineStr">
        <is>
          <t>3-6 anni</t>
        </is>
      </c>
      <c r="L100" s="14" t="inlineStr">
        <is>
          <t>Catalogo Terre di Mezzo 1° semestre 2026, p. 14 (ISBN 9791259964311)</t>
        </is>
      </c>
      <c r="M100" s="16" t="n">
        <v>11</v>
      </c>
      <c r="N100" s="14" t="inlineStr">
        <is>
          <t>Catalogo Terre di Mezzo 1° semestre 2026</t>
        </is>
      </c>
      <c r="O100" s="16">
        <f>IF(ISNUMBER(M100),ROUND(M100*(1-Condizioni!$B$2),2),"")</f>
        <v/>
      </c>
      <c r="P100" s="17" t="inlineStr">
        <is>
          <t>No</t>
        </is>
      </c>
    </row>
    <row r="101">
      <c r="A101" s="14" t="inlineStr">
        <is>
          <t>Terre di Mezzo</t>
        </is>
      </c>
      <c r="B101" s="14" t="inlineStr">
        <is>
          <t>Il mondo in tasca. nuvole</t>
        </is>
      </c>
      <c r="C101" s="14" t="inlineStr">
        <is>
          <t>Anna Sanjuan</t>
        </is>
      </c>
      <c r="D101" s="14" t="inlineStr">
        <is>
          <t>L'Acchiappastorie – Albi illustrati</t>
        </is>
      </c>
      <c r="E101" s="14" t="inlineStr">
        <is>
          <t>albi illustrati (età indicativa)</t>
        </is>
      </c>
      <c r="F101" s="14" t="inlineStr">
        <is>
          <t>3-6 anni</t>
        </is>
      </c>
      <c r="G101" s="14" t="inlineStr">
        <is>
          <t>Albo illustrato</t>
        </is>
      </c>
      <c r="H101" s="14" t="inlineStr"/>
      <c r="I101" s="14" t="inlineStr">
        <is>
          <t>No</t>
        </is>
      </c>
      <c r="J101" s="14" t="inlineStr">
        <is>
          <t>Collana</t>
        </is>
      </c>
      <c r="K101" s="14" t="inlineStr">
        <is>
          <t>3-6 anni</t>
        </is>
      </c>
      <c r="L101" s="14" t="inlineStr">
        <is>
          <t>Catalogo Terre di Mezzo 1° semestre 2026, p. 14 (ISBN 9791259963284)</t>
        </is>
      </c>
      <c r="M101" s="16" t="n">
        <v>11</v>
      </c>
      <c r="N101" s="14" t="inlineStr">
        <is>
          <t>Catalogo Terre di Mezzo 1° semestre 2026</t>
        </is>
      </c>
      <c r="O101" s="16">
        <f>IF(ISNUMBER(M101),ROUND(M101*(1-Condizioni!$B$2),2),"")</f>
        <v/>
      </c>
      <c r="P101" s="17" t="inlineStr">
        <is>
          <t>No</t>
        </is>
      </c>
    </row>
    <row r="102">
      <c r="A102" s="14" t="inlineStr">
        <is>
          <t>Terre di Mezzo</t>
        </is>
      </c>
      <c r="B102" s="14" t="inlineStr">
        <is>
          <t>Il mondo in tasca. uccelli</t>
        </is>
      </c>
      <c r="C102" s="14" t="inlineStr">
        <is>
          <t>Anna Sanjuan, Ramon Baucells</t>
        </is>
      </c>
      <c r="D102" s="14" t="inlineStr">
        <is>
          <t>L'Acchiappastorie – Albi illustrati</t>
        </is>
      </c>
      <c r="E102" s="14" t="inlineStr">
        <is>
          <t>albi illustrati (età indicativa)</t>
        </is>
      </c>
      <c r="F102" s="14" t="inlineStr">
        <is>
          <t>3-6 anni</t>
        </is>
      </c>
      <c r="G102" s="14" t="inlineStr">
        <is>
          <t>Albo illustrato</t>
        </is>
      </c>
      <c r="H102" s="14" t="inlineStr"/>
      <c r="I102" s="14" t="inlineStr">
        <is>
          <t>No</t>
        </is>
      </c>
      <c r="J102" s="14" t="inlineStr">
        <is>
          <t>Collana</t>
        </is>
      </c>
      <c r="K102" s="14" t="inlineStr">
        <is>
          <t>3-6 anni</t>
        </is>
      </c>
      <c r="L102" s="14" t="inlineStr">
        <is>
          <t>Catalogo Terre di Mezzo 1° semestre 2026, p. 14 (ISBN 9791259963277)</t>
        </is>
      </c>
      <c r="M102" s="16" t="n">
        <v>11</v>
      </c>
      <c r="N102" s="14" t="inlineStr">
        <is>
          <t>Catalogo Terre di Mezzo 1° semestre 2026</t>
        </is>
      </c>
      <c r="O102" s="16">
        <f>IF(ISNUMBER(M102),ROUND(M102*(1-Condizioni!$B$2),2),"")</f>
        <v/>
      </c>
      <c r="P102" s="17" t="inlineStr">
        <is>
          <t>No</t>
        </is>
      </c>
    </row>
    <row r="103">
      <c r="A103" s="14" t="inlineStr">
        <is>
          <t>Terre di Mezzo</t>
        </is>
      </c>
      <c r="B103" s="14" t="inlineStr">
        <is>
          <t>Il nemico</t>
        </is>
      </c>
      <c r="C103" s="14" t="inlineStr">
        <is>
          <t>Davide Calì, Serge Bloch</t>
        </is>
      </c>
      <c r="D103" s="14" t="inlineStr">
        <is>
          <t>L'Acchiappastorie – Albi illustrati</t>
        </is>
      </c>
      <c r="E103" s="14" t="inlineStr">
        <is>
          <t>albi illustrati (età indicativa)</t>
        </is>
      </c>
      <c r="F103" s="14" t="inlineStr">
        <is>
          <t>3-6 anni</t>
        </is>
      </c>
      <c r="G103" s="14" t="inlineStr">
        <is>
          <t>Albo illustrato</t>
        </is>
      </c>
      <c r="H103" s="14" t="inlineStr"/>
      <c r="I103" s="14" t="inlineStr">
        <is>
          <t>No</t>
        </is>
      </c>
      <c r="J103" s="14" t="inlineStr">
        <is>
          <t>Collana</t>
        </is>
      </c>
      <c r="K103" s="14" t="inlineStr">
        <is>
          <t>3-6 anni</t>
        </is>
      </c>
      <c r="L103" s="14" t="inlineStr">
        <is>
          <t>Catalogo Terre di Mezzo 1° semestre 2026, p. 26 (ISBN 9791259961297)</t>
        </is>
      </c>
      <c r="M103" s="16" t="n">
        <v>16</v>
      </c>
      <c r="N103" s="14" t="inlineStr">
        <is>
          <t>Catalogo Terre di Mezzo 1° semestre 2026</t>
        </is>
      </c>
      <c r="O103" s="16">
        <f>IF(ISNUMBER(M103),ROUND(M103*(1-Condizioni!$B$2),2),"")</f>
        <v/>
      </c>
      <c r="P103" s="17" t="inlineStr">
        <is>
          <t>Sì</t>
        </is>
      </c>
    </row>
    <row r="104">
      <c r="A104" s="14" t="inlineStr">
        <is>
          <t>Terre di Mezzo</t>
        </is>
      </c>
      <c r="B104" s="14" t="inlineStr">
        <is>
          <t>Il piccolo principe</t>
        </is>
      </c>
      <c r="C104" s="14" t="inlineStr">
        <is>
          <t>Antoine de Saint-Exupéry</t>
        </is>
      </c>
      <c r="D104" s="14" t="inlineStr">
        <is>
          <t>L'Acchiappastorie – Albi illustrati</t>
        </is>
      </c>
      <c r="E104" s="14" t="inlineStr">
        <is>
          <t>albi illustrati (età indicativa)</t>
        </is>
      </c>
      <c r="F104" s="14" t="inlineStr">
        <is>
          <t>3-6 anni</t>
        </is>
      </c>
      <c r="G104" s="14" t="inlineStr">
        <is>
          <t>Albo illustrato</t>
        </is>
      </c>
      <c r="H104" s="14" t="inlineStr"/>
      <c r="I104" s="14" t="inlineStr">
        <is>
          <t>No</t>
        </is>
      </c>
      <c r="J104" s="14" t="inlineStr">
        <is>
          <t>Collana</t>
        </is>
      </c>
      <c r="K104" s="14" t="inlineStr">
        <is>
          <t>3-6 anni</t>
        </is>
      </c>
      <c r="L104" s="14" t="inlineStr">
        <is>
          <t>Catalogo Terre di Mezzo 1° semestre 2026, p. 33 (ISBN 9788861894297)</t>
        </is>
      </c>
      <c r="M104" s="16" t="n">
        <v>15</v>
      </c>
      <c r="N104" s="14" t="inlineStr">
        <is>
          <t>Catalogo Terre di Mezzo 1° semestre 2026</t>
        </is>
      </c>
      <c r="O104" s="16">
        <f>IF(ISNUMBER(M104),ROUND(M104*(1-Condizioni!$B$2),2),"")</f>
        <v/>
      </c>
      <c r="P104" s="17" t="inlineStr">
        <is>
          <t>No</t>
        </is>
      </c>
    </row>
    <row r="105">
      <c r="A105" s="14" t="inlineStr">
        <is>
          <t>Terre di Mezzo</t>
        </is>
      </c>
      <c r="B105" s="14" t="inlineStr">
        <is>
          <t>Il piede di Freki</t>
        </is>
      </c>
      <c r="C105" s="14" t="inlineStr">
        <is>
          <t>Pija Lindenbaum</t>
        </is>
      </c>
      <c r="D105" s="14" t="inlineStr">
        <is>
          <t>L'Acchiappastorie – Albi illustrati</t>
        </is>
      </c>
      <c r="E105" s="14" t="inlineStr">
        <is>
          <t>albi illustrati (età indicativa)</t>
        </is>
      </c>
      <c r="F105" s="14" t="inlineStr">
        <is>
          <t>3-6 anni</t>
        </is>
      </c>
      <c r="G105" s="14" t="inlineStr">
        <is>
          <t>Albo illustrato</t>
        </is>
      </c>
      <c r="H105" s="14" t="inlineStr"/>
      <c r="I105" s="14" t="inlineStr">
        <is>
          <t>No</t>
        </is>
      </c>
      <c r="J105" s="14" t="inlineStr">
        <is>
          <t>Collana</t>
        </is>
      </c>
      <c r="K105" s="14" t="inlineStr">
        <is>
          <t>3-6 anni</t>
        </is>
      </c>
      <c r="L105" s="14" t="inlineStr">
        <is>
          <t>Catalogo Terre di Mezzo 1° semestre 2026, p. 22 (ISBN 9791259962584)</t>
        </is>
      </c>
      <c r="M105" s="16" t="n">
        <v>16</v>
      </c>
      <c r="N105" s="14" t="inlineStr">
        <is>
          <t>Catalogo Terre di Mezzo 1° semestre 2026</t>
        </is>
      </c>
      <c r="O105" s="16">
        <f>IF(ISNUMBER(M105),ROUND(M105*(1-Condizioni!$B$2),2),"")</f>
        <v/>
      </c>
      <c r="P105" s="17" t="inlineStr">
        <is>
          <t>No</t>
        </is>
      </c>
    </row>
    <row r="106">
      <c r="A106" s="14" t="inlineStr">
        <is>
          <t>Terre di Mezzo</t>
        </is>
      </c>
      <c r="B106" s="14" t="inlineStr">
        <is>
          <t>Il primo Natale di Babbo Natale</t>
        </is>
      </c>
      <c r="C106" s="14" t="inlineStr">
        <is>
          <t>Mac Barnett, Sydney Smith</t>
        </is>
      </c>
      <c r="D106" s="14" t="inlineStr">
        <is>
          <t>L'Acchiappastorie – Albi illustrati</t>
        </is>
      </c>
      <c r="E106" s="14" t="inlineStr">
        <is>
          <t>albi illustrati (età indicativa)</t>
        </is>
      </c>
      <c r="F106" s="14" t="inlineStr">
        <is>
          <t>3-6 anni</t>
        </is>
      </c>
      <c r="G106" s="14" t="inlineStr">
        <is>
          <t>Albo illustrato</t>
        </is>
      </c>
      <c r="H106" s="14" t="inlineStr"/>
      <c r="I106" s="14" t="inlineStr">
        <is>
          <t>No</t>
        </is>
      </c>
      <c r="J106" s="14" t="inlineStr">
        <is>
          <t>Collana</t>
        </is>
      </c>
      <c r="K106" s="14" t="inlineStr">
        <is>
          <t>3-6 anni</t>
        </is>
      </c>
      <c r="L106" s="14" t="inlineStr">
        <is>
          <t>Catalogo Terre di Mezzo 1° semestre 2026, p. 25 (ISBN 9791259962744)</t>
        </is>
      </c>
      <c r="M106" s="16" t="n">
        <v>16</v>
      </c>
      <c r="N106" s="14" t="inlineStr">
        <is>
          <t>Catalogo Terre di Mezzo 1° semestre 2026</t>
        </is>
      </c>
      <c r="O106" s="16">
        <f>IF(ISNUMBER(M106),ROUND(M106*(1-Condizioni!$B$2),2),"")</f>
        <v/>
      </c>
      <c r="P106" s="17" t="inlineStr">
        <is>
          <t>No</t>
        </is>
      </c>
    </row>
    <row r="107">
      <c r="A107" s="14" t="inlineStr">
        <is>
          <t>Terre di Mezzo</t>
        </is>
      </c>
      <c r="B107" s="14" t="inlineStr">
        <is>
          <t>Il primo caso dell’investigatore Talpone</t>
        </is>
      </c>
      <c r="C107" s="14" t="inlineStr">
        <is>
          <t>Camilla Pintonato</t>
        </is>
      </c>
      <c r="D107" s="14" t="inlineStr">
        <is>
          <t>L'Acchiappastorie – Albi illustrati</t>
        </is>
      </c>
      <c r="E107" s="14" t="inlineStr">
        <is>
          <t>albi illustrati (età indicativa)</t>
        </is>
      </c>
      <c r="F107" s="14" t="inlineStr">
        <is>
          <t>3-6 anni</t>
        </is>
      </c>
      <c r="G107" s="14" t="inlineStr">
        <is>
          <t>Albo illustrato</t>
        </is>
      </c>
      <c r="H107" s="14" t="inlineStr"/>
      <c r="I107" s="14" t="inlineStr">
        <is>
          <t>No</t>
        </is>
      </c>
      <c r="J107" s="14" t="inlineStr">
        <is>
          <t>Collana</t>
        </is>
      </c>
      <c r="K107" s="14" t="inlineStr">
        <is>
          <t>3-6 anni</t>
        </is>
      </c>
      <c r="L107" s="14" t="inlineStr">
        <is>
          <t>Catalogo Terre di Mezzo 1° semestre 2026, p. 35 (ISBN 9788861897168)</t>
        </is>
      </c>
      <c r="M107" s="16" t="n">
        <v>12.9</v>
      </c>
      <c r="N107" s="14" t="inlineStr">
        <is>
          <t>Catalogo Terre di Mezzo 1° semestre 2026</t>
        </is>
      </c>
      <c r="O107" s="16">
        <f>IF(ISNUMBER(M107),ROUND(M107*(1-Condizioni!$B$2),2),"")</f>
        <v/>
      </c>
      <c r="P107" s="17" t="inlineStr">
        <is>
          <t>No</t>
        </is>
      </c>
    </row>
    <row r="108">
      <c r="A108" s="14" t="inlineStr">
        <is>
          <t>Terre di Mezzo</t>
        </is>
      </c>
      <c r="B108" s="14" t="inlineStr">
        <is>
          <t>Il riflesso di Hariett</t>
        </is>
      </c>
      <c r="C108" s="14" t="inlineStr">
        <is>
          <t>Marion Kadi</t>
        </is>
      </c>
      <c r="D108" s="14" t="inlineStr">
        <is>
          <t>L'Acchiappastorie – Albi illustrati</t>
        </is>
      </c>
      <c r="E108" s="14" t="inlineStr">
        <is>
          <t>albi illustrati (età indicativa)</t>
        </is>
      </c>
      <c r="F108" s="14" t="inlineStr">
        <is>
          <t>3-6 anni</t>
        </is>
      </c>
      <c r="G108" s="14" t="inlineStr">
        <is>
          <t>Albo illustrato</t>
        </is>
      </c>
      <c r="H108" s="14" t="inlineStr"/>
      <c r="I108" s="14" t="inlineStr">
        <is>
          <t>No</t>
        </is>
      </c>
      <c r="J108" s="14" t="inlineStr">
        <is>
          <t>Collana</t>
        </is>
      </c>
      <c r="K108" s="14" t="inlineStr">
        <is>
          <t>3-6 anni</t>
        </is>
      </c>
      <c r="L108" s="14" t="inlineStr">
        <is>
          <t>Catalogo Terre di Mezzo 1° semestre 2026, p. 17 (ISBN 9791259960306)</t>
        </is>
      </c>
      <c r="M108" s="16" t="n">
        <v>16</v>
      </c>
      <c r="N108" s="14" t="inlineStr">
        <is>
          <t>Catalogo Terre di Mezzo 1° semestre 2026</t>
        </is>
      </c>
      <c r="O108" s="16">
        <f>IF(ISNUMBER(M108),ROUND(M108*(1-Condizioni!$B$2),2),"")</f>
        <v/>
      </c>
      <c r="P108" s="17" t="inlineStr">
        <is>
          <t>No</t>
        </is>
      </c>
    </row>
    <row r="109">
      <c r="A109" s="14" t="inlineStr">
        <is>
          <t>Terre di Mezzo</t>
        </is>
      </c>
      <c r="B109" s="14" t="inlineStr">
        <is>
          <t>Il superpotere delle storie</t>
        </is>
      </c>
      <c r="C109" s="14" t="inlineStr">
        <is>
          <t>Didier Lévy, Lorenzo Sangiò</t>
        </is>
      </c>
      <c r="D109" s="14" t="inlineStr">
        <is>
          <t>L'Acchiappastorie – Albi illustrati</t>
        </is>
      </c>
      <c r="E109" s="14" t="inlineStr">
        <is>
          <t>albi illustrati (età indicativa)</t>
        </is>
      </c>
      <c r="F109" s="14" t="inlineStr">
        <is>
          <t>3-6 anni</t>
        </is>
      </c>
      <c r="G109" s="14" t="inlineStr">
        <is>
          <t>Albo illustrato</t>
        </is>
      </c>
      <c r="H109" s="14" t="inlineStr"/>
      <c r="I109" s="14" t="inlineStr">
        <is>
          <t>No</t>
        </is>
      </c>
      <c r="J109" s="14" t="inlineStr">
        <is>
          <t>Collana</t>
        </is>
      </c>
      <c r="K109" s="14" t="inlineStr">
        <is>
          <t>3-6 anni</t>
        </is>
      </c>
      <c r="L109" s="14" t="inlineStr">
        <is>
          <t>Catalogo Terre di Mezzo 1° semestre 2026, p. 16 (ISBN 9791259961822)</t>
        </is>
      </c>
      <c r="M109" s="16" t="n">
        <v>16</v>
      </c>
      <c r="N109" s="14" t="inlineStr">
        <is>
          <t>Catalogo Terre di Mezzo 1° semestre 2026</t>
        </is>
      </c>
      <c r="O109" s="16">
        <f>IF(ISNUMBER(M109),ROUND(M109*(1-Condizioni!$B$2),2),"")</f>
        <v/>
      </c>
      <c r="P109" s="17" t="inlineStr">
        <is>
          <t>No</t>
        </is>
      </c>
    </row>
    <row r="110">
      <c r="A110" s="14" t="inlineStr">
        <is>
          <t>Terre di Mezzo</t>
        </is>
      </c>
      <c r="B110" s="14" t="inlineStr">
        <is>
          <t>Il tempo delle ciliegie</t>
        </is>
      </c>
      <c r="C110" s="14" t="inlineStr">
        <is>
          <t>Agnès de Lestrade, Valeria Docampo</t>
        </is>
      </c>
      <c r="D110" s="14" t="inlineStr">
        <is>
          <t>L'Acchiappastorie – Albi illustrati</t>
        </is>
      </c>
      <c r="E110" s="14" t="inlineStr">
        <is>
          <t>albi illustrati (età indicativa)</t>
        </is>
      </c>
      <c r="F110" s="14" t="inlineStr">
        <is>
          <t>3-6 anni</t>
        </is>
      </c>
      <c r="G110" s="14" t="inlineStr">
        <is>
          <t>Albo illustrato</t>
        </is>
      </c>
      <c r="H110" s="14" t="inlineStr"/>
      <c r="I110" s="14" t="inlineStr">
        <is>
          <t>No</t>
        </is>
      </c>
      <c r="J110" s="14" t="inlineStr">
        <is>
          <t>Collana</t>
        </is>
      </c>
      <c r="K110" s="14" t="inlineStr">
        <is>
          <t>3-6 anni</t>
        </is>
      </c>
      <c r="L110" s="14" t="inlineStr">
        <is>
          <t>Catalogo Terre di Mezzo 1° semestre 2026, p. 32 (ISBN 9791259961112)</t>
        </is>
      </c>
      <c r="M110" s="16" t="n">
        <v>16</v>
      </c>
      <c r="N110" s="14" t="inlineStr">
        <is>
          <t>Catalogo Terre di Mezzo 1° semestre 2026</t>
        </is>
      </c>
      <c r="O110" s="16">
        <f>IF(ISNUMBER(M110),ROUND(M110*(1-Condizioni!$B$2),2),"")</f>
        <v/>
      </c>
      <c r="P110" s="17" t="inlineStr">
        <is>
          <t>No</t>
        </is>
      </c>
    </row>
    <row r="111">
      <c r="A111" s="14" t="inlineStr">
        <is>
          <t>Terre di Mezzo</t>
        </is>
      </c>
      <c r="B111" s="14" t="inlineStr">
        <is>
          <t>Indovina chi viene a merenda?</t>
        </is>
      </c>
      <c r="C111" s="14" t="inlineStr">
        <is>
          <t>Laura Mucha, Marc Boutavant</t>
        </is>
      </c>
      <c r="D111" s="14" t="inlineStr">
        <is>
          <t>L'Acchiappastorie – Albi illustrati</t>
        </is>
      </c>
      <c r="E111" s="14" t="inlineStr">
        <is>
          <t>albi illustrati (età indicativa)</t>
        </is>
      </c>
      <c r="F111" s="14" t="inlineStr">
        <is>
          <t>3-6 anni</t>
        </is>
      </c>
      <c r="G111" s="14" t="inlineStr">
        <is>
          <t>Albo illustrato</t>
        </is>
      </c>
      <c r="H111" s="14" t="inlineStr"/>
      <c r="I111" s="14" t="inlineStr">
        <is>
          <t>No</t>
        </is>
      </c>
      <c r="J111" s="14" t="inlineStr">
        <is>
          <t>Collana</t>
        </is>
      </c>
      <c r="K111" s="14" t="inlineStr">
        <is>
          <t>3-6 anni</t>
        </is>
      </c>
      <c r="L111" s="14" t="inlineStr">
        <is>
          <t>Catalogo Terre di Mezzo 1° semestre 2026, p. 16 (ISBN 9791259963420)</t>
        </is>
      </c>
      <c r="M111" s="16" t="n">
        <v>16</v>
      </c>
      <c r="N111" s="14" t="inlineStr">
        <is>
          <t>Catalogo Terre di Mezzo 1° semestre 2026</t>
        </is>
      </c>
      <c r="O111" s="16">
        <f>IF(ISNUMBER(M111),ROUND(M111*(1-Condizioni!$B$2),2),"")</f>
        <v/>
      </c>
      <c r="P111" s="17" t="inlineStr">
        <is>
          <t>No</t>
        </is>
      </c>
    </row>
    <row r="112">
      <c r="A112" s="14" t="inlineStr">
        <is>
          <t>Terre di Mezzo</t>
        </is>
      </c>
      <c r="B112" s="14" t="inlineStr">
        <is>
          <t>Inventario dei giorni sospesi</t>
        </is>
      </c>
      <c r="C112" s="14" t="inlineStr">
        <is>
          <t>Agnès de Lestrade, Valeria Docampo</t>
        </is>
      </c>
      <c r="D112" s="14" t="inlineStr">
        <is>
          <t>L'Acchiappastorie – Albi illustrati</t>
        </is>
      </c>
      <c r="E112" s="14" t="inlineStr">
        <is>
          <t>albi illustrati (età indicativa)</t>
        </is>
      </c>
      <c r="F112" s="14" t="inlineStr">
        <is>
          <t>3-6 anni</t>
        </is>
      </c>
      <c r="G112" s="14" t="inlineStr">
        <is>
          <t>Albo illustrato</t>
        </is>
      </c>
      <c r="H112" s="14" t="inlineStr"/>
      <c r="I112" s="14" t="inlineStr">
        <is>
          <t>No</t>
        </is>
      </c>
      <c r="J112" s="14" t="inlineStr">
        <is>
          <t>Collana</t>
        </is>
      </c>
      <c r="K112" s="14" t="inlineStr">
        <is>
          <t>3-6 anni</t>
        </is>
      </c>
      <c r="L112" s="14" t="inlineStr">
        <is>
          <t>Catalogo Terre di Mezzo 1° semestre 2026, p. 34 (ISBN 9788861896574)</t>
        </is>
      </c>
      <c r="M112" s="16" t="n">
        <v>14</v>
      </c>
      <c r="N112" s="14" t="inlineStr">
        <is>
          <t>Catalogo Terre di Mezzo 1° semestre 2026</t>
        </is>
      </c>
      <c r="O112" s="16">
        <f>IF(ISNUMBER(M112),ROUND(M112*(1-Condizioni!$B$2),2),"")</f>
        <v/>
      </c>
      <c r="P112" s="17" t="inlineStr">
        <is>
          <t>No</t>
        </is>
      </c>
    </row>
    <row r="113">
      <c r="A113" s="14" t="inlineStr">
        <is>
          <t>Terre di Mezzo</t>
        </is>
      </c>
      <c r="B113" s="14" t="inlineStr">
        <is>
          <t>Io e il mio cane</t>
        </is>
      </c>
      <c r="C113" s="14" t="inlineStr">
        <is>
          <t>Luca Tortolini, Felicita Sala</t>
        </is>
      </c>
      <c r="D113" s="14" t="inlineStr">
        <is>
          <t>L'Acchiappastorie – Albi illustrati</t>
        </is>
      </c>
      <c r="E113" s="14" t="inlineStr">
        <is>
          <t>albi illustrati (età indicativa)</t>
        </is>
      </c>
      <c r="F113" s="14" t="inlineStr">
        <is>
          <t>3-6 anni</t>
        </is>
      </c>
      <c r="G113" s="14" t="inlineStr">
        <is>
          <t>Albo illustrato</t>
        </is>
      </c>
      <c r="H113" s="14" t="inlineStr"/>
      <c r="I113" s="14" t="inlineStr">
        <is>
          <t>No</t>
        </is>
      </c>
      <c r="J113" s="14" t="inlineStr">
        <is>
          <t>Collana</t>
        </is>
      </c>
      <c r="K113" s="14" t="inlineStr">
        <is>
          <t>3-6 anni</t>
        </is>
      </c>
      <c r="L113" s="14" t="inlineStr">
        <is>
          <t>Catalogo Terre di Mezzo 1° semestre 2026, p. 11 (ISBN 9791259962430)</t>
        </is>
      </c>
      <c r="M113" s="16" t="n">
        <v>16</v>
      </c>
      <c r="N113" s="14" t="inlineStr">
        <is>
          <t>Catalogo Terre di Mezzo 1° semestre 2026</t>
        </is>
      </c>
      <c r="O113" s="16">
        <f>IF(ISNUMBER(M113),ROUND(M113*(1-Condizioni!$B$2),2),"")</f>
        <v/>
      </c>
      <c r="P113" s="17" t="inlineStr">
        <is>
          <t>No</t>
        </is>
      </c>
    </row>
    <row r="114">
      <c r="A114" s="14" t="inlineStr">
        <is>
          <t>Terre di Mezzo</t>
        </is>
      </c>
      <c r="B114" s="14" t="inlineStr">
        <is>
          <t>Io non disegno, coloro!</t>
        </is>
      </c>
      <c r="C114" s="14" t="inlineStr">
        <is>
          <t>Adam Lehrhaupt, Felicita Sala</t>
        </is>
      </c>
      <c r="D114" s="14" t="inlineStr">
        <is>
          <t>L'Acchiappastorie – Albi illustrati</t>
        </is>
      </c>
      <c r="E114" s="14" t="inlineStr">
        <is>
          <t>albi illustrati (età indicativa)</t>
        </is>
      </c>
      <c r="F114" s="14" t="inlineStr">
        <is>
          <t>3-6 anni</t>
        </is>
      </c>
      <c r="G114" s="14" t="inlineStr">
        <is>
          <t>Albo illustrato</t>
        </is>
      </c>
      <c r="H114" s="14" t="inlineStr"/>
      <c r="I114" s="14" t="inlineStr">
        <is>
          <t>No</t>
        </is>
      </c>
      <c r="J114" s="14" t="inlineStr">
        <is>
          <t>Collana</t>
        </is>
      </c>
      <c r="K114" s="14" t="inlineStr">
        <is>
          <t>3-6 anni</t>
        </is>
      </c>
      <c r="L114" s="14" t="inlineStr">
        <is>
          <t>Catalogo Terre di Mezzo 1° semestre 2026, p. 15 (ISBN 9788861894693)</t>
        </is>
      </c>
      <c r="M114" s="16" t="n">
        <v>12.9</v>
      </c>
      <c r="N114" s="14" t="inlineStr">
        <is>
          <t>Catalogo Terre di Mezzo 1° semestre 2026</t>
        </is>
      </c>
      <c r="O114" s="16">
        <f>IF(ISNUMBER(M114),ROUND(M114*(1-Condizioni!$B$2),2),"")</f>
        <v/>
      </c>
      <c r="P114" s="17" t="inlineStr">
        <is>
          <t>No</t>
        </is>
      </c>
    </row>
    <row r="115">
      <c r="A115" s="14" t="inlineStr">
        <is>
          <t>Terre di Mezzo</t>
        </is>
      </c>
      <c r="B115" s="14" t="inlineStr">
        <is>
          <t>Io sono un cane</t>
        </is>
      </c>
      <c r="C115" s="14" t="inlineStr">
        <is>
          <t>Heena Baek</t>
        </is>
      </c>
      <c r="D115" s="14" t="inlineStr">
        <is>
          <t>L'Acchiappastorie – Albi illustrati</t>
        </is>
      </c>
      <c r="E115" s="14" t="inlineStr">
        <is>
          <t>albi illustrati (età indicativa)</t>
        </is>
      </c>
      <c r="F115" s="14" t="inlineStr">
        <is>
          <t>3-6 anni</t>
        </is>
      </c>
      <c r="G115" s="14" t="inlineStr">
        <is>
          <t>Albo illustrato</t>
        </is>
      </c>
      <c r="H115" s="14" t="inlineStr"/>
      <c r="I115" s="14" t="inlineStr">
        <is>
          <t>No</t>
        </is>
      </c>
      <c r="J115" s="14" t="inlineStr">
        <is>
          <t>Collana</t>
        </is>
      </c>
      <c r="K115" s="14" t="inlineStr">
        <is>
          <t>3-6 anni</t>
        </is>
      </c>
      <c r="L115" s="14" t="inlineStr">
        <is>
          <t>Catalogo Terre di Mezzo 1° semestre 2026, p. 20 (ISBN 9791259961792)</t>
        </is>
      </c>
      <c r="M115" s="16" t="n">
        <v>16</v>
      </c>
      <c r="N115" s="14" t="inlineStr">
        <is>
          <t>Catalogo Terre di Mezzo 1° semestre 2026</t>
        </is>
      </c>
      <c r="O115" s="16">
        <f>IF(ISNUMBER(M115),ROUND(M115*(1-Condizioni!$B$2),2),"")</f>
        <v/>
      </c>
      <c r="P115" s="17" t="inlineStr">
        <is>
          <t>No</t>
        </is>
      </c>
    </row>
    <row r="116">
      <c r="A116" s="14" t="inlineStr">
        <is>
          <t>Terre di Mezzo</t>
        </is>
      </c>
      <c r="B116" s="14" t="inlineStr">
        <is>
          <t>Jeppe in missione</t>
        </is>
      </c>
      <c r="C116" s="14" t="inlineStr">
        <is>
          <t>Jutta Bauer</t>
        </is>
      </c>
      <c r="D116" s="14" t="inlineStr">
        <is>
          <t>L'Acchiappastorie – Albi illustrati</t>
        </is>
      </c>
      <c r="E116" s="14" t="inlineStr">
        <is>
          <t>albi illustrati (età indicativa)</t>
        </is>
      </c>
      <c r="F116" s="14" t="inlineStr">
        <is>
          <t>3-6 anni</t>
        </is>
      </c>
      <c r="G116" s="14" t="inlineStr">
        <is>
          <t>Albo illustrato</t>
        </is>
      </c>
      <c r="H116" s="14" t="inlineStr"/>
      <c r="I116" s="14" t="inlineStr">
        <is>
          <t>No</t>
        </is>
      </c>
      <c r="J116" s="14" t="inlineStr">
        <is>
          <t>Collana</t>
        </is>
      </c>
      <c r="K116" s="14" t="inlineStr">
        <is>
          <t>3-6 anni</t>
        </is>
      </c>
      <c r="L116" s="14" t="inlineStr">
        <is>
          <t>Catalogo Terre di Mezzo 1° semestre 2026, p. 31 (ISBN 9791259960153)</t>
        </is>
      </c>
      <c r="M116" s="16" t="n">
        <v>15</v>
      </c>
      <c r="N116" s="14" t="inlineStr">
        <is>
          <t>Catalogo Terre di Mezzo 1° semestre 2026</t>
        </is>
      </c>
      <c r="O116" s="16">
        <f>IF(ISNUMBER(M116),ROUND(M116*(1-Condizioni!$B$2),2),"")</f>
        <v/>
      </c>
      <c r="P116" s="17" t="inlineStr">
        <is>
          <t>No</t>
        </is>
      </c>
    </row>
    <row r="117">
      <c r="A117" s="14" t="inlineStr">
        <is>
          <t>Terre di Mezzo</t>
        </is>
      </c>
      <c r="B117" s="14" t="inlineStr">
        <is>
          <t>La Signora Leoparda</t>
        </is>
      </c>
      <c r="C117" s="14" t="inlineStr">
        <is>
          <t>Natalia Shaloshvili</t>
        </is>
      </c>
      <c r="D117" s="14" t="inlineStr">
        <is>
          <t>L'Acchiappastorie – Albi illustrati</t>
        </is>
      </c>
      <c r="E117" s="14" t="inlineStr">
        <is>
          <t>albi illustrati (età indicativa)</t>
        </is>
      </c>
      <c r="F117" s="14" t="inlineStr">
        <is>
          <t>3-6 anni</t>
        </is>
      </c>
      <c r="G117" s="14" t="inlineStr">
        <is>
          <t>Albo illustrato</t>
        </is>
      </c>
      <c r="H117" s="14" t="inlineStr"/>
      <c r="I117" s="14" t="inlineStr">
        <is>
          <t>No</t>
        </is>
      </c>
      <c r="J117" s="14" t="inlineStr">
        <is>
          <t>Collana</t>
        </is>
      </c>
      <c r="K117" s="14" t="inlineStr">
        <is>
          <t>3-6 anni</t>
        </is>
      </c>
      <c r="L117" s="14" t="inlineStr">
        <is>
          <t>Catalogo Terre di Mezzo 1° semestre 2026, p. 29 (ISBN 9791259961259)</t>
        </is>
      </c>
      <c r="M117" s="16" t="n">
        <v>16</v>
      </c>
      <c r="N117" s="14" t="inlineStr">
        <is>
          <t>Catalogo Terre di Mezzo 1° semestre 2026</t>
        </is>
      </c>
      <c r="O117" s="16">
        <f>IF(ISNUMBER(M117),ROUND(M117*(1-Condizioni!$B$2),2),"")</f>
        <v/>
      </c>
      <c r="P117" s="17" t="inlineStr">
        <is>
          <t>No</t>
        </is>
      </c>
    </row>
    <row r="118">
      <c r="A118" s="14" t="inlineStr">
        <is>
          <t>Terre di Mezzo</t>
        </is>
      </c>
      <c r="B118" s="14" t="inlineStr">
        <is>
          <t>La Valle dei Mulini</t>
        </is>
      </c>
      <c r="C118" s="14" t="inlineStr">
        <is>
          <t>Noelia Blanco, Valeria Docampo</t>
        </is>
      </c>
      <c r="D118" s="14" t="inlineStr">
        <is>
          <t>L'Acchiappastorie – Albi illustrati</t>
        </is>
      </c>
      <c r="E118" s="14" t="inlineStr">
        <is>
          <t>albi illustrati (età indicativa)</t>
        </is>
      </c>
      <c r="F118" s="14" t="inlineStr">
        <is>
          <t>3-6 anni</t>
        </is>
      </c>
      <c r="G118" s="14" t="inlineStr">
        <is>
          <t>Albo illustrato</t>
        </is>
      </c>
      <c r="H118" s="14" t="inlineStr"/>
      <c r="I118" s="14" t="inlineStr">
        <is>
          <t>No</t>
        </is>
      </c>
      <c r="J118" s="14" t="inlineStr">
        <is>
          <t>Collana</t>
        </is>
      </c>
      <c r="K118" s="14" t="inlineStr">
        <is>
          <t>3-6 anni</t>
        </is>
      </c>
      <c r="L118" s="14" t="inlineStr">
        <is>
          <t>Catalogo Terre di Mezzo 1° semestre 2026, p. 33 (ISBN 9788861892675)</t>
        </is>
      </c>
      <c r="M118" s="16" t="n">
        <v>15</v>
      </c>
      <c r="N118" s="14" t="inlineStr">
        <is>
          <t>Catalogo Terre di Mezzo 1° semestre 2026</t>
        </is>
      </c>
      <c r="O118" s="16">
        <f>IF(ISNUMBER(M118),ROUND(M118*(1-Condizioni!$B$2),2),"")</f>
        <v/>
      </c>
      <c r="P118" s="17" t="inlineStr">
        <is>
          <t>No</t>
        </is>
      </c>
    </row>
    <row r="119">
      <c r="A119" s="14" t="inlineStr">
        <is>
          <t>Terre di Mezzo</t>
        </is>
      </c>
      <c r="B119" s="14" t="inlineStr">
        <is>
          <t>La Valle dei Mulini</t>
        </is>
      </c>
      <c r="C119" s="14" t="inlineStr">
        <is>
          <t>Noelia Blanco, Valeria Docampo</t>
        </is>
      </c>
      <c r="D119" s="14" t="inlineStr">
        <is>
          <t>L'Acchiappastorie – Albi illustrati</t>
        </is>
      </c>
      <c r="E119" s="14" t="inlineStr">
        <is>
          <t>albi illustrati (età indicativa)</t>
        </is>
      </c>
      <c r="F119" s="14" t="inlineStr">
        <is>
          <t>3-6 anni</t>
        </is>
      </c>
      <c r="G119" s="14" t="inlineStr">
        <is>
          <t>Albo illustrato</t>
        </is>
      </c>
      <c r="H119" s="14" t="inlineStr"/>
      <c r="I119" s="14" t="inlineStr">
        <is>
          <t>No</t>
        </is>
      </c>
      <c r="J119" s="14" t="inlineStr">
        <is>
          <t>Collana</t>
        </is>
      </c>
      <c r="K119" s="14" t="inlineStr">
        <is>
          <t>3-6 anni</t>
        </is>
      </c>
      <c r="L119" s="14" t="inlineStr">
        <is>
          <t>Catalogo Terre di Mezzo 1° semestre 2026, p. 33 (ISBN 9788861893528)</t>
        </is>
      </c>
      <c r="M119" s="16" t="n">
        <v>15</v>
      </c>
      <c r="N119" s="14" t="inlineStr">
        <is>
          <t>Catalogo Terre di Mezzo 1° semestre 2026</t>
        </is>
      </c>
      <c r="O119" s="16">
        <f>IF(ISNUMBER(M119),ROUND(M119*(1-Condizioni!$B$2),2),"")</f>
        <v/>
      </c>
      <c r="P119" s="17" t="inlineStr">
        <is>
          <t>No</t>
        </is>
      </c>
    </row>
    <row r="120">
      <c r="A120" s="14" t="inlineStr">
        <is>
          <t>Terre di Mezzo</t>
        </is>
      </c>
      <c r="B120" s="14" t="inlineStr">
        <is>
          <t>La bella addormentata</t>
        </is>
      </c>
      <c r="C120" s="14" t="inlineStr">
        <is>
          <t>The New York City Ballet, Valeria Docampo</t>
        </is>
      </c>
      <c r="D120" s="14" t="inlineStr">
        <is>
          <t>L'Acchiappastorie – Albi illustrati</t>
        </is>
      </c>
      <c r="E120" s="14" t="inlineStr">
        <is>
          <t>albi illustrati (età indicativa)</t>
        </is>
      </c>
      <c r="F120" s="14" t="inlineStr">
        <is>
          <t>3-6 anni</t>
        </is>
      </c>
      <c r="G120" s="14" t="inlineStr">
        <is>
          <t>Albo illustrato</t>
        </is>
      </c>
      <c r="H120" s="14" t="inlineStr"/>
      <c r="I120" s="14" t="inlineStr">
        <is>
          <t>No</t>
        </is>
      </c>
      <c r="J120" s="14" t="inlineStr">
        <is>
          <t>Collana</t>
        </is>
      </c>
      <c r="K120" s="14" t="inlineStr">
        <is>
          <t>3-6 anni</t>
        </is>
      </c>
      <c r="L120" s="14" t="inlineStr">
        <is>
          <t>Catalogo Terre di Mezzo 1° semestre 2026, p. 33 (ISBN 9788861894860)</t>
        </is>
      </c>
      <c r="M120" s="16" t="n">
        <v>15</v>
      </c>
      <c r="N120" s="14" t="inlineStr">
        <is>
          <t>Catalogo Terre di Mezzo 1° semestre 2026</t>
        </is>
      </c>
      <c r="O120" s="16">
        <f>IF(ISNUMBER(M120),ROUND(M120*(1-Condizioni!$B$2),2),"")</f>
        <v/>
      </c>
      <c r="P120" s="17" t="inlineStr">
        <is>
          <t>No</t>
        </is>
      </c>
    </row>
    <row r="121">
      <c r="A121" s="14" t="inlineStr">
        <is>
          <t>Terre di Mezzo</t>
        </is>
      </c>
      <c r="B121" s="14" t="inlineStr">
        <is>
          <t>La cosa più preziosa</t>
        </is>
      </c>
      <c r="C121" s="14" t="inlineStr">
        <is>
          <t>Victor D.O. Santos, Anna Forlati</t>
        </is>
      </c>
      <c r="D121" s="14" t="inlineStr">
        <is>
          <t>L'Acchiappastorie – Albi illustrati</t>
        </is>
      </c>
      <c r="E121" s="14" t="inlineStr">
        <is>
          <t>albi illustrati (età indicativa)</t>
        </is>
      </c>
      <c r="F121" s="14" t="inlineStr">
        <is>
          <t>3-6 anni</t>
        </is>
      </c>
      <c r="G121" s="14" t="inlineStr">
        <is>
          <t>Albo illustrato</t>
        </is>
      </c>
      <c r="H121" s="14" t="inlineStr"/>
      <c r="I121" s="14" t="inlineStr">
        <is>
          <t>No</t>
        </is>
      </c>
      <c r="J121" s="14" t="inlineStr">
        <is>
          <t>Collana</t>
        </is>
      </c>
      <c r="K121" s="14" t="inlineStr">
        <is>
          <t>3-6 anni</t>
        </is>
      </c>
      <c r="L121" s="14" t="inlineStr">
        <is>
          <t>Catalogo Terre di Mezzo 1° semestre 2026, p. 28 (ISBN 9791259961723)</t>
        </is>
      </c>
      <c r="M121" s="16" t="n">
        <v>16</v>
      </c>
      <c r="N121" s="14" t="inlineStr">
        <is>
          <t>Catalogo Terre di Mezzo 1° semestre 2026</t>
        </is>
      </c>
      <c r="O121" s="16">
        <f>IF(ISNUMBER(M121),ROUND(M121*(1-Condizioni!$B$2),2),"")</f>
        <v/>
      </c>
      <c r="P121" s="17" t="inlineStr">
        <is>
          <t>No</t>
        </is>
      </c>
    </row>
    <row r="122">
      <c r="A122" s="14" t="inlineStr">
        <is>
          <t>Terre di Mezzo</t>
        </is>
      </c>
      <c r="B122" s="14" t="inlineStr">
        <is>
          <t>La fata Sotto il letto</t>
        </is>
      </c>
      <c r="C122" s="14" t="inlineStr">
        <is>
          <t>Rosalinde Bonnet</t>
        </is>
      </c>
      <c r="D122" s="14" t="inlineStr">
        <is>
          <t>L'Acchiappastorie – Albi illustrati</t>
        </is>
      </c>
      <c r="E122" s="14" t="inlineStr">
        <is>
          <t>albi illustrati (età indicativa)</t>
        </is>
      </c>
      <c r="F122" s="14" t="inlineStr">
        <is>
          <t>3-6 anni</t>
        </is>
      </c>
      <c r="G122" s="14" t="inlineStr">
        <is>
          <t>Albo illustrato</t>
        </is>
      </c>
      <c r="H122" s="14" t="inlineStr"/>
      <c r="I122" s="14" t="inlineStr">
        <is>
          <t>No</t>
        </is>
      </c>
      <c r="J122" s="14" t="inlineStr">
        <is>
          <t>Collana</t>
        </is>
      </c>
      <c r="K122" s="14" t="inlineStr">
        <is>
          <t>3-6 anni</t>
        </is>
      </c>
      <c r="L122" s="14" t="inlineStr">
        <is>
          <t>Catalogo Terre di Mezzo 1° semestre 2026, p. 34 (ISBN 9788861897328)</t>
        </is>
      </c>
      <c r="M122" s="16" t="n">
        <v>15</v>
      </c>
      <c r="N122" s="14" t="inlineStr">
        <is>
          <t>Catalogo Terre di Mezzo 1° semestre 2026</t>
        </is>
      </c>
      <c r="O122" s="16">
        <f>IF(ISNUMBER(M122),ROUND(M122*(1-Condizioni!$B$2),2),"")</f>
        <v/>
      </c>
      <c r="P122" s="17" t="inlineStr">
        <is>
          <t>No</t>
        </is>
      </c>
    </row>
    <row r="123">
      <c r="A123" s="14" t="inlineStr">
        <is>
          <t>Terre di Mezzo</t>
        </is>
      </c>
      <c r="B123" s="14" t="inlineStr">
        <is>
          <t>La fata dell’acqua</t>
        </is>
      </c>
      <c r="C123" s="14" t="inlineStr">
        <is>
          <t>Heena Baek</t>
        </is>
      </c>
      <c r="D123" s="14" t="inlineStr">
        <is>
          <t>L'Acchiappastorie – Albi illustrati</t>
        </is>
      </c>
      <c r="E123" s="14" t="inlineStr">
        <is>
          <t>albi illustrati (età indicativa)</t>
        </is>
      </c>
      <c r="F123" s="14" t="inlineStr">
        <is>
          <t>3-6 anni</t>
        </is>
      </c>
      <c r="G123" s="14" t="inlineStr">
        <is>
          <t>Albo illustrato</t>
        </is>
      </c>
      <c r="H123" s="14" t="inlineStr"/>
      <c r="I123" s="14" t="inlineStr">
        <is>
          <t>No</t>
        </is>
      </c>
      <c r="J123" s="14" t="inlineStr">
        <is>
          <t>Collana</t>
        </is>
      </c>
      <c r="K123" s="14" t="inlineStr">
        <is>
          <t>3-6 anni</t>
        </is>
      </c>
      <c r="L123" s="14" t="inlineStr">
        <is>
          <t>Catalogo Terre di Mezzo 1° semestre 2026, p. 20 (ISBN 9791259961808)</t>
        </is>
      </c>
      <c r="M123" s="16" t="n">
        <v>16</v>
      </c>
      <c r="N123" s="14" t="inlineStr">
        <is>
          <t>Catalogo Terre di Mezzo 1° semestre 2026</t>
        </is>
      </c>
      <c r="O123" s="16">
        <f>IF(ISNUMBER(M123),ROUND(M123*(1-Condizioni!$B$2),2),"")</f>
        <v/>
      </c>
      <c r="P123" s="17" t="inlineStr">
        <is>
          <t>No</t>
        </is>
      </c>
    </row>
    <row r="124">
      <c r="A124" s="14" t="inlineStr">
        <is>
          <t>Terre di Mezzo</t>
        </is>
      </c>
      <c r="B124" s="14" t="inlineStr">
        <is>
          <t>La felicità segreta degli gnomi</t>
        </is>
      </c>
      <c r="C124" s="14" t="inlineStr">
        <is>
          <t>Lauren Soloy</t>
        </is>
      </c>
      <c r="D124" s="14" t="inlineStr">
        <is>
          <t>L'Acchiappastorie – Albi illustrati</t>
        </is>
      </c>
      <c r="E124" s="14" t="inlineStr">
        <is>
          <t>albi illustrati (età indicativa)</t>
        </is>
      </c>
      <c r="F124" s="14" t="inlineStr">
        <is>
          <t>3-6 anni</t>
        </is>
      </c>
      <c r="G124" s="14" t="inlineStr">
        <is>
          <t>Albo illustrato</t>
        </is>
      </c>
      <c r="H124" s="14" t="inlineStr"/>
      <c r="I124" s="14" t="inlineStr">
        <is>
          <t>No</t>
        </is>
      </c>
      <c r="J124" s="14" t="inlineStr">
        <is>
          <t>Collana</t>
        </is>
      </c>
      <c r="K124" s="14" t="inlineStr">
        <is>
          <t>3-6 anni</t>
        </is>
      </c>
      <c r="L124" s="14" t="inlineStr">
        <is>
          <t>Catalogo Terre di Mezzo 1° semestre 2026, p. 24 (ISBN 9791259961716)</t>
        </is>
      </c>
      <c r="M124" s="16" t="n">
        <v>15</v>
      </c>
      <c r="N124" s="14" t="inlineStr">
        <is>
          <t>Catalogo Terre di Mezzo 1° semestre 2026</t>
        </is>
      </c>
      <c r="O124" s="16">
        <f>IF(ISNUMBER(M124),ROUND(M124*(1-Condizioni!$B$2),2),"")</f>
        <v/>
      </c>
      <c r="P124" s="17" t="inlineStr">
        <is>
          <t>No</t>
        </is>
      </c>
    </row>
    <row r="125">
      <c r="A125" s="14" t="inlineStr">
        <is>
          <t>Terre di Mezzo</t>
        </is>
      </c>
      <c r="B125" s="14" t="inlineStr">
        <is>
          <t>La grande fabbrica delle parole</t>
        </is>
      </c>
      <c r="C125" s="14" t="inlineStr">
        <is>
          <t>Agnès de Lestrade, Valeria Docampo</t>
        </is>
      </c>
      <c r="D125" s="14" t="inlineStr">
        <is>
          <t>L'Acchiappastorie – Albi illustrati</t>
        </is>
      </c>
      <c r="E125" s="14" t="inlineStr">
        <is>
          <t>albi illustrati (età indicativa)</t>
        </is>
      </c>
      <c r="F125" s="14" t="inlineStr">
        <is>
          <t>3-6 anni</t>
        </is>
      </c>
      <c r="G125" s="14" t="inlineStr">
        <is>
          <t>Albo illustrato</t>
        </is>
      </c>
      <c r="H125" s="14" t="inlineStr"/>
      <c r="I125" s="14" t="inlineStr">
        <is>
          <t>No</t>
        </is>
      </c>
      <c r="J125" s="14" t="inlineStr">
        <is>
          <t>Collana</t>
        </is>
      </c>
      <c r="K125" s="14" t="inlineStr">
        <is>
          <t>3-6 anni</t>
        </is>
      </c>
      <c r="L125" s="14" t="inlineStr">
        <is>
          <t>Catalogo Terre di Mezzo 1° semestre 2026, p. 32 (ISBN 9791259962959)</t>
        </is>
      </c>
      <c r="M125" s="16" t="n">
        <v>18</v>
      </c>
      <c r="N125" s="14" t="inlineStr">
        <is>
          <t>Catalogo Terre di Mezzo 1° semestre 2026</t>
        </is>
      </c>
      <c r="O125" s="16">
        <f>IF(ISNUMBER(M125),ROUND(M125*(1-Condizioni!$B$2),2),"")</f>
        <v/>
      </c>
      <c r="P125" s="17" t="inlineStr">
        <is>
          <t>Sì</t>
        </is>
      </c>
    </row>
    <row r="126">
      <c r="A126" s="14" t="inlineStr">
        <is>
          <t>Terre di Mezzo</t>
        </is>
      </c>
      <c r="B126" s="14" t="inlineStr">
        <is>
          <t>La grande fabbrica delle parole</t>
        </is>
      </c>
      <c r="C126" s="14" t="inlineStr">
        <is>
          <t>Agnès de Lestrade, Valeria Docampo</t>
        </is>
      </c>
      <c r="D126" s="14" t="inlineStr">
        <is>
          <t>L'Acchiappastorie – Albi illustrati</t>
        </is>
      </c>
      <c r="E126" s="14" t="inlineStr">
        <is>
          <t>albi illustrati (età indicativa)</t>
        </is>
      </c>
      <c r="F126" s="14" t="inlineStr">
        <is>
          <t>3-6 anni</t>
        </is>
      </c>
      <c r="G126" s="14" t="inlineStr">
        <is>
          <t>Albo illustrato</t>
        </is>
      </c>
      <c r="H126" s="14" t="inlineStr"/>
      <c r="I126" s="14" t="inlineStr">
        <is>
          <t>No</t>
        </is>
      </c>
      <c r="J126" s="14" t="inlineStr">
        <is>
          <t>Collana</t>
        </is>
      </c>
      <c r="K126" s="14" t="inlineStr">
        <is>
          <t>3-6 anni</t>
        </is>
      </c>
      <c r="L126" s="14" t="inlineStr">
        <is>
          <t>Catalogo Terre di Mezzo 1° semestre 2026, p. 32 (ISBN 9788867891555)</t>
        </is>
      </c>
      <c r="M126" s="16" t="n">
        <v>18</v>
      </c>
      <c r="N126" s="14" t="inlineStr">
        <is>
          <t>Catalogo Terre di Mezzo 1° semestre 2026</t>
        </is>
      </c>
      <c r="O126" s="16">
        <f>IF(ISNUMBER(M126),ROUND(M126*(1-Condizioni!$B$2),2),"")</f>
        <v/>
      </c>
      <c r="P126" s="17" t="inlineStr">
        <is>
          <t>Sì</t>
        </is>
      </c>
    </row>
    <row r="127">
      <c r="A127" s="14" t="inlineStr">
        <is>
          <t>Terre di Mezzo</t>
        </is>
      </c>
      <c r="B127" s="14" t="inlineStr">
        <is>
          <t>La libertà del polpo</t>
        </is>
      </c>
      <c r="C127" s="14" t="inlineStr">
        <is>
          <t>Maile Meloy, Felicita Sala</t>
        </is>
      </c>
      <c r="D127" s="14" t="inlineStr">
        <is>
          <t>L'Acchiappastorie – Albi illustrati</t>
        </is>
      </c>
      <c r="E127" s="14" t="inlineStr">
        <is>
          <t>albi illustrati (età indicativa)</t>
        </is>
      </c>
      <c r="F127" s="14" t="inlineStr">
        <is>
          <t>3-6 anni</t>
        </is>
      </c>
      <c r="G127" s="14" t="inlineStr">
        <is>
          <t>Albo illustrato</t>
        </is>
      </c>
      <c r="H127" s="14" t="inlineStr"/>
      <c r="I127" s="14" t="inlineStr">
        <is>
          <t>No</t>
        </is>
      </c>
      <c r="J127" s="14" t="inlineStr">
        <is>
          <t>Collana</t>
        </is>
      </c>
      <c r="K127" s="14" t="inlineStr">
        <is>
          <t>3-6 anni</t>
        </is>
      </c>
      <c r="L127" s="14" t="inlineStr">
        <is>
          <t>Catalogo Terre di Mezzo 1° semestre 2026, p. 15 (ISBN 9788861897540)</t>
        </is>
      </c>
      <c r="M127" s="16" t="n">
        <v>16</v>
      </c>
      <c r="N127" s="14" t="inlineStr">
        <is>
          <t>Catalogo Terre di Mezzo 1° semestre 2026</t>
        </is>
      </c>
      <c r="O127" s="16">
        <f>IF(ISNUMBER(M127),ROUND(M127*(1-Condizioni!$B$2),2),"")</f>
        <v/>
      </c>
      <c r="P127" s="17" t="inlineStr">
        <is>
          <t>Sì</t>
        </is>
      </c>
    </row>
    <row r="128">
      <c r="A128" s="14" t="inlineStr">
        <is>
          <t>Terre di Mezzo</t>
        </is>
      </c>
      <c r="B128" s="14" t="inlineStr">
        <is>
          <t>La litigata</t>
        </is>
      </c>
      <c r="C128" s="14" t="inlineStr">
        <is>
          <t>Victoria Scoffier, Alain Laboile</t>
        </is>
      </c>
      <c r="D128" s="14" t="inlineStr">
        <is>
          <t>L'Acchiappastorie – Albi illustrati</t>
        </is>
      </c>
      <c r="E128" s="14" t="inlineStr">
        <is>
          <t>albi illustrati (età indicativa)</t>
        </is>
      </c>
      <c r="F128" s="14" t="inlineStr">
        <is>
          <t>3-6 anni</t>
        </is>
      </c>
      <c r="G128" s="14" t="inlineStr">
        <is>
          <t>Albo illustrato</t>
        </is>
      </c>
      <c r="H128" s="14" t="inlineStr"/>
      <c r="I128" s="14" t="inlineStr">
        <is>
          <t>No</t>
        </is>
      </c>
      <c r="J128" s="14" t="inlineStr">
        <is>
          <t>Collana</t>
        </is>
      </c>
      <c r="K128" s="14" t="inlineStr">
        <is>
          <t>3-6 anni</t>
        </is>
      </c>
      <c r="L128" s="14" t="inlineStr">
        <is>
          <t>Catalogo Terre di Mezzo 1° semestre 2026, p. 26 (ISBN 9791259962249)</t>
        </is>
      </c>
      <c r="M128" s="16" t="n">
        <v>18</v>
      </c>
      <c r="N128" s="14" t="inlineStr">
        <is>
          <t>Catalogo Terre di Mezzo 1° semestre 2026</t>
        </is>
      </c>
      <c r="O128" s="16">
        <f>IF(ISNUMBER(M128),ROUND(M128*(1-Condizioni!$B$2),2),"")</f>
        <v/>
      </c>
      <c r="P128" s="17" t="inlineStr">
        <is>
          <t>No</t>
        </is>
      </c>
    </row>
    <row r="129">
      <c r="A129" s="14" t="inlineStr">
        <is>
          <t>Terre di Mezzo</t>
        </is>
      </c>
      <c r="B129" s="14" t="inlineStr">
        <is>
          <t>La lucina di James</t>
        </is>
      </c>
      <c r="C129" s="14" t="inlineStr">
        <is>
          <t>Richard Jones</t>
        </is>
      </c>
      <c r="D129" s="14" t="inlineStr">
        <is>
          <t>L'Acchiappastorie – Albi illustrati</t>
        </is>
      </c>
      <c r="E129" s="14" t="inlineStr">
        <is>
          <t>albi illustrati (età indicativa)</t>
        </is>
      </c>
      <c r="F129" s="14" t="inlineStr">
        <is>
          <t>3-6 anni</t>
        </is>
      </c>
      <c r="G129" s="14" t="inlineStr">
        <is>
          <t>Albo illustrato</t>
        </is>
      </c>
      <c r="H129" s="14" t="inlineStr"/>
      <c r="I129" s="14" t="inlineStr">
        <is>
          <t>No</t>
        </is>
      </c>
      <c r="J129" s="14" t="inlineStr">
        <is>
          <t>Collana</t>
        </is>
      </c>
      <c r="K129" s="14" t="inlineStr">
        <is>
          <t>3-6 anni</t>
        </is>
      </c>
      <c r="L129" s="14" t="inlineStr">
        <is>
          <t>Catalogo Terre di Mezzo 1° semestre 2026, p. 18 (ISBN 9791259962904)</t>
        </is>
      </c>
      <c r="M129" s="16" t="n">
        <v>16</v>
      </c>
      <c r="N129" s="14" t="inlineStr">
        <is>
          <t>Catalogo Terre di Mezzo 1° semestre 2026</t>
        </is>
      </c>
      <c r="O129" s="16">
        <f>IF(ISNUMBER(M129),ROUND(M129*(1-Condizioni!$B$2),2),"")</f>
        <v/>
      </c>
      <c r="P129" s="17" t="inlineStr">
        <is>
          <t>No</t>
        </is>
      </c>
    </row>
    <row r="130">
      <c r="A130" s="14" t="inlineStr">
        <is>
          <t>Terre di Mezzo</t>
        </is>
      </c>
      <c r="B130" s="14" t="inlineStr">
        <is>
          <t>La migliore amica dei sentimenti</t>
        </is>
      </c>
      <c r="C130" s="14" t="inlineStr">
        <is>
          <t>Tina Oziewicz, Aleksandra Zając</t>
        </is>
      </c>
      <c r="D130" s="14" t="inlineStr">
        <is>
          <t>L'Acchiappastorie – Albi illustrati</t>
        </is>
      </c>
      <c r="E130" s="14" t="inlineStr">
        <is>
          <t>albi illustrati (età indicativa)</t>
        </is>
      </c>
      <c r="F130" s="14" t="inlineStr">
        <is>
          <t>3-6 anni</t>
        </is>
      </c>
      <c r="G130" s="14" t="inlineStr">
        <is>
          <t>Albo illustrato</t>
        </is>
      </c>
      <c r="H130" s="14" t="inlineStr"/>
      <c r="I130" s="14" t="inlineStr">
        <is>
          <t>No</t>
        </is>
      </c>
      <c r="J130" s="14" t="inlineStr">
        <is>
          <t>Collana</t>
        </is>
      </c>
      <c r="K130" s="14" t="inlineStr">
        <is>
          <t>3-6 anni</t>
        </is>
      </c>
      <c r="L130" s="14" t="inlineStr">
        <is>
          <t>Catalogo Terre di Mezzo 1° semestre 2026, p. 19 (ISBN 9791259963673)</t>
        </is>
      </c>
      <c r="M130" s="16" t="n">
        <v>16</v>
      </c>
      <c r="N130" s="14" t="inlineStr">
        <is>
          <t>Catalogo Terre di Mezzo 1° semestre 2026</t>
        </is>
      </c>
      <c r="O130" s="16">
        <f>IF(ISNUMBER(M130),ROUND(M130*(1-Condizioni!$B$2),2),"")</f>
        <v/>
      </c>
      <c r="P130" s="17" t="inlineStr">
        <is>
          <t>No</t>
        </is>
      </c>
    </row>
    <row r="131">
      <c r="A131" s="14" t="inlineStr">
        <is>
          <t>Terre di Mezzo</t>
        </is>
      </c>
      <c r="B131" s="14" t="inlineStr">
        <is>
          <t>La pazienza ama le fragole</t>
        </is>
      </c>
      <c r="C131" s="14" t="inlineStr">
        <is>
          <t>Tina Oziewicz, Aleksandra Zając</t>
        </is>
      </c>
      <c r="D131" s="14" t="inlineStr">
        <is>
          <t>L'Acchiappastorie – Albi illustrati</t>
        </is>
      </c>
      <c r="E131" s="14" t="inlineStr">
        <is>
          <t>albi illustrati (età indicativa)</t>
        </is>
      </c>
      <c r="F131" s="14" t="inlineStr">
        <is>
          <t>3-6 anni</t>
        </is>
      </c>
      <c r="G131" s="14" t="inlineStr">
        <is>
          <t>Albo illustrato</t>
        </is>
      </c>
      <c r="H131" s="14" t="inlineStr"/>
      <c r="I131" s="14" t="inlineStr">
        <is>
          <t>No</t>
        </is>
      </c>
      <c r="J131" s="14" t="inlineStr">
        <is>
          <t>Collana</t>
        </is>
      </c>
      <c r="K131" s="14" t="inlineStr">
        <is>
          <t>3-6 anni</t>
        </is>
      </c>
      <c r="L131" s="14" t="inlineStr">
        <is>
          <t>Catalogo Terre di Mezzo 1° semestre 2026, p. 19 (ISBN 9791259961341)</t>
        </is>
      </c>
      <c r="M131" s="16" t="n">
        <v>16</v>
      </c>
      <c r="N131" s="14" t="inlineStr">
        <is>
          <t>Catalogo Terre di Mezzo 1° semestre 2026</t>
        </is>
      </c>
      <c r="O131" s="16">
        <f>IF(ISNUMBER(M131),ROUND(M131*(1-Condizioni!$B$2),2),"")</f>
        <v/>
      </c>
      <c r="P131" s="17" t="inlineStr">
        <is>
          <t>No</t>
        </is>
      </c>
    </row>
    <row r="132">
      <c r="A132" s="14" t="inlineStr">
        <is>
          <t>Terre di Mezzo</t>
        </is>
      </c>
      <c r="B132" s="14" t="inlineStr">
        <is>
          <t>La piccola tessitrice di nebbia</t>
        </is>
      </c>
      <c r="C132" s="14" t="inlineStr">
        <is>
          <t>Agnès de Lestrade, Valeria Docampo</t>
        </is>
      </c>
      <c r="D132" s="14" t="inlineStr">
        <is>
          <t>L'Acchiappastorie – Albi illustrati</t>
        </is>
      </c>
      <c r="E132" s="14" t="inlineStr">
        <is>
          <t>albi illustrati (età indicativa)</t>
        </is>
      </c>
      <c r="F132" s="14" t="inlineStr">
        <is>
          <t>3-6 anni</t>
        </is>
      </c>
      <c r="G132" s="14" t="inlineStr">
        <is>
          <t>Albo illustrato</t>
        </is>
      </c>
      <c r="H132" s="14" t="inlineStr"/>
      <c r="I132" s="14" t="inlineStr">
        <is>
          <t>No</t>
        </is>
      </c>
      <c r="J132" s="14" t="inlineStr">
        <is>
          <t>Collana</t>
        </is>
      </c>
      <c r="K132" s="14" t="inlineStr">
        <is>
          <t>3-6 anni</t>
        </is>
      </c>
      <c r="L132" s="14" t="inlineStr">
        <is>
          <t>Catalogo Terre di Mezzo 1° semestre 2026, p. 34 (ISBN 9788861895041)</t>
        </is>
      </c>
      <c r="M132" s="16" t="n">
        <v>18</v>
      </c>
      <c r="N132" s="14" t="inlineStr">
        <is>
          <t>Catalogo Terre di Mezzo 1° semestre 2026</t>
        </is>
      </c>
      <c r="O132" s="16">
        <f>IF(ISNUMBER(M132),ROUND(M132*(1-Condizioni!$B$2),2),"")</f>
        <v/>
      </c>
      <c r="P132" s="17" t="inlineStr">
        <is>
          <t>No</t>
        </is>
      </c>
    </row>
    <row r="133">
      <c r="A133" s="14" t="inlineStr">
        <is>
          <t>Terre di Mezzo</t>
        </is>
      </c>
      <c r="B133" s="14" t="inlineStr">
        <is>
          <t>La più grande cena mai vista</t>
        </is>
      </c>
      <c r="C133" s="14" t="inlineStr">
        <is>
          <t>Dario Pomodoro, Lorenzo Sangiò</t>
        </is>
      </c>
      <c r="D133" s="14" t="inlineStr">
        <is>
          <t>L'Acchiappastorie – Albi illustrati</t>
        </is>
      </c>
      <c r="E133" s="14" t="inlineStr">
        <is>
          <t>albi illustrati (età indicativa)</t>
        </is>
      </c>
      <c r="F133" s="14" t="inlineStr">
        <is>
          <t>3-6 anni</t>
        </is>
      </c>
      <c r="G133" s="14" t="inlineStr">
        <is>
          <t>Albo illustrato</t>
        </is>
      </c>
      <c r="H133" s="14" t="inlineStr"/>
      <c r="I133" s="14" t="inlineStr">
        <is>
          <t>No</t>
        </is>
      </c>
      <c r="J133" s="14" t="inlineStr">
        <is>
          <t>Collana</t>
        </is>
      </c>
      <c r="K133" s="14" t="inlineStr">
        <is>
          <t>3-6 anni</t>
        </is>
      </c>
      <c r="L133" s="14" t="inlineStr">
        <is>
          <t>Catalogo Terre di Mezzo 1° semestre 2026, p. 9 (ISBN 9791259961846)</t>
        </is>
      </c>
      <c r="M133" s="16" t="n">
        <v>16</v>
      </c>
      <c r="N133" s="14" t="inlineStr">
        <is>
          <t>Catalogo Terre di Mezzo 1° semestre 2026</t>
        </is>
      </c>
      <c r="O133" s="16">
        <f>IF(ISNUMBER(M133),ROUND(M133*(1-Condizioni!$B$2),2),"")</f>
        <v/>
      </c>
      <c r="P133" s="17" t="inlineStr">
        <is>
          <t>No</t>
        </is>
      </c>
    </row>
    <row r="134">
      <c r="A134" s="14" t="inlineStr">
        <is>
          <t>Terre di Mezzo</t>
        </is>
      </c>
      <c r="B134" s="14" t="inlineStr">
        <is>
          <t>La regina dei colori</t>
        </is>
      </c>
      <c r="C134" s="14" t="inlineStr">
        <is>
          <t>Jutta Bauer</t>
        </is>
      </c>
      <c r="D134" s="14" t="inlineStr">
        <is>
          <t>L'Acchiappastorie – Albi illustrati</t>
        </is>
      </c>
      <c r="E134" s="14" t="inlineStr">
        <is>
          <t>albi illustrati (età indicativa)</t>
        </is>
      </c>
      <c r="F134" s="14" t="inlineStr">
        <is>
          <t>3-6 anni</t>
        </is>
      </c>
      <c r="G134" s="14" t="inlineStr">
        <is>
          <t>Albo illustrato</t>
        </is>
      </c>
      <c r="H134" s="14" t="inlineStr"/>
      <c r="I134" s="14" t="inlineStr">
        <is>
          <t>No</t>
        </is>
      </c>
      <c r="J134" s="14" t="inlineStr">
        <is>
          <t>Collana</t>
        </is>
      </c>
      <c r="K134" s="14" t="inlineStr">
        <is>
          <t>3-6 anni</t>
        </is>
      </c>
      <c r="L134" s="14" t="inlineStr">
        <is>
          <t>Catalogo Terre di Mezzo 1° semestre 2026, p. 31 (ISBN 9791259960283)</t>
        </is>
      </c>
      <c r="M134" s="16" t="n">
        <v>12</v>
      </c>
      <c r="N134" s="14" t="inlineStr">
        <is>
          <t>Catalogo Terre di Mezzo 1° semestre 2026</t>
        </is>
      </c>
      <c r="O134" s="16">
        <f>IF(ISNUMBER(M134),ROUND(M134*(1-Condizioni!$B$2),2),"")</f>
        <v/>
      </c>
      <c r="P134" s="17" t="inlineStr">
        <is>
          <t>No</t>
        </is>
      </c>
    </row>
    <row r="135">
      <c r="A135" s="14" t="inlineStr">
        <is>
          <t>Terre di Mezzo</t>
        </is>
      </c>
      <c r="B135" s="14" t="inlineStr">
        <is>
          <t>La vera storia della Strega Cattiva</t>
        </is>
      </c>
      <c r="C135" s="14" t="inlineStr">
        <is>
          <t>Luca Tortolini, Maja Celija</t>
        </is>
      </c>
      <c r="D135" s="14" t="inlineStr">
        <is>
          <t>L'Acchiappastorie – Albi illustrati</t>
        </is>
      </c>
      <c r="E135" s="14" t="inlineStr">
        <is>
          <t>albi illustrati (età indicativa)</t>
        </is>
      </c>
      <c r="F135" s="14" t="inlineStr">
        <is>
          <t>3-6 anni</t>
        </is>
      </c>
      <c r="G135" s="14" t="inlineStr">
        <is>
          <t>Albo illustrato</t>
        </is>
      </c>
      <c r="H135" s="14" t="inlineStr"/>
      <c r="I135" s="14" t="inlineStr">
        <is>
          <t>No</t>
        </is>
      </c>
      <c r="J135" s="14" t="inlineStr">
        <is>
          <t>Collana</t>
        </is>
      </c>
      <c r="K135" s="14" t="inlineStr">
        <is>
          <t>3-6 anni</t>
        </is>
      </c>
      <c r="L135" s="14" t="inlineStr">
        <is>
          <t>Catalogo Terre di Mezzo 1° semestre 2026, p. 12 (ISBN 9791259960122)</t>
        </is>
      </c>
      <c r="M135" s="16" t="n">
        <v>15</v>
      </c>
      <c r="N135" s="14" t="inlineStr">
        <is>
          <t>Catalogo Terre di Mezzo 1° semestre 2026</t>
        </is>
      </c>
      <c r="O135" s="16">
        <f>IF(ISNUMBER(M135),ROUND(M135*(1-Condizioni!$B$2),2),"")</f>
        <v/>
      </c>
      <c r="P135" s="17" t="inlineStr">
        <is>
          <t>Sì</t>
        </is>
      </c>
    </row>
    <row r="136">
      <c r="A136" s="14" t="inlineStr">
        <is>
          <t>Terre di Mezzo</t>
        </is>
      </c>
      <c r="B136" s="14" t="inlineStr">
        <is>
          <t>Le caramelle magiche</t>
        </is>
      </c>
      <c r="C136" s="14" t="inlineStr">
        <is>
          <t>Heena Baek</t>
        </is>
      </c>
      <c r="D136" s="14" t="inlineStr">
        <is>
          <t>L'Acchiappastorie – Albi illustrati</t>
        </is>
      </c>
      <c r="E136" s="14" t="inlineStr">
        <is>
          <t>albi illustrati (età indicativa)</t>
        </is>
      </c>
      <c r="F136" s="14" t="inlineStr">
        <is>
          <t>3-6 anni</t>
        </is>
      </c>
      <c r="G136" s="14" t="inlineStr">
        <is>
          <t>Albo illustrato</t>
        </is>
      </c>
      <c r="H136" s="14" t="inlineStr"/>
      <c r="I136" s="14" t="inlineStr">
        <is>
          <t>No</t>
        </is>
      </c>
      <c r="J136" s="14" t="inlineStr">
        <is>
          <t>Collana</t>
        </is>
      </c>
      <c r="K136" s="14" t="inlineStr">
        <is>
          <t>3-6 anni</t>
        </is>
      </c>
      <c r="L136" s="14" t="inlineStr">
        <is>
          <t>Catalogo Terre di Mezzo 1° semestre 2026, p. 20 (ISBN 9791259961037)</t>
        </is>
      </c>
      <c r="M136" s="16" t="n">
        <v>16</v>
      </c>
      <c r="N136" s="14" t="inlineStr">
        <is>
          <t>Catalogo Terre di Mezzo 1° semestre 2026</t>
        </is>
      </c>
      <c r="O136" s="16">
        <f>IF(ISNUMBER(M136),ROUND(M136*(1-Condizioni!$B$2),2),"")</f>
        <v/>
      </c>
      <c r="P136" s="17" t="inlineStr">
        <is>
          <t>No</t>
        </is>
      </c>
    </row>
    <row r="137">
      <c r="A137" s="14" t="inlineStr">
        <is>
          <t>Terre di Mezzo</t>
        </is>
      </c>
      <c r="B137" s="14" t="inlineStr">
        <is>
          <t>Le domande di Pomelo</t>
        </is>
      </c>
      <c r="C137" s="14" t="inlineStr">
        <is>
          <t>Ramona Bădescu, Benjamin Chaud</t>
        </is>
      </c>
      <c r="D137" s="14" t="inlineStr">
        <is>
          <t>L'Acchiappastorie – Albi illustrati</t>
        </is>
      </c>
      <c r="E137" s="14" t="inlineStr">
        <is>
          <t>albi illustrati (età indicativa)</t>
        </is>
      </c>
      <c r="F137" s="14" t="inlineStr">
        <is>
          <t>3-6 anni</t>
        </is>
      </c>
      <c r="G137" s="14" t="inlineStr">
        <is>
          <t>Albo illustrato</t>
        </is>
      </c>
      <c r="H137" s="14" t="inlineStr"/>
      <c r="I137" s="14" t="inlineStr">
        <is>
          <t>No</t>
        </is>
      </c>
      <c r="J137" s="14" t="inlineStr">
        <is>
          <t>Collana</t>
        </is>
      </c>
      <c r="K137" s="14" t="inlineStr">
        <is>
          <t>3-6 anni</t>
        </is>
      </c>
      <c r="L137" s="14" t="inlineStr">
        <is>
          <t>Catalogo Terre di Mezzo 1° semestre 2026, p. 37 (ISBN 9788861897199)</t>
        </is>
      </c>
      <c r="M137" s="16" t="n">
        <v>12</v>
      </c>
      <c r="N137" s="14" t="inlineStr">
        <is>
          <t>Catalogo Terre di Mezzo 1° semestre 2026</t>
        </is>
      </c>
      <c r="O137" s="16">
        <f>IF(ISNUMBER(M137),ROUND(M137*(1-Condizioni!$B$2),2),"")</f>
        <v/>
      </c>
      <c r="P137" s="17" t="inlineStr">
        <is>
          <t>No</t>
        </is>
      </c>
    </row>
    <row r="138">
      <c r="A138" s="14" t="inlineStr">
        <is>
          <t>Terre di Mezzo</t>
        </is>
      </c>
      <c r="B138" s="14" t="inlineStr">
        <is>
          <t>Le persone sono strane</t>
        </is>
      </c>
      <c r="C138" s="14" t="inlineStr">
        <is>
          <t>Victor D.O. Santos, Catarina Sobral</t>
        </is>
      </c>
      <c r="D138" s="14" t="inlineStr">
        <is>
          <t>L'Acchiappastorie – Albi illustrati</t>
        </is>
      </c>
      <c r="E138" s="14" t="inlineStr">
        <is>
          <t>albi illustrati (età indicativa)</t>
        </is>
      </c>
      <c r="F138" s="14" t="inlineStr">
        <is>
          <t>3-6 anni</t>
        </is>
      </c>
      <c r="G138" s="14" t="inlineStr">
        <is>
          <t>Albo illustrato</t>
        </is>
      </c>
      <c r="H138" s="14" t="inlineStr"/>
      <c r="I138" s="14" t="inlineStr">
        <is>
          <t>No</t>
        </is>
      </c>
      <c r="J138" s="14" t="inlineStr">
        <is>
          <t>Collana</t>
        </is>
      </c>
      <c r="K138" s="14" t="inlineStr">
        <is>
          <t>3-6 anni</t>
        </is>
      </c>
      <c r="L138" s="14" t="inlineStr">
        <is>
          <t>Catalogo Terre di Mezzo 1° semestre 2026, p. 12 (ISBN 9791259963581)</t>
        </is>
      </c>
      <c r="M138" s="16" t="n">
        <v>16</v>
      </c>
      <c r="N138" s="14" t="inlineStr">
        <is>
          <t>Catalogo Terre di Mezzo 1° semestre 2026</t>
        </is>
      </c>
      <c r="O138" s="16">
        <f>IF(ISNUMBER(M138),ROUND(M138*(1-Condizioni!$B$2),2),"")</f>
        <v/>
      </c>
      <c r="P138" s="17" t="inlineStr">
        <is>
          <t>Sì</t>
        </is>
      </c>
    </row>
    <row r="139">
      <c r="A139" s="14" t="inlineStr">
        <is>
          <t>Terre di Mezzo</t>
        </is>
      </c>
      <c r="B139" s="14" t="inlineStr">
        <is>
          <t>Le ridarelle. gita al lago</t>
        </is>
      </c>
      <c r="C139" s="14" t="inlineStr">
        <is>
          <t>Emma Lidia Squillari, Giuditta Campello</t>
        </is>
      </c>
      <c r="D139" s="14" t="inlineStr">
        <is>
          <t>L'Acchiappastorie – Albi illustrati</t>
        </is>
      </c>
      <c r="E139" s="14" t="inlineStr">
        <is>
          <t>albi illustrati (età indicativa)</t>
        </is>
      </c>
      <c r="F139" s="14" t="inlineStr">
        <is>
          <t>3-6 anni</t>
        </is>
      </c>
      <c r="G139" s="14" t="inlineStr">
        <is>
          <t>Albo illustrato</t>
        </is>
      </c>
      <c r="H139" s="14" t="inlineStr"/>
      <c r="I139" s="14" t="inlineStr">
        <is>
          <t>No</t>
        </is>
      </c>
      <c r="J139" s="14" t="inlineStr">
        <is>
          <t>Collana</t>
        </is>
      </c>
      <c r="K139" s="14" t="inlineStr">
        <is>
          <t>3-6 anni</t>
        </is>
      </c>
      <c r="L139" s="14" t="inlineStr">
        <is>
          <t>Catalogo Terre di Mezzo 1° semestre 2026, p. 13 (ISBN 9791259962263)</t>
        </is>
      </c>
      <c r="M139" s="16" t="n">
        <v>14</v>
      </c>
      <c r="N139" s="14" t="inlineStr">
        <is>
          <t>Catalogo Terre di Mezzo 1° semestre 2026</t>
        </is>
      </c>
      <c r="O139" s="16">
        <f>IF(ISNUMBER(M139),ROUND(M139*(1-Condizioni!$B$2),2),"")</f>
        <v/>
      </c>
      <c r="P139" s="17" t="inlineStr">
        <is>
          <t>No</t>
        </is>
      </c>
    </row>
    <row r="140">
      <c r="A140" s="14" t="inlineStr">
        <is>
          <t>Terre di Mezzo</t>
        </is>
      </c>
      <c r="B140" s="14" t="inlineStr">
        <is>
          <t>Le ridarelle. un pomeriggio da brivido</t>
        </is>
      </c>
      <c r="C140" s="14" t="inlineStr">
        <is>
          <t>Emma Lidia Squillari, Giuditta Campello</t>
        </is>
      </c>
      <c r="D140" s="14" t="inlineStr">
        <is>
          <t>L'Acchiappastorie – Albi illustrati</t>
        </is>
      </c>
      <c r="E140" s="14" t="inlineStr">
        <is>
          <t>albi illustrati (età indicativa)</t>
        </is>
      </c>
      <c r="F140" s="14" t="inlineStr">
        <is>
          <t>3-6 anni</t>
        </is>
      </c>
      <c r="G140" s="14" t="inlineStr">
        <is>
          <t>Albo illustrato</t>
        </is>
      </c>
      <c r="H140" s="14" t="inlineStr"/>
      <c r="I140" s="14" t="inlineStr">
        <is>
          <t>No</t>
        </is>
      </c>
      <c r="J140" s="14" t="inlineStr">
        <is>
          <t>Collana</t>
        </is>
      </c>
      <c r="K140" s="14" t="inlineStr">
        <is>
          <t>3-6 anni</t>
        </is>
      </c>
      <c r="L140" s="14" t="inlineStr">
        <is>
          <t>Catalogo Terre di Mezzo 1° semestre 2026, p. 13 (ISBN 9791259962348)</t>
        </is>
      </c>
      <c r="M140" s="16" t="n">
        <v>14</v>
      </c>
      <c r="N140" s="14" t="inlineStr">
        <is>
          <t>Catalogo Terre di Mezzo 1° semestre 2026</t>
        </is>
      </c>
      <c r="O140" s="16">
        <f>IF(ISNUMBER(M140),ROUND(M140*(1-Condizioni!$B$2),2),"")</f>
        <v/>
      </c>
      <c r="P140" s="17" t="inlineStr">
        <is>
          <t>No</t>
        </is>
      </c>
    </row>
    <row r="141">
      <c r="A141" s="14" t="inlineStr">
        <is>
          <t>Terre di Mezzo</t>
        </is>
      </c>
      <c r="B141" s="14" t="inlineStr">
        <is>
          <t>Leo. una storia di fantasmi</t>
        </is>
      </c>
      <c r="C141" s="14" t="inlineStr">
        <is>
          <t>Mac Barnett, Christian Robinson</t>
        </is>
      </c>
      <c r="D141" s="14" t="inlineStr">
        <is>
          <t>L'Acchiappastorie – Albi illustrati</t>
        </is>
      </c>
      <c r="E141" s="14" t="inlineStr">
        <is>
          <t>albi illustrati (età indicativa)</t>
        </is>
      </c>
      <c r="F141" s="14" t="inlineStr">
        <is>
          <t>3-6 anni</t>
        </is>
      </c>
      <c r="G141" s="14" t="inlineStr">
        <is>
          <t>Albo illustrato</t>
        </is>
      </c>
      <c r="H141" s="14" t="inlineStr"/>
      <c r="I141" s="14" t="inlineStr">
        <is>
          <t>No</t>
        </is>
      </c>
      <c r="J141" s="14" t="inlineStr">
        <is>
          <t>Collana</t>
        </is>
      </c>
      <c r="K141" s="14" t="inlineStr">
        <is>
          <t>3-6 anni</t>
        </is>
      </c>
      <c r="L141" s="14" t="inlineStr">
        <is>
          <t>Catalogo Terre di Mezzo 1° semestre 2026, p. 25 (ISBN 9788861894020)</t>
        </is>
      </c>
      <c r="M141" s="16" t="n">
        <v>15</v>
      </c>
      <c r="N141" s="14" t="inlineStr">
        <is>
          <t>Catalogo Terre di Mezzo 1° semestre 2026</t>
        </is>
      </c>
      <c r="O141" s="16">
        <f>IF(ISNUMBER(M141),ROUND(M141*(1-Condizioni!$B$2),2),"")</f>
        <v/>
      </c>
      <c r="P141" s="17" t="inlineStr">
        <is>
          <t>No</t>
        </is>
      </c>
    </row>
    <row r="142">
      <c r="A142" s="14" t="inlineStr">
        <is>
          <t>Terre di Mezzo</t>
        </is>
      </c>
      <c r="B142" s="14" t="inlineStr">
        <is>
          <t>Lo schiaccianoci</t>
        </is>
      </c>
      <c r="C142" s="14" t="inlineStr">
        <is>
          <t>The New York City Ballet, Valeria Docampo</t>
        </is>
      </c>
      <c r="D142" s="14" t="inlineStr">
        <is>
          <t>L'Acchiappastorie – Albi illustrati</t>
        </is>
      </c>
      <c r="E142" s="14" t="inlineStr">
        <is>
          <t>albi illustrati (età indicativa)</t>
        </is>
      </c>
      <c r="F142" s="14" t="inlineStr">
        <is>
          <t>3-6 anni</t>
        </is>
      </c>
      <c r="G142" s="14" t="inlineStr">
        <is>
          <t>Albo illustrato</t>
        </is>
      </c>
      <c r="H142" s="14" t="inlineStr"/>
      <c r="I142" s="14" t="inlineStr">
        <is>
          <t>No</t>
        </is>
      </c>
      <c r="J142" s="14" t="inlineStr">
        <is>
          <t>Collana</t>
        </is>
      </c>
      <c r="K142" s="14" t="inlineStr">
        <is>
          <t>3-6 anni</t>
        </is>
      </c>
      <c r="L142" s="14" t="inlineStr">
        <is>
          <t>Catalogo Terre di Mezzo 1° semestre 2026, p. 33 (ISBN 9788861894365)</t>
        </is>
      </c>
      <c r="M142" s="16" t="n">
        <v>15</v>
      </c>
      <c r="N142" s="14" t="inlineStr">
        <is>
          <t>Catalogo Terre di Mezzo 1° semestre 2026</t>
        </is>
      </c>
      <c r="O142" s="16">
        <f>IF(ISNUMBER(M142),ROUND(M142*(1-Condizioni!$B$2),2),"")</f>
        <v/>
      </c>
      <c r="P142" s="17" t="inlineStr">
        <is>
          <t>No</t>
        </is>
      </c>
    </row>
    <row r="143">
      <c r="A143" s="14" t="inlineStr">
        <is>
          <t>Terre di Mezzo</t>
        </is>
      </c>
      <c r="B143" s="14" t="inlineStr">
        <is>
          <t>Lucy e il filo dell’amicizia</t>
        </is>
      </c>
      <c r="C143" s="14" t="inlineStr">
        <is>
          <t>Vanessa Roeder</t>
        </is>
      </c>
      <c r="D143" s="14" t="inlineStr">
        <is>
          <t>L'Acchiappastorie – Albi illustrati</t>
        </is>
      </c>
      <c r="E143" s="14" t="inlineStr">
        <is>
          <t>albi illustrati (età indicativa)</t>
        </is>
      </c>
      <c r="F143" s="14" t="inlineStr">
        <is>
          <t>3-6 anni</t>
        </is>
      </c>
      <c r="G143" s="14" t="inlineStr">
        <is>
          <t>Albo illustrato</t>
        </is>
      </c>
      <c r="H143" s="14" t="inlineStr"/>
      <c r="I143" s="14" t="inlineStr">
        <is>
          <t>No</t>
        </is>
      </c>
      <c r="J143" s="14" t="inlineStr">
        <is>
          <t>Collana</t>
        </is>
      </c>
      <c r="K143" s="14" t="inlineStr">
        <is>
          <t>3-6 anni</t>
        </is>
      </c>
      <c r="L143" s="14" t="inlineStr">
        <is>
          <t>Catalogo Terre di Mezzo 1° semestre 2026, p. 31 (ISBN 9788861894952)</t>
        </is>
      </c>
      <c r="M143" s="16" t="n">
        <v>16</v>
      </c>
      <c r="N143" s="14" t="inlineStr">
        <is>
          <t>Catalogo Terre di Mezzo 1° semestre 2026</t>
        </is>
      </c>
      <c r="O143" s="16">
        <f>IF(ISNUMBER(M143),ROUND(M143*(1-Condizioni!$B$2),2),"")</f>
        <v/>
      </c>
      <c r="P143" s="17" t="inlineStr">
        <is>
          <t>No</t>
        </is>
      </c>
    </row>
    <row r="144">
      <c r="A144" s="14" t="inlineStr">
        <is>
          <t>Terre di Mezzo</t>
        </is>
      </c>
      <c r="B144" s="14" t="inlineStr">
        <is>
          <t>L’alleanza dei bambini</t>
        </is>
      </c>
      <c r="C144" s="14" t="inlineStr">
        <is>
          <t>Pija Lindenbaum</t>
        </is>
      </c>
      <c r="D144" s="14" t="inlineStr">
        <is>
          <t>L'Acchiappastorie – Albi illustrati</t>
        </is>
      </c>
      <c r="E144" s="14" t="inlineStr">
        <is>
          <t>albi illustrati (età indicativa)</t>
        </is>
      </c>
      <c r="F144" s="14" t="inlineStr">
        <is>
          <t>3-6 anni</t>
        </is>
      </c>
      <c r="G144" s="14" t="inlineStr">
        <is>
          <t>Albo illustrato</t>
        </is>
      </c>
      <c r="H144" s="14" t="inlineStr"/>
      <c r="I144" s="14" t="inlineStr">
        <is>
          <t>No</t>
        </is>
      </c>
      <c r="J144" s="14" t="inlineStr">
        <is>
          <t>Collana</t>
        </is>
      </c>
      <c r="K144" s="14" t="inlineStr">
        <is>
          <t>3-6 anni</t>
        </is>
      </c>
      <c r="L144" s="14" t="inlineStr">
        <is>
          <t>Catalogo Terre di Mezzo 1° semestre 2026, p. 22 (ISBN 9791259960412)</t>
        </is>
      </c>
      <c r="M144" s="16" t="n">
        <v>16</v>
      </c>
      <c r="N144" s="14" t="inlineStr">
        <is>
          <t>Catalogo Terre di Mezzo 1° semestre 2026</t>
        </is>
      </c>
      <c r="O144" s="16">
        <f>IF(ISNUMBER(M144),ROUND(M144*(1-Condizioni!$B$2),2),"")</f>
        <v/>
      </c>
      <c r="P144" s="17" t="inlineStr">
        <is>
          <t>No</t>
        </is>
      </c>
    </row>
    <row r="145">
      <c r="A145" s="14" t="inlineStr">
        <is>
          <t>Terre di Mezzo</t>
        </is>
      </c>
      <c r="B145" s="14" t="inlineStr">
        <is>
          <t>L’altalena di chi è?</t>
        </is>
      </c>
      <c r="C145" s="14" t="inlineStr">
        <is>
          <t>Anselmo Roveda, Elisabetta Civardi</t>
        </is>
      </c>
      <c r="D145" s="14" t="inlineStr">
        <is>
          <t>L'Acchiappastorie – Albi illustrati</t>
        </is>
      </c>
      <c r="E145" s="14" t="inlineStr">
        <is>
          <t>albi illustrati (età indicativa)</t>
        </is>
      </c>
      <c r="F145" s="14" t="inlineStr">
        <is>
          <t>3-6 anni</t>
        </is>
      </c>
      <c r="G145" s="14" t="inlineStr">
        <is>
          <t>Albo illustrato</t>
        </is>
      </c>
      <c r="H145" s="14" t="inlineStr"/>
      <c r="I145" s="14" t="inlineStr">
        <is>
          <t>No</t>
        </is>
      </c>
      <c r="J145" s="14" t="inlineStr">
        <is>
          <t>Collana</t>
        </is>
      </c>
      <c r="K145" s="14" t="inlineStr">
        <is>
          <t>3-6 anni</t>
        </is>
      </c>
      <c r="L145" s="14" t="inlineStr">
        <is>
          <t>Catalogo Terre di Mezzo 1° semestre 2026, p. 38 (ISBN 9791259960238)</t>
        </is>
      </c>
      <c r="M145" s="16" t="n">
        <v>12.9</v>
      </c>
      <c r="N145" s="14" t="inlineStr">
        <is>
          <t>Catalogo Terre di Mezzo 1° semestre 2026</t>
        </is>
      </c>
      <c r="O145" s="16">
        <f>IF(ISNUMBER(M145),ROUND(M145*(1-Condizioni!$B$2),2),"")</f>
        <v/>
      </c>
      <c r="P145" s="17" t="inlineStr">
        <is>
          <t>No</t>
        </is>
      </c>
    </row>
    <row r="146">
      <c r="A146" s="14" t="inlineStr">
        <is>
          <t>Terre di Mezzo</t>
        </is>
      </c>
      <c r="B146" s="14" t="inlineStr">
        <is>
          <t>L’isola dei ricordi</t>
        </is>
      </c>
      <c r="C146" s="14" t="inlineStr">
        <is>
          <t>Alexandra Helmig, Valeria Docampo</t>
        </is>
      </c>
      <c r="D146" s="14" t="inlineStr">
        <is>
          <t>L'Acchiappastorie – Albi illustrati</t>
        </is>
      </c>
      <c r="E146" s="14" t="inlineStr">
        <is>
          <t>albi illustrati (età indicativa)</t>
        </is>
      </c>
      <c r="F146" s="14" t="inlineStr">
        <is>
          <t>3-6 anni</t>
        </is>
      </c>
      <c r="G146" s="14" t="inlineStr">
        <is>
          <t>Albo illustrato</t>
        </is>
      </c>
      <c r="H146" s="14" t="inlineStr"/>
      <c r="I146" s="14" t="inlineStr">
        <is>
          <t>No</t>
        </is>
      </c>
      <c r="J146" s="14" t="inlineStr">
        <is>
          <t>Collana</t>
        </is>
      </c>
      <c r="K146" s="14" t="inlineStr">
        <is>
          <t>3-6 anni</t>
        </is>
      </c>
      <c r="L146" s="14" t="inlineStr">
        <is>
          <t>Catalogo Terre di Mezzo 1° semestre 2026, p. 32 (ISBN 9791259961617)</t>
        </is>
      </c>
      <c r="M146" s="16" t="n">
        <v>16</v>
      </c>
      <c r="N146" s="14" t="inlineStr">
        <is>
          <t>Catalogo Terre di Mezzo 1° semestre 2026</t>
        </is>
      </c>
      <c r="O146" s="16">
        <f>IF(ISNUMBER(M146),ROUND(M146*(1-Condizioni!$B$2),2),"")</f>
        <v/>
      </c>
      <c r="P146" s="17" t="inlineStr">
        <is>
          <t>No</t>
        </is>
      </c>
    </row>
    <row r="147">
      <c r="A147" s="14" t="inlineStr">
        <is>
          <t>Terre di Mezzo</t>
        </is>
      </c>
      <c r="B147" s="14" t="inlineStr">
        <is>
          <t>L’isola dessert</t>
        </is>
      </c>
      <c r="C147" s="14" t="inlineStr">
        <is>
          <t>Ben Zhu</t>
        </is>
      </c>
      <c r="D147" s="14" t="inlineStr">
        <is>
          <t>L'Acchiappastorie – Albi illustrati</t>
        </is>
      </c>
      <c r="E147" s="14" t="inlineStr">
        <is>
          <t>albi illustrati (età indicativa)</t>
        </is>
      </c>
      <c r="F147" s="14" t="inlineStr">
        <is>
          <t>3-6 anni</t>
        </is>
      </c>
      <c r="G147" s="14" t="inlineStr">
        <is>
          <t>Albo illustrato</t>
        </is>
      </c>
      <c r="H147" s="14" t="inlineStr"/>
      <c r="I147" s="14" t="inlineStr">
        <is>
          <t>No</t>
        </is>
      </c>
      <c r="J147" s="14" t="inlineStr">
        <is>
          <t>Collana</t>
        </is>
      </c>
      <c r="K147" s="14" t="inlineStr">
        <is>
          <t>3-6 anni</t>
        </is>
      </c>
      <c r="L147" s="14" t="inlineStr">
        <is>
          <t>Catalogo Terre di Mezzo 1° semestre 2026, p. 36 (ISBN 9788861897113)</t>
        </is>
      </c>
      <c r="M147" s="16" t="n">
        <v>15</v>
      </c>
      <c r="N147" s="14" t="inlineStr">
        <is>
          <t>Catalogo Terre di Mezzo 1° semestre 2026</t>
        </is>
      </c>
      <c r="O147" s="16">
        <f>IF(ISNUMBER(M147),ROUND(M147*(1-Condizioni!$B$2),2),"")</f>
        <v/>
      </c>
      <c r="P147" s="17" t="inlineStr">
        <is>
          <t>No</t>
        </is>
      </c>
    </row>
    <row r="148">
      <c r="A148" s="14" t="inlineStr">
        <is>
          <t>Terre di Mezzo</t>
        </is>
      </c>
      <c r="B148" s="14" t="inlineStr">
        <is>
          <t>L’ometto a cui non piaceva nulla</t>
        </is>
      </c>
      <c r="C148" s="14" t="inlineStr">
        <is>
          <t>Pépito Matéo, Irène Bonacina</t>
        </is>
      </c>
      <c r="D148" s="14" t="inlineStr">
        <is>
          <t>L'Acchiappastorie – Albi illustrati</t>
        </is>
      </c>
      <c r="E148" s="14" t="inlineStr">
        <is>
          <t>albi illustrati (età indicativa)</t>
        </is>
      </c>
      <c r="F148" s="14" t="inlineStr">
        <is>
          <t>3-6 anni</t>
        </is>
      </c>
      <c r="G148" s="14" t="inlineStr">
        <is>
          <t>Albo illustrato</t>
        </is>
      </c>
      <c r="H148" s="14" t="inlineStr"/>
      <c r="I148" s="14" t="inlineStr">
        <is>
          <t>No</t>
        </is>
      </c>
      <c r="J148" s="14" t="inlineStr">
        <is>
          <t>Collana</t>
        </is>
      </c>
      <c r="K148" s="14" t="inlineStr">
        <is>
          <t>3-6 anni</t>
        </is>
      </c>
      <c r="L148" s="14" t="inlineStr">
        <is>
          <t>Catalogo Terre di Mezzo 1° semestre 2026, p. 16 (ISBN 9791259962324)</t>
        </is>
      </c>
      <c r="M148" s="16" t="n">
        <v>16</v>
      </c>
      <c r="N148" s="14" t="inlineStr">
        <is>
          <t>Catalogo Terre di Mezzo 1° semestre 2026</t>
        </is>
      </c>
      <c r="O148" s="16">
        <f>IF(ISNUMBER(M148),ROUND(M148*(1-Condizioni!$B$2),2),"")</f>
        <v/>
      </c>
      <c r="P148" s="17" t="inlineStr">
        <is>
          <t>No</t>
        </is>
      </c>
    </row>
    <row r="149">
      <c r="A149" s="14" t="inlineStr">
        <is>
          <t>Terre di Mezzo</t>
        </is>
      </c>
      <c r="B149" s="14" t="inlineStr">
        <is>
          <t>L’uomo che vendeva il tempo</t>
        </is>
      </c>
      <c r="C149" s="14" t="inlineStr">
        <is>
          <t>Luca Cognolato, Marco Paschetta</t>
        </is>
      </c>
      <c r="D149" s="14" t="inlineStr">
        <is>
          <t>L'Acchiappastorie – Albi illustrati</t>
        </is>
      </c>
      <c r="E149" s="14" t="inlineStr">
        <is>
          <t>albi illustrati (età indicativa)</t>
        </is>
      </c>
      <c r="F149" s="14" t="inlineStr">
        <is>
          <t>3-6 anni</t>
        </is>
      </c>
      <c r="G149" s="14" t="inlineStr">
        <is>
          <t>Albo illustrato</t>
        </is>
      </c>
      <c r="H149" s="14" t="inlineStr"/>
      <c r="I149" s="14" t="inlineStr">
        <is>
          <t>No</t>
        </is>
      </c>
      <c r="J149" s="14" t="inlineStr">
        <is>
          <t>Collana</t>
        </is>
      </c>
      <c r="K149" s="14" t="inlineStr">
        <is>
          <t>3-6 anni</t>
        </is>
      </c>
      <c r="L149" s="14" t="inlineStr">
        <is>
          <t>Catalogo Terre di Mezzo 1° semestre 2026, p. 9 (ISBN 9791259960962)</t>
        </is>
      </c>
      <c r="M149" s="16" t="n">
        <v>16</v>
      </c>
      <c r="N149" s="14" t="inlineStr">
        <is>
          <t>Catalogo Terre di Mezzo 1° semestre 2026</t>
        </is>
      </c>
      <c r="O149" s="16">
        <f>IF(ISNUMBER(M149),ROUND(M149*(1-Condizioni!$B$2),2),"")</f>
        <v/>
      </c>
      <c r="P149" s="17" t="inlineStr">
        <is>
          <t>No</t>
        </is>
      </c>
    </row>
    <row r="150">
      <c r="A150" s="14" t="inlineStr">
        <is>
          <t>Terre di Mezzo</t>
        </is>
      </c>
      <c r="B150" s="14" t="inlineStr">
        <is>
          <t>Nel palazzo dei dim sum</t>
        </is>
      </c>
      <c r="C150" s="14" t="inlineStr">
        <is>
          <t>X. Fang</t>
        </is>
      </c>
      <c r="D150" s="14" t="inlineStr">
        <is>
          <t>L'Acchiappastorie – Albi illustrati</t>
        </is>
      </c>
      <c r="E150" s="14" t="inlineStr">
        <is>
          <t>albi illustrati (età indicativa)</t>
        </is>
      </c>
      <c r="F150" s="14" t="inlineStr">
        <is>
          <t>3-6 anni</t>
        </is>
      </c>
      <c r="G150" s="14" t="inlineStr">
        <is>
          <t>Albo illustrato</t>
        </is>
      </c>
      <c r="H150" s="14" t="inlineStr"/>
      <c r="I150" s="14" t="inlineStr">
        <is>
          <t>No</t>
        </is>
      </c>
      <c r="J150" s="14" t="inlineStr">
        <is>
          <t>Collana</t>
        </is>
      </c>
      <c r="K150" s="14" t="inlineStr">
        <is>
          <t>3-6 anni</t>
        </is>
      </c>
      <c r="L150" s="14" t="inlineStr">
        <is>
          <t>Catalogo Terre di Mezzo 1° semestre 2026, p. 17 (ISBN 9791259963376)</t>
        </is>
      </c>
      <c r="M150" s="16" t="n">
        <v>16</v>
      </c>
      <c r="N150" s="14" t="inlineStr">
        <is>
          <t>Catalogo Terre di Mezzo 1° semestre 2026</t>
        </is>
      </c>
      <c r="O150" s="16">
        <f>IF(ISNUMBER(M150),ROUND(M150*(1-Condizioni!$B$2),2),"")</f>
        <v/>
      </c>
      <c r="P150" s="17" t="inlineStr">
        <is>
          <t>No</t>
        </is>
      </c>
    </row>
    <row r="151">
      <c r="A151" s="14" t="inlineStr">
        <is>
          <t>Terre di Mezzo</t>
        </is>
      </c>
      <c r="B151" s="14" t="inlineStr">
        <is>
          <t>Nella foresta non si parla d’altro</t>
        </is>
      </c>
      <c r="C151" s="14" t="inlineStr">
        <is>
          <t>LE ELEZIONI DEGLI ANIMALI.</t>
        </is>
      </c>
      <c r="D151" s="14" t="inlineStr">
        <is>
          <t>L'Acchiappastorie – Albi illustrati</t>
        </is>
      </c>
      <c r="E151" s="14" t="inlineStr">
        <is>
          <t>albi illustrati (età indicativa)</t>
        </is>
      </c>
      <c r="F151" s="14" t="inlineStr">
        <is>
          <t>3-6 anni</t>
        </is>
      </c>
      <c r="G151" s="14" t="inlineStr">
        <is>
          <t>Albo illustrato</t>
        </is>
      </c>
      <c r="H151" s="14" t="inlineStr"/>
      <c r="I151" s="14" t="inlineStr">
        <is>
          <t>No</t>
        </is>
      </c>
      <c r="J151" s="14" t="inlineStr">
        <is>
          <t>Collana</t>
        </is>
      </c>
      <c r="K151" s="14" t="inlineStr">
        <is>
          <t>3-6 anni</t>
        </is>
      </c>
      <c r="L151" s="14" t="inlineStr">
        <is>
          <t>Catalogo Terre di Mezzo 1° semestre 2026, p. 24 (ISBN 9791259962362)</t>
        </is>
      </c>
      <c r="M151" s="16" t="n">
        <v>14</v>
      </c>
      <c r="N151" s="14" t="inlineStr">
        <is>
          <t>Catalogo Terre di Mezzo 1° semestre 2026</t>
        </is>
      </c>
      <c r="O151" s="16">
        <f>IF(ISNUMBER(M151),ROUND(M151*(1-Condizioni!$B$2),2),"")</f>
        <v/>
      </c>
      <c r="P151" s="17" t="inlineStr">
        <is>
          <t>No</t>
        </is>
      </c>
    </row>
    <row r="152">
      <c r="A152" s="14" t="inlineStr">
        <is>
          <t>Terre di Mezzo</t>
        </is>
      </c>
      <c r="B152" s="14" t="inlineStr">
        <is>
          <t>Nessuno abbraccia un cactus</t>
        </is>
      </c>
      <c r="C152" s="14" t="inlineStr">
        <is>
          <t>Carter Goodrich</t>
        </is>
      </c>
      <c r="D152" s="14" t="inlineStr">
        <is>
          <t>L'Acchiappastorie – Albi illustrati</t>
        </is>
      </c>
      <c r="E152" s="14" t="inlineStr">
        <is>
          <t>albi illustrati (età indicativa)</t>
        </is>
      </c>
      <c r="F152" s="14" t="inlineStr">
        <is>
          <t>3-6 anni</t>
        </is>
      </c>
      <c r="G152" s="14" t="inlineStr">
        <is>
          <t>Albo illustrato</t>
        </is>
      </c>
      <c r="H152" s="14" t="inlineStr"/>
      <c r="I152" s="14" t="inlineStr">
        <is>
          <t>No</t>
        </is>
      </c>
      <c r="J152" s="14" t="inlineStr">
        <is>
          <t>Collana</t>
        </is>
      </c>
      <c r="K152" s="14" t="inlineStr">
        <is>
          <t>3-6 anni</t>
        </is>
      </c>
      <c r="L152" s="14" t="inlineStr">
        <is>
          <t>Catalogo Terre di Mezzo 1° semestre 2026, p. 30 (ISBN 9791259961563)</t>
        </is>
      </c>
      <c r="M152" s="16" t="n">
        <v>16</v>
      </c>
      <c r="N152" s="14" t="inlineStr">
        <is>
          <t>Catalogo Terre di Mezzo 1° semestre 2026</t>
        </is>
      </c>
      <c r="O152" s="16">
        <f>IF(ISNUMBER(M152),ROUND(M152*(1-Condizioni!$B$2),2),"")</f>
        <v/>
      </c>
      <c r="P152" s="17" t="inlineStr">
        <is>
          <t>Sì</t>
        </is>
      </c>
    </row>
    <row r="153">
      <c r="A153" s="14" t="inlineStr">
        <is>
          <t>Terre di Mezzo</t>
        </is>
      </c>
      <c r="B153" s="14" t="inlineStr">
        <is>
          <t>Non mi aspettavo</t>
        </is>
      </c>
      <c r="C153" s="14" t="inlineStr">
        <is>
          <t>Angelo Mozzillo, Francesco Faccia</t>
        </is>
      </c>
      <c r="D153" s="14" t="inlineStr">
        <is>
          <t>L'Acchiappastorie – Albi illustrati</t>
        </is>
      </c>
      <c r="E153" s="14" t="inlineStr">
        <is>
          <t>albi illustrati (età indicativa)</t>
        </is>
      </c>
      <c r="F153" s="14" t="inlineStr">
        <is>
          <t>3-6 anni</t>
        </is>
      </c>
      <c r="G153" s="14" t="inlineStr">
        <is>
          <t>Albo illustrato</t>
        </is>
      </c>
      <c r="H153" s="14" t="inlineStr"/>
      <c r="I153" s="14" t="inlineStr">
        <is>
          <t>No</t>
        </is>
      </c>
      <c r="J153" s="14" t="inlineStr">
        <is>
          <t>Collana</t>
        </is>
      </c>
      <c r="K153" s="14" t="inlineStr">
        <is>
          <t>3-6 anni</t>
        </is>
      </c>
      <c r="L153" s="14" t="inlineStr">
        <is>
          <t>Catalogo Terre di Mezzo 1° semestre 2026, p. 26 (ISBN 9791259960603)</t>
        </is>
      </c>
      <c r="M153" s="16" t="n">
        <v>16</v>
      </c>
      <c r="N153" s="14" t="inlineStr">
        <is>
          <t>Catalogo Terre di Mezzo 1° semestre 2026</t>
        </is>
      </c>
      <c r="O153" s="16">
        <f>IF(ISNUMBER(M153),ROUND(M153*(1-Condizioni!$B$2),2),"")</f>
        <v/>
      </c>
      <c r="P153" s="17" t="inlineStr">
        <is>
          <t>No</t>
        </is>
      </c>
    </row>
    <row r="154">
      <c r="A154" s="14" t="inlineStr">
        <is>
          <t>Terre di Mezzo</t>
        </is>
      </c>
      <c r="B154" s="14" t="inlineStr">
        <is>
          <t>Non tutte le principesse</t>
        </is>
      </c>
      <c r="C154" s="14" t="inlineStr">
        <is>
          <t>Jeffrey Bone, Lisa Bone, Valeria Docampo</t>
        </is>
      </c>
      <c r="D154" s="14" t="inlineStr">
        <is>
          <t>L'Acchiappastorie – Albi illustrati</t>
        </is>
      </c>
      <c r="E154" s="14" t="inlineStr">
        <is>
          <t>albi illustrati (età indicativa)</t>
        </is>
      </c>
      <c r="F154" s="14" t="inlineStr">
        <is>
          <t>3-6 anni</t>
        </is>
      </c>
      <c r="G154" s="14" t="inlineStr">
        <is>
          <t>Albo illustrato</t>
        </is>
      </c>
      <c r="H154" s="14" t="inlineStr"/>
      <c r="I154" s="14" t="inlineStr">
        <is>
          <t>No</t>
        </is>
      </c>
      <c r="J154" s="14" t="inlineStr">
        <is>
          <t>Collana</t>
        </is>
      </c>
      <c r="K154" s="14" t="inlineStr">
        <is>
          <t>3-6 anni</t>
        </is>
      </c>
      <c r="L154" s="14" t="inlineStr">
        <is>
          <t>Catalogo Terre di Mezzo 1° semestre 2026, p. 32 (ISBN 9791259960337)</t>
        </is>
      </c>
      <c r="M154" s="16" t="n">
        <v>16</v>
      </c>
      <c r="N154" s="14" t="inlineStr">
        <is>
          <t>Catalogo Terre di Mezzo 1° semestre 2026</t>
        </is>
      </c>
      <c r="O154" s="16">
        <f>IF(ISNUMBER(M154),ROUND(M154*(1-Condizioni!$B$2),2),"")</f>
        <v/>
      </c>
      <c r="P154" s="17" t="inlineStr">
        <is>
          <t>Sì</t>
        </is>
      </c>
    </row>
    <row r="155">
      <c r="A155" s="14" t="inlineStr">
        <is>
          <t>Terre di Mezzo</t>
        </is>
      </c>
      <c r="B155" s="14" t="inlineStr">
        <is>
          <t>Ogni alba</t>
        </is>
      </c>
      <c r="C155" s="14" t="inlineStr">
        <is>
          <t>Marc Martin</t>
        </is>
      </c>
      <c r="D155" s="14" t="inlineStr">
        <is>
          <t>L'Acchiappastorie – Albi illustrati</t>
        </is>
      </c>
      <c r="E155" s="14" t="inlineStr">
        <is>
          <t>albi illustrati (età indicativa)</t>
        </is>
      </c>
      <c r="F155" s="14" t="inlineStr">
        <is>
          <t>3-6 anni</t>
        </is>
      </c>
      <c r="G155" s="14" t="inlineStr">
        <is>
          <t>Albo illustrato</t>
        </is>
      </c>
      <c r="H155" s="14" t="inlineStr"/>
      <c r="I155" s="14" t="inlineStr">
        <is>
          <t>No</t>
        </is>
      </c>
      <c r="J155" s="14" t="inlineStr">
        <is>
          <t>Collana</t>
        </is>
      </c>
      <c r="K155" s="14" t="inlineStr">
        <is>
          <t>3-6 anni</t>
        </is>
      </c>
      <c r="L155" s="14" t="inlineStr">
        <is>
          <t>Catalogo Terre di Mezzo 1° semestre 2026, p. 15 (ISBN 9791259963079)</t>
        </is>
      </c>
      <c r="M155" s="16" t="n">
        <v>16</v>
      </c>
      <c r="N155" s="14" t="inlineStr">
        <is>
          <t>Catalogo Terre di Mezzo 1° semestre 2026</t>
        </is>
      </c>
      <c r="O155" s="16">
        <f>IF(ISNUMBER(M155),ROUND(M155*(1-Condizioni!$B$2),2),"")</f>
        <v/>
      </c>
      <c r="P155" s="17" t="inlineStr">
        <is>
          <t>No</t>
        </is>
      </c>
    </row>
    <row r="156">
      <c r="A156" s="14" t="inlineStr">
        <is>
          <t>Terre di Mezzo</t>
        </is>
      </c>
      <c r="B156" s="14" t="inlineStr">
        <is>
          <t>Ogni viso è una poesia</t>
        </is>
      </c>
      <c r="C156" s="14" t="inlineStr">
        <is>
          <t>Julie Morstad</t>
        </is>
      </c>
      <c r="D156" s="14" t="inlineStr">
        <is>
          <t>L'Acchiappastorie – Albi illustrati</t>
        </is>
      </c>
      <c r="E156" s="14" t="inlineStr">
        <is>
          <t>albi illustrati (età indicativa)</t>
        </is>
      </c>
      <c r="F156" s="14" t="inlineStr">
        <is>
          <t>3-6 anni</t>
        </is>
      </c>
      <c r="G156" s="14" t="inlineStr">
        <is>
          <t>Albo illustrato</t>
        </is>
      </c>
      <c r="H156" s="14" t="inlineStr"/>
      <c r="I156" s="14" t="inlineStr">
        <is>
          <t>No</t>
        </is>
      </c>
      <c r="J156" s="14" t="inlineStr">
        <is>
          <t>Collana</t>
        </is>
      </c>
      <c r="K156" s="14" t="inlineStr">
        <is>
          <t>3-6 anni</t>
        </is>
      </c>
      <c r="L156" s="14" t="inlineStr">
        <is>
          <t>Catalogo Terre di Mezzo 1° semestre 2026, p. 22 (ISBN 9791259962423)</t>
        </is>
      </c>
      <c r="M156" s="16" t="n">
        <v>18</v>
      </c>
      <c r="N156" s="14" t="inlineStr">
        <is>
          <t>Catalogo Terre di Mezzo 1° semestre 2026</t>
        </is>
      </c>
      <c r="O156" s="16">
        <f>IF(ISNUMBER(M156),ROUND(M156*(1-Condizioni!$B$2),2),"")</f>
        <v/>
      </c>
      <c r="P156" s="17" t="inlineStr">
        <is>
          <t>Sì</t>
        </is>
      </c>
    </row>
    <row r="157">
      <c r="A157" s="14" t="inlineStr">
        <is>
          <t>Terre di Mezzo</t>
        </is>
      </c>
      <c r="B157" s="14" t="inlineStr">
        <is>
          <t>Ora sono felice</t>
        </is>
      </c>
      <c r="C157" s="14" t="inlineStr">
        <is>
          <t>Antoinette Portis</t>
        </is>
      </c>
      <c r="D157" s="14" t="inlineStr">
        <is>
          <t>L'Acchiappastorie – Albi illustrati</t>
        </is>
      </c>
      <c r="E157" s="14" t="inlineStr">
        <is>
          <t>albi illustrati (età indicativa)</t>
        </is>
      </c>
      <c r="F157" s="14" t="inlineStr">
        <is>
          <t>3-6 anni</t>
        </is>
      </c>
      <c r="G157" s="14" t="inlineStr">
        <is>
          <t>Albo illustrato</t>
        </is>
      </c>
      <c r="H157" s="14" t="inlineStr"/>
      <c r="I157" s="14" t="inlineStr">
        <is>
          <t>No</t>
        </is>
      </c>
      <c r="J157" s="14" t="inlineStr">
        <is>
          <t>Collana</t>
        </is>
      </c>
      <c r="K157" s="14" t="inlineStr">
        <is>
          <t>3-6 anni</t>
        </is>
      </c>
      <c r="L157" s="14" t="inlineStr">
        <is>
          <t>Catalogo Terre di Mezzo 1° semestre 2026, p. 38 (ISBN 9788861894983)</t>
        </is>
      </c>
      <c r="M157" s="16" t="n">
        <v>15</v>
      </c>
      <c r="N157" s="14" t="inlineStr">
        <is>
          <t>Catalogo Terre di Mezzo 1° semestre 2026</t>
        </is>
      </c>
      <c r="O157" s="16">
        <f>IF(ISNUMBER(M157),ROUND(M157*(1-Condizioni!$B$2),2),"")</f>
        <v/>
      </c>
      <c r="P157" s="17" t="inlineStr">
        <is>
          <t>No</t>
        </is>
      </c>
    </row>
    <row r="158">
      <c r="A158" s="14" t="inlineStr">
        <is>
          <t>Terre di Mezzo</t>
        </is>
      </c>
      <c r="B158" s="14" t="inlineStr">
        <is>
          <t>Ora ti prendo</t>
        </is>
      </c>
      <c r="C158" s="14" t="inlineStr">
        <is>
          <t>Camilla Pintonato</t>
        </is>
      </c>
      <c r="D158" s="14" t="inlineStr">
        <is>
          <t>L'Acchiappastorie – Albi illustrati</t>
        </is>
      </c>
      <c r="E158" s="14" t="inlineStr">
        <is>
          <t>albi illustrati (età indicativa)</t>
        </is>
      </c>
      <c r="F158" s="14" t="inlineStr">
        <is>
          <t>3-6 anni</t>
        </is>
      </c>
      <c r="G158" s="14" t="inlineStr">
        <is>
          <t>Albo illustrato</t>
        </is>
      </c>
      <c r="H158" s="14" t="inlineStr"/>
      <c r="I158" s="14" t="inlineStr">
        <is>
          <t>No</t>
        </is>
      </c>
      <c r="J158" s="14" t="inlineStr">
        <is>
          <t>Collana</t>
        </is>
      </c>
      <c r="K158" s="14" t="inlineStr">
        <is>
          <t>3-6 anni</t>
        </is>
      </c>
      <c r="L158" s="14" t="inlineStr">
        <is>
          <t>Catalogo Terre di Mezzo 1° semestre 2026, p. 35 (ISBN 9791259962416)</t>
        </is>
      </c>
      <c r="M158" s="16" t="n">
        <v>16</v>
      </c>
      <c r="N158" s="14" t="inlineStr">
        <is>
          <t>Catalogo Terre di Mezzo 1° semestre 2026</t>
        </is>
      </c>
      <c r="O158" s="16">
        <f>IF(ISNUMBER(M158),ROUND(M158*(1-Condizioni!$B$2),2),"")</f>
        <v/>
      </c>
      <c r="P158" s="17" t="inlineStr">
        <is>
          <t>No</t>
        </is>
      </c>
    </row>
    <row r="159">
      <c r="A159" s="14" t="inlineStr">
        <is>
          <t>Terre di Mezzo</t>
        </is>
      </c>
      <c r="B159" s="14" t="inlineStr">
        <is>
          <t>Papà montagna</t>
        </is>
      </c>
      <c r="C159" s="14" t="inlineStr">
        <is>
          <t>Sara Donati</t>
        </is>
      </c>
      <c r="D159" s="14" t="inlineStr">
        <is>
          <t>L'Acchiappastorie – Albi illustrati</t>
        </is>
      </c>
      <c r="E159" s="14" t="inlineStr">
        <is>
          <t>albi illustrati (età indicativa)</t>
        </is>
      </c>
      <c r="F159" s="14" t="inlineStr">
        <is>
          <t>3-6 anni</t>
        </is>
      </c>
      <c r="G159" s="14" t="inlineStr">
        <is>
          <t>Albo illustrato</t>
        </is>
      </c>
      <c r="H159" s="14" t="inlineStr"/>
      <c r="I159" s="14" t="inlineStr">
        <is>
          <t>No</t>
        </is>
      </c>
      <c r="J159" s="14" t="inlineStr">
        <is>
          <t>Collana</t>
        </is>
      </c>
      <c r="K159" s="14" t="inlineStr">
        <is>
          <t>3-6 anni</t>
        </is>
      </c>
      <c r="L159" s="14" t="inlineStr">
        <is>
          <t>Catalogo Terre di Mezzo 1° semestre 2026, p. 10 (ISBN 9791259961051)</t>
        </is>
      </c>
      <c r="M159" s="16" t="n">
        <v>16</v>
      </c>
      <c r="N159" s="14" t="inlineStr">
        <is>
          <t>Catalogo Terre di Mezzo 1° semestre 2026</t>
        </is>
      </c>
      <c r="O159" s="16">
        <f>IF(ISNUMBER(M159),ROUND(M159*(1-Condizioni!$B$2),2),"")</f>
        <v/>
      </c>
      <c r="P159" s="17" t="inlineStr">
        <is>
          <t>No</t>
        </is>
      </c>
    </row>
    <row r="160">
      <c r="A160" s="14" t="inlineStr">
        <is>
          <t>Terre di Mezzo</t>
        </is>
      </c>
      <c r="B160" s="14" t="inlineStr">
        <is>
          <t>Parchi</t>
        </is>
      </c>
      <c r="C160" s="14" t="inlineStr">
        <is>
          <t>Marc Majewski</t>
        </is>
      </c>
      <c r="D160" s="14" t="inlineStr">
        <is>
          <t>L'Acchiappastorie – Albi illustrati</t>
        </is>
      </c>
      <c r="E160" s="14" t="inlineStr">
        <is>
          <t>albi illustrati (età indicativa)</t>
        </is>
      </c>
      <c r="F160" s="14" t="inlineStr">
        <is>
          <t>3-6 anni</t>
        </is>
      </c>
      <c r="G160" s="14" t="inlineStr">
        <is>
          <t>Albo illustrato</t>
        </is>
      </c>
      <c r="H160" s="14" t="inlineStr"/>
      <c r="I160" s="14" t="inlineStr">
        <is>
          <t>No</t>
        </is>
      </c>
      <c r="J160" s="14" t="inlineStr">
        <is>
          <t>Collana</t>
        </is>
      </c>
      <c r="K160" s="14" t="inlineStr">
        <is>
          <t>3-6 anni</t>
        </is>
      </c>
      <c r="L160" s="14" t="inlineStr">
        <is>
          <t>Catalogo Terre di Mezzo 1° semestre 2026, p. 12 (ISBN 9791259963871)</t>
        </is>
      </c>
      <c r="M160" s="16" t="n">
        <v>16</v>
      </c>
      <c r="N160" s="14" t="inlineStr">
        <is>
          <t>Catalogo Terre di Mezzo 1° semestre 2026</t>
        </is>
      </c>
      <c r="O160" s="16">
        <f>IF(ISNUMBER(M160),ROUND(M160*(1-Condizioni!$B$2),2),"")</f>
        <v/>
      </c>
      <c r="P160" s="17" t="inlineStr">
        <is>
          <t>No</t>
        </is>
      </c>
    </row>
    <row r="161">
      <c r="A161" s="14" t="inlineStr">
        <is>
          <t>Terre di Mezzo</t>
        </is>
      </c>
      <c r="B161" s="14" t="inlineStr">
        <is>
          <t>Peloso come uno yak</t>
        </is>
      </c>
      <c r="C161" s="14" t="inlineStr">
        <is>
          <t>Emma Lidia Squillari</t>
        </is>
      </c>
      <c r="D161" s="14" t="inlineStr">
        <is>
          <t>L'Acchiappastorie – Albi illustrati</t>
        </is>
      </c>
      <c r="E161" s="14" t="inlineStr">
        <is>
          <t>albi illustrati (età indicativa)</t>
        </is>
      </c>
      <c r="F161" s="14" t="inlineStr">
        <is>
          <t>3-6 anni</t>
        </is>
      </c>
      <c r="G161" s="14" t="inlineStr">
        <is>
          <t>Albo illustrato</t>
        </is>
      </c>
      <c r="H161" s="14" t="inlineStr"/>
      <c r="I161" s="14" t="inlineStr">
        <is>
          <t>No</t>
        </is>
      </c>
      <c r="J161" s="14" t="inlineStr">
        <is>
          <t>Collana</t>
        </is>
      </c>
      <c r="K161" s="14" t="inlineStr">
        <is>
          <t>3-6 anni</t>
        </is>
      </c>
      <c r="L161" s="14" t="inlineStr">
        <is>
          <t>Catalogo Terre di Mezzo 1° semestre 2026, p. 13 (ISBN 9791259964526)</t>
        </is>
      </c>
      <c r="M161" s="16" t="n">
        <v>16</v>
      </c>
      <c r="N161" s="14" t="inlineStr">
        <is>
          <t>Catalogo Terre di Mezzo 1° semestre 2026</t>
        </is>
      </c>
      <c r="O161" s="16">
        <f>IF(ISNUMBER(M161),ROUND(M161*(1-Condizioni!$B$2),2),"")</f>
        <v/>
      </c>
      <c r="P161" s="17" t="inlineStr">
        <is>
          <t>No</t>
        </is>
      </c>
    </row>
    <row r="162">
      <c r="A162" s="14" t="inlineStr">
        <is>
          <t>Terre di Mezzo</t>
        </is>
      </c>
      <c r="B162" s="14" t="inlineStr">
        <is>
          <t>Perché ti voglio bene</t>
        </is>
      </c>
      <c r="C162" s="14" t="inlineStr">
        <is>
          <t>Luca Tortolini, Paolo Proietti</t>
        </is>
      </c>
      <c r="D162" s="14" t="inlineStr">
        <is>
          <t>L'Acchiappastorie – Albi illustrati</t>
        </is>
      </c>
      <c r="E162" s="14" t="inlineStr">
        <is>
          <t>albi illustrati (età indicativa)</t>
        </is>
      </c>
      <c r="F162" s="14" t="inlineStr">
        <is>
          <t>3-6 anni</t>
        </is>
      </c>
      <c r="G162" s="14" t="inlineStr">
        <is>
          <t>Albo illustrato</t>
        </is>
      </c>
      <c r="H162" s="14" t="inlineStr"/>
      <c r="I162" s="14" t="inlineStr">
        <is>
          <t>No</t>
        </is>
      </c>
      <c r="J162" s="14" t="inlineStr">
        <is>
          <t>Collana</t>
        </is>
      </c>
      <c r="K162" s="14" t="inlineStr">
        <is>
          <t>3-6 anni</t>
        </is>
      </c>
      <c r="L162" s="14" t="inlineStr">
        <is>
          <t>Catalogo Terre di Mezzo 1° semestre 2026, p. 11 (ISBN 9791259961471)</t>
        </is>
      </c>
      <c r="M162" s="16" t="n">
        <v>16</v>
      </c>
      <c r="N162" s="14" t="inlineStr">
        <is>
          <t>Catalogo Terre di Mezzo 1° semestre 2026</t>
        </is>
      </c>
      <c r="O162" s="16">
        <f>IF(ISNUMBER(M162),ROUND(M162*(1-Condizioni!$B$2),2),"")</f>
        <v/>
      </c>
      <c r="P162" s="17" t="inlineStr">
        <is>
          <t>No</t>
        </is>
      </c>
    </row>
    <row r="163">
      <c r="A163" s="14" t="inlineStr">
        <is>
          <t>Terre di Mezzo</t>
        </is>
      </c>
      <c r="B163" s="14" t="inlineStr">
        <is>
          <t>Perché?</t>
        </is>
      </c>
      <c r="C163" s="14" t="inlineStr">
        <is>
          <t>Nikolai Popov</t>
        </is>
      </c>
      <c r="D163" s="14" t="inlineStr">
        <is>
          <t>L'Acchiappastorie – Albi illustrati</t>
        </is>
      </c>
      <c r="E163" s="14" t="inlineStr">
        <is>
          <t>albi illustrati (età indicativa)</t>
        </is>
      </c>
      <c r="F163" s="14" t="inlineStr">
        <is>
          <t>3-6 anni</t>
        </is>
      </c>
      <c r="G163" s="14" t="inlineStr">
        <is>
          <t>Albo illustrato</t>
        </is>
      </c>
      <c r="H163" s="14" t="inlineStr"/>
      <c r="I163" s="14" t="inlineStr">
        <is>
          <t>No</t>
        </is>
      </c>
      <c r="J163" s="14" t="inlineStr">
        <is>
          <t>Collana</t>
        </is>
      </c>
      <c r="K163" s="14" t="inlineStr">
        <is>
          <t>3-6 anni</t>
        </is>
      </c>
      <c r="L163" s="14" t="inlineStr">
        <is>
          <t>Catalogo Terre di Mezzo 1° semestre 2026, p. 26 (ISBN 9791259961006)</t>
        </is>
      </c>
      <c r="M163" s="16" t="n">
        <v>16</v>
      </c>
      <c r="N163" s="14" t="inlineStr">
        <is>
          <t>Catalogo Terre di Mezzo 1° semestre 2026</t>
        </is>
      </c>
      <c r="O163" s="16">
        <f>IF(ISNUMBER(M163),ROUND(M163*(1-Condizioni!$B$2),2),"")</f>
        <v/>
      </c>
      <c r="P163" s="17" t="inlineStr">
        <is>
          <t>No</t>
        </is>
      </c>
    </row>
    <row r="164">
      <c r="A164" s="14" t="inlineStr">
        <is>
          <t>Terre di Mezzo</t>
        </is>
      </c>
      <c r="B164" s="14" t="inlineStr">
        <is>
          <t>Peter nella neve</t>
        </is>
      </c>
      <c r="C164" s="14" t="inlineStr">
        <is>
          <t>Ezra Jack Keats</t>
        </is>
      </c>
      <c r="D164" s="14" t="inlineStr">
        <is>
          <t>L'Acchiappastorie – Albi illustrati</t>
        </is>
      </c>
      <c r="E164" s="14" t="inlineStr">
        <is>
          <t>albi illustrati (età indicativa)</t>
        </is>
      </c>
      <c r="F164" s="14" t="inlineStr">
        <is>
          <t>3-6 anni</t>
        </is>
      </c>
      <c r="G164" s="14" t="inlineStr">
        <is>
          <t>Albo illustrato</t>
        </is>
      </c>
      <c r="H164" s="14" t="inlineStr"/>
      <c r="I164" s="14" t="inlineStr">
        <is>
          <t>No</t>
        </is>
      </c>
      <c r="J164" s="14" t="inlineStr">
        <is>
          <t>Collana</t>
        </is>
      </c>
      <c r="K164" s="14" t="inlineStr">
        <is>
          <t>3-6 anni</t>
        </is>
      </c>
      <c r="L164" s="14" t="inlineStr">
        <is>
          <t>Catalogo Terre di Mezzo 1° semestre 2026, p. 19 (ISBN 9788861895812)</t>
        </is>
      </c>
      <c r="M164" s="16" t="n">
        <v>12.9</v>
      </c>
      <c r="N164" s="14" t="inlineStr">
        <is>
          <t>Catalogo Terre di Mezzo 1° semestre 2026</t>
        </is>
      </c>
      <c r="O164" s="16">
        <f>IF(ISNUMBER(M164),ROUND(M164*(1-Condizioni!$B$2),2),"")</f>
        <v/>
      </c>
      <c r="P164" s="17" t="inlineStr">
        <is>
          <t>No</t>
        </is>
      </c>
    </row>
    <row r="165">
      <c r="A165" s="14" t="inlineStr">
        <is>
          <t>Terre di Mezzo</t>
        </is>
      </c>
      <c r="B165" s="14" t="inlineStr">
        <is>
          <t>Peter vuole fischiare</t>
        </is>
      </c>
      <c r="C165" s="14" t="inlineStr">
        <is>
          <t>Ezra Jack Keats</t>
        </is>
      </c>
      <c r="D165" s="14" t="inlineStr">
        <is>
          <t>L'Acchiappastorie – Albi illustrati</t>
        </is>
      </c>
      <c r="E165" s="14" t="inlineStr">
        <is>
          <t>albi illustrati (età indicativa)</t>
        </is>
      </c>
      <c r="F165" s="14" t="inlineStr">
        <is>
          <t>3-6 anni</t>
        </is>
      </c>
      <c r="G165" s="14" t="inlineStr">
        <is>
          <t>Albo illustrato</t>
        </is>
      </c>
      <c r="H165" s="14" t="inlineStr"/>
      <c r="I165" s="14" t="inlineStr">
        <is>
          <t>No</t>
        </is>
      </c>
      <c r="J165" s="14" t="inlineStr">
        <is>
          <t>Collana</t>
        </is>
      </c>
      <c r="K165" s="14" t="inlineStr">
        <is>
          <t>3-6 anni</t>
        </is>
      </c>
      <c r="L165" s="14" t="inlineStr">
        <is>
          <t>Catalogo Terre di Mezzo 1° semestre 2026, p. 19 (ISBN 9791259962195)</t>
        </is>
      </c>
      <c r="M165" s="16" t="n">
        <v>14</v>
      </c>
      <c r="N165" s="14" t="inlineStr">
        <is>
          <t>Catalogo Terre di Mezzo 1° semestre 2026</t>
        </is>
      </c>
      <c r="O165" s="16">
        <f>IF(ISNUMBER(M165),ROUND(M165*(1-Condizioni!$B$2),2),"")</f>
        <v/>
      </c>
      <c r="P165" s="17" t="inlineStr">
        <is>
          <t>No</t>
        </is>
      </c>
    </row>
    <row r="166">
      <c r="A166" s="14" t="inlineStr">
        <is>
          <t>Terre di Mezzo</t>
        </is>
      </c>
      <c r="B166" s="14" t="inlineStr">
        <is>
          <t>Pomelo cerca un nuovo giardino</t>
        </is>
      </c>
      <c r="C166" s="14" t="inlineStr">
        <is>
          <t>Ramona Bădescu, Benjamin Chaud</t>
        </is>
      </c>
      <c r="D166" s="14" t="inlineStr">
        <is>
          <t>L'Acchiappastorie – Albi illustrati</t>
        </is>
      </c>
      <c r="E166" s="14" t="inlineStr">
        <is>
          <t>albi illustrati (età indicativa)</t>
        </is>
      </c>
      <c r="F166" s="14" t="inlineStr">
        <is>
          <t>3-6 anni</t>
        </is>
      </c>
      <c r="G166" s="14" t="inlineStr">
        <is>
          <t>Albo illustrato</t>
        </is>
      </c>
      <c r="H166" s="14" t="inlineStr"/>
      <c r="I166" s="14" t="inlineStr">
        <is>
          <t>No</t>
        </is>
      </c>
      <c r="J166" s="14" t="inlineStr">
        <is>
          <t>Collana</t>
        </is>
      </c>
      <c r="K166" s="14" t="inlineStr">
        <is>
          <t>3-6 anni</t>
        </is>
      </c>
      <c r="L166" s="14" t="inlineStr">
        <is>
          <t>Catalogo Terre di Mezzo 1° semestre 2026, p. 37 (ISBN 9788861897298)</t>
        </is>
      </c>
      <c r="M166" s="16" t="n">
        <v>12</v>
      </c>
      <c r="N166" s="14" t="inlineStr">
        <is>
          <t>Catalogo Terre di Mezzo 1° semestre 2026</t>
        </is>
      </c>
      <c r="O166" s="16">
        <f>IF(ISNUMBER(M166),ROUND(M166*(1-Condizioni!$B$2),2),"")</f>
        <v/>
      </c>
      <c r="P166" s="17" t="inlineStr">
        <is>
          <t>No</t>
        </is>
      </c>
    </row>
    <row r="167">
      <c r="A167" s="14" t="inlineStr">
        <is>
          <t>Terre di Mezzo</t>
        </is>
      </c>
      <c r="B167" s="14" t="inlineStr">
        <is>
          <t>Pomelo sogna</t>
        </is>
      </c>
      <c r="C167" s="14" t="inlineStr">
        <is>
          <t>Ramona Bădescu, Benjamin Chaud</t>
        </is>
      </c>
      <c r="D167" s="14" t="inlineStr">
        <is>
          <t>L'Acchiappastorie – Albi illustrati</t>
        </is>
      </c>
      <c r="E167" s="14" t="inlineStr">
        <is>
          <t>albi illustrati (età indicativa)</t>
        </is>
      </c>
      <c r="F167" s="14" t="inlineStr">
        <is>
          <t>3-6 anni</t>
        </is>
      </c>
      <c r="G167" s="14" t="inlineStr">
        <is>
          <t>Albo illustrato</t>
        </is>
      </c>
      <c r="H167" s="14" t="inlineStr"/>
      <c r="I167" s="14" t="inlineStr">
        <is>
          <t>No</t>
        </is>
      </c>
      <c r="J167" s="14" t="inlineStr">
        <is>
          <t>Collana</t>
        </is>
      </c>
      <c r="K167" s="14" t="inlineStr">
        <is>
          <t>3-6 anni</t>
        </is>
      </c>
      <c r="L167" s="14" t="inlineStr">
        <is>
          <t>Catalogo Terre di Mezzo 1° semestre 2026, p. 37 (ISBN 9788861896772)</t>
        </is>
      </c>
      <c r="M167" s="16" t="n">
        <v>12</v>
      </c>
      <c r="N167" s="14" t="inlineStr">
        <is>
          <t>Catalogo Terre di Mezzo 1° semestre 2026</t>
        </is>
      </c>
      <c r="O167" s="16">
        <f>IF(ISNUMBER(M167),ROUND(M167*(1-Condizioni!$B$2),2),"")</f>
        <v/>
      </c>
      <c r="P167" s="17" t="inlineStr">
        <is>
          <t>No</t>
        </is>
      </c>
    </row>
    <row r="168">
      <c r="A168" s="14" t="inlineStr">
        <is>
          <t>Terre di Mezzo</t>
        </is>
      </c>
      <c r="B168" s="14" t="inlineStr">
        <is>
          <t>Pomelo, elefantino da giardino</t>
        </is>
      </c>
      <c r="C168" s="14" t="inlineStr">
        <is>
          <t>Ramona Bădescu, Benjamin Chaud</t>
        </is>
      </c>
      <c r="D168" s="14" t="inlineStr">
        <is>
          <t>L'Acchiappastorie – Albi illustrati</t>
        </is>
      </c>
      <c r="E168" s="14" t="inlineStr">
        <is>
          <t>albi illustrati (età indicativa)</t>
        </is>
      </c>
      <c r="F168" s="14" t="inlineStr">
        <is>
          <t>3-6 anni</t>
        </is>
      </c>
      <c r="G168" s="14" t="inlineStr">
        <is>
          <t>Albo illustrato</t>
        </is>
      </c>
      <c r="H168" s="14" t="inlineStr"/>
      <c r="I168" s="14" t="inlineStr">
        <is>
          <t>No</t>
        </is>
      </c>
      <c r="J168" s="14" t="inlineStr">
        <is>
          <t>Collana</t>
        </is>
      </c>
      <c r="K168" s="14" t="inlineStr">
        <is>
          <t>3-6 anni</t>
        </is>
      </c>
      <c r="L168" s="14" t="inlineStr">
        <is>
          <t>Catalogo Terre di Mezzo 1° semestre 2026, p. 37 (ISBN 9788861895966)</t>
        </is>
      </c>
      <c r="M168" s="16" t="n">
        <v>12</v>
      </c>
      <c r="N168" s="14" t="inlineStr">
        <is>
          <t>Catalogo Terre di Mezzo 1° semestre 2026</t>
        </is>
      </c>
      <c r="O168" s="16">
        <f>IF(ISNUMBER(M168),ROUND(M168*(1-Condizioni!$B$2),2),"")</f>
        <v/>
      </c>
      <c r="P168" s="17" t="inlineStr">
        <is>
          <t>No</t>
        </is>
      </c>
    </row>
    <row r="169">
      <c r="A169" s="14" t="inlineStr">
        <is>
          <t>Terre di Mezzo</t>
        </is>
      </c>
      <c r="B169" s="14" t="inlineStr">
        <is>
          <t>Pomelo, elefantino innamorato</t>
        </is>
      </c>
      <c r="C169" s="14" t="inlineStr">
        <is>
          <t>Ramona Bădescu, Benjamin Chaud</t>
        </is>
      </c>
      <c r="D169" s="14" t="inlineStr">
        <is>
          <t>L'Acchiappastorie – Albi illustrati</t>
        </is>
      </c>
      <c r="E169" s="14" t="inlineStr">
        <is>
          <t>albi illustrati (età indicativa)</t>
        </is>
      </c>
      <c r="F169" s="14" t="inlineStr">
        <is>
          <t>3-6 anni</t>
        </is>
      </c>
      <c r="G169" s="14" t="inlineStr">
        <is>
          <t>Albo illustrato</t>
        </is>
      </c>
      <c r="H169" s="14" t="inlineStr"/>
      <c r="I169" s="14" t="inlineStr">
        <is>
          <t>No</t>
        </is>
      </c>
      <c r="J169" s="14" t="inlineStr">
        <is>
          <t>Collana</t>
        </is>
      </c>
      <c r="K169" s="14" t="inlineStr">
        <is>
          <t>3-6 anni</t>
        </is>
      </c>
      <c r="L169" s="14" t="inlineStr">
        <is>
          <t>Catalogo Terre di Mezzo 1° semestre 2026, p. 37 (ISBN 9788861896482)</t>
        </is>
      </c>
      <c r="M169" s="16" t="n">
        <v>12</v>
      </c>
      <c r="N169" s="14" t="inlineStr">
        <is>
          <t>Catalogo Terre di Mezzo 1° semestre 2026</t>
        </is>
      </c>
      <c r="O169" s="16">
        <f>IF(ISNUMBER(M169),ROUND(M169*(1-Condizioni!$B$2),2),"")</f>
        <v/>
      </c>
      <c r="P169" s="17" t="inlineStr">
        <is>
          <t>No</t>
        </is>
      </c>
    </row>
    <row r="170">
      <c r="A170" s="14" t="inlineStr">
        <is>
          <t>Terre di Mezzo</t>
        </is>
      </c>
      <c r="B170" s="14" t="inlineStr">
        <is>
          <t>Pomelo, elefantino viaggiatore</t>
        </is>
      </c>
      <c r="C170" s="14" t="inlineStr">
        <is>
          <t>Ramona Bădescu, Benjamin Chaud</t>
        </is>
      </c>
      <c r="D170" s="14" t="inlineStr">
        <is>
          <t>L'Acchiappastorie – Albi illustrati</t>
        </is>
      </c>
      <c r="E170" s="14" t="inlineStr">
        <is>
          <t>albi illustrati (età indicativa)</t>
        </is>
      </c>
      <c r="F170" s="14" t="inlineStr">
        <is>
          <t>3-6 anni</t>
        </is>
      </c>
      <c r="G170" s="14" t="inlineStr">
        <is>
          <t>Albo illustrato</t>
        </is>
      </c>
      <c r="H170" s="14" t="inlineStr"/>
      <c r="I170" s="14" t="inlineStr">
        <is>
          <t>No</t>
        </is>
      </c>
      <c r="J170" s="14" t="inlineStr">
        <is>
          <t>Collana</t>
        </is>
      </c>
      <c r="K170" s="14" t="inlineStr">
        <is>
          <t>3-6 anni</t>
        </is>
      </c>
      <c r="L170" s="14" t="inlineStr">
        <is>
          <t>Catalogo Terre di Mezzo 1° semestre 2026, p. 37 (ISBN 9788861897304)</t>
        </is>
      </c>
      <c r="M170" s="16" t="n">
        <v>12</v>
      </c>
      <c r="N170" s="14" t="inlineStr">
        <is>
          <t>Catalogo Terre di Mezzo 1° semestre 2026</t>
        </is>
      </c>
      <c r="O170" s="16">
        <f>IF(ISNUMBER(M170),ROUND(M170*(1-Condizioni!$B$2),2),"")</f>
        <v/>
      </c>
      <c r="P170" s="17" t="inlineStr">
        <is>
          <t>No</t>
        </is>
      </c>
    </row>
    <row r="171">
      <c r="A171" s="14" t="inlineStr">
        <is>
          <t>Terre di Mezzo</t>
        </is>
      </c>
      <c r="B171" s="14" t="inlineStr">
        <is>
          <t>Ponti</t>
        </is>
      </c>
      <c r="C171" s="14" t="inlineStr">
        <is>
          <t>Marc Majewski</t>
        </is>
      </c>
      <c r="D171" s="14" t="inlineStr">
        <is>
          <t>L'Acchiappastorie – Albi illustrati</t>
        </is>
      </c>
      <c r="E171" s="14" t="inlineStr">
        <is>
          <t>albi illustrati (età indicativa)</t>
        </is>
      </c>
      <c r="F171" s="14" t="inlineStr">
        <is>
          <t>3-6 anni</t>
        </is>
      </c>
      <c r="G171" s="14" t="inlineStr">
        <is>
          <t>Albo illustrato</t>
        </is>
      </c>
      <c r="H171" s="14" t="inlineStr"/>
      <c r="I171" s="14" t="inlineStr">
        <is>
          <t>No</t>
        </is>
      </c>
      <c r="J171" s="14" t="inlineStr">
        <is>
          <t>Collana</t>
        </is>
      </c>
      <c r="K171" s="14" t="inlineStr">
        <is>
          <t>3-6 anni</t>
        </is>
      </c>
      <c r="L171" s="14" t="inlineStr">
        <is>
          <t>Catalogo Terre di Mezzo 1° semestre 2026, p. 12 (ISBN 9791259963888)</t>
        </is>
      </c>
      <c r="M171" s="16" t="n">
        <v>16</v>
      </c>
      <c r="N171" s="14" t="inlineStr">
        <is>
          <t>Catalogo Terre di Mezzo 1° semestre 2026</t>
        </is>
      </c>
      <c r="O171" s="16">
        <f>IF(ISNUMBER(M171),ROUND(M171*(1-Condizioni!$B$2),2),"")</f>
        <v/>
      </c>
      <c r="P171" s="17" t="inlineStr">
        <is>
          <t>No</t>
        </is>
      </c>
    </row>
    <row r="172">
      <c r="A172" s="14" t="inlineStr">
        <is>
          <t>Terre di Mezzo</t>
        </is>
      </c>
      <c r="B172" s="14" t="inlineStr">
        <is>
          <t>Provaci ancora, cucciolo</t>
        </is>
      </c>
      <c r="C172" s="14" t="inlineStr">
        <is>
          <t>Randall de Sève, Kate Gardiner</t>
        </is>
      </c>
      <c r="D172" s="14" t="inlineStr">
        <is>
          <t>L'Acchiappastorie – Albi illustrati</t>
        </is>
      </c>
      <c r="E172" s="14" t="inlineStr">
        <is>
          <t>albi illustrati (età indicativa)</t>
        </is>
      </c>
      <c r="F172" s="14" t="inlineStr">
        <is>
          <t>3-6 anni</t>
        </is>
      </c>
      <c r="G172" s="14" t="inlineStr">
        <is>
          <t>Albo illustrato</t>
        </is>
      </c>
      <c r="H172" s="14" t="inlineStr"/>
      <c r="I172" s="14" t="inlineStr">
        <is>
          <t>No</t>
        </is>
      </c>
      <c r="J172" s="14" t="inlineStr">
        <is>
          <t>Collana</t>
        </is>
      </c>
      <c r="K172" s="14" t="inlineStr">
        <is>
          <t>3-6 anni</t>
        </is>
      </c>
      <c r="L172" s="14" t="inlineStr">
        <is>
          <t>Catalogo Terre di Mezzo 1° semestre 2026, p. 21 (ISBN 9791259962843)</t>
        </is>
      </c>
      <c r="M172" s="16" t="n">
        <v>16</v>
      </c>
      <c r="N172" s="14" t="inlineStr">
        <is>
          <t>Catalogo Terre di Mezzo 1° semestre 2026</t>
        </is>
      </c>
      <c r="O172" s="16">
        <f>IF(ISNUMBER(M172),ROUND(M172*(1-Condizioni!$B$2),2),"")</f>
        <v/>
      </c>
      <c r="P172" s="17" t="inlineStr">
        <is>
          <t>No</t>
        </is>
      </c>
    </row>
    <row r="173">
      <c r="A173" s="14" t="inlineStr">
        <is>
          <t>Terre di Mezzo</t>
        </is>
      </c>
      <c r="B173" s="14" t="inlineStr">
        <is>
          <t>Quando gli animali non avevano la coda</t>
        </is>
      </c>
      <c r="C173" s="14" t="inlineStr">
        <is>
          <t>Anselmo Roveda, Elisabetta Civardi</t>
        </is>
      </c>
      <c r="D173" s="14" t="inlineStr">
        <is>
          <t>L'Acchiappastorie – Albi illustrati</t>
        </is>
      </c>
      <c r="E173" s="14" t="inlineStr">
        <is>
          <t>albi illustrati (età indicativa)</t>
        </is>
      </c>
      <c r="F173" s="14" t="inlineStr">
        <is>
          <t>3-6 anni</t>
        </is>
      </c>
      <c r="G173" s="14" t="inlineStr">
        <is>
          <t>Albo illustrato</t>
        </is>
      </c>
      <c r="H173" s="14" t="inlineStr"/>
      <c r="I173" s="14" t="inlineStr">
        <is>
          <t>No</t>
        </is>
      </c>
      <c r="J173" s="14" t="inlineStr">
        <is>
          <t>Collana</t>
        </is>
      </c>
      <c r="K173" s="14" t="inlineStr">
        <is>
          <t>3-6 anni</t>
        </is>
      </c>
      <c r="L173" s="14" t="inlineStr">
        <is>
          <t>Catalogo Terre di Mezzo 1° semestre 2026, p. 38 (ISBN 9788861896307)</t>
        </is>
      </c>
      <c r="M173" s="16" t="n">
        <v>12</v>
      </c>
      <c r="N173" s="14" t="inlineStr">
        <is>
          <t>Catalogo Terre di Mezzo 1° semestre 2026</t>
        </is>
      </c>
      <c r="O173" s="16">
        <f>IF(ISNUMBER(M173),ROUND(M173*(1-Condizioni!$B$2),2),"")</f>
        <v/>
      </c>
      <c r="P173" s="17" t="inlineStr">
        <is>
          <t>No</t>
        </is>
      </c>
    </row>
    <row r="174">
      <c r="A174" s="14" t="inlineStr">
        <is>
          <t>Terre di Mezzo</t>
        </is>
      </c>
      <c r="B174" s="14" t="inlineStr">
        <is>
          <t>Quante avventure!</t>
        </is>
      </c>
      <c r="C174" s="14" t="inlineStr">
        <is>
          <t>Rachel Elliot, Valeria Docampo</t>
        </is>
      </c>
      <c r="D174" s="14" t="inlineStr">
        <is>
          <t>L'Acchiappastorie – Albi illustrati</t>
        </is>
      </c>
      <c r="E174" s="14" t="inlineStr">
        <is>
          <t>albi illustrati (età indicativa)</t>
        </is>
      </c>
      <c r="F174" s="14" t="inlineStr">
        <is>
          <t>3-6 anni</t>
        </is>
      </c>
      <c r="G174" s="14" t="inlineStr">
        <is>
          <t>Albo illustrato</t>
        </is>
      </c>
      <c r="H174" s="14" t="inlineStr"/>
      <c r="I174" s="14" t="inlineStr">
        <is>
          <t>No</t>
        </is>
      </c>
      <c r="J174" s="14" t="inlineStr">
        <is>
          <t>Collana</t>
        </is>
      </c>
      <c r="K174" s="14" t="inlineStr">
        <is>
          <t>3-6 anni</t>
        </is>
      </c>
      <c r="L174" s="14" t="inlineStr">
        <is>
          <t>Catalogo Terre di Mezzo 1° semestre 2026, p. 32 (ISBN 9788861897670)</t>
        </is>
      </c>
      <c r="M174" s="16" t="n">
        <v>15</v>
      </c>
      <c r="N174" s="14" t="inlineStr">
        <is>
          <t>Catalogo Terre di Mezzo 1° semestre 2026</t>
        </is>
      </c>
      <c r="O174" s="16">
        <f>IF(ISNUMBER(M174),ROUND(M174*(1-Condizioni!$B$2),2),"")</f>
        <v/>
      </c>
      <c r="P174" s="17" t="inlineStr">
        <is>
          <t>No</t>
        </is>
      </c>
    </row>
    <row r="175">
      <c r="A175" s="14" t="inlineStr">
        <is>
          <t>Terre di Mezzo</t>
        </is>
      </c>
      <c r="B175" s="14" t="inlineStr">
        <is>
          <t>Quella (non) è mia</t>
        </is>
      </c>
      <c r="C175" s="14" t="inlineStr">
        <is>
          <t>Anna Kang, Christopher Weyant</t>
        </is>
      </c>
      <c r="D175" s="14" t="inlineStr">
        <is>
          <t>L'Acchiappastorie – Albi illustrati</t>
        </is>
      </c>
      <c r="E175" s="14" t="inlineStr">
        <is>
          <t>albi illustrati (età indicativa)</t>
        </is>
      </c>
      <c r="F175" s="14" t="inlineStr">
        <is>
          <t>3-6 anni</t>
        </is>
      </c>
      <c r="G175" s="14" t="inlineStr">
        <is>
          <t>Albo illustrato</t>
        </is>
      </c>
      <c r="H175" s="14" t="inlineStr"/>
      <c r="I175" s="14" t="inlineStr">
        <is>
          <t>No</t>
        </is>
      </c>
      <c r="J175" s="14" t="inlineStr">
        <is>
          <t>Collana</t>
        </is>
      </c>
      <c r="K175" s="14" t="inlineStr">
        <is>
          <t>3-6 anni</t>
        </is>
      </c>
      <c r="L175" s="14" t="inlineStr">
        <is>
          <t>Catalogo Terre di Mezzo 1° semestre 2026, p. 21 (ISBN 9791259963604)</t>
        </is>
      </c>
      <c r="M175" s="16" t="n">
        <v>14</v>
      </c>
      <c r="N175" s="14" t="inlineStr">
        <is>
          <t>Catalogo Terre di Mezzo 1° semestre 2026</t>
        </is>
      </c>
      <c r="O175" s="16">
        <f>IF(ISNUMBER(M175),ROUND(M175*(1-Condizioni!$B$2),2),"")</f>
        <v/>
      </c>
      <c r="P175" s="17" t="inlineStr">
        <is>
          <t>No</t>
        </is>
      </c>
    </row>
    <row r="176">
      <c r="A176" s="14" t="inlineStr">
        <is>
          <t>Terre di Mezzo</t>
        </is>
      </c>
      <c r="B176" s="14" t="inlineStr">
        <is>
          <t>Quello che (non) so sull’amore</t>
        </is>
      </c>
      <c r="C176" s="14" t="inlineStr">
        <is>
          <t>Luca Tortolini, Marco Somà</t>
        </is>
      </c>
      <c r="D176" s="14" t="inlineStr">
        <is>
          <t>L'Acchiappastorie – Albi illustrati</t>
        </is>
      </c>
      <c r="E176" s="14" t="inlineStr">
        <is>
          <t>albi illustrati (età indicativa)</t>
        </is>
      </c>
      <c r="F176" s="14" t="inlineStr">
        <is>
          <t>3-6 anni</t>
        </is>
      </c>
      <c r="G176" s="14" t="inlineStr">
        <is>
          <t>Albo illustrato</t>
        </is>
      </c>
      <c r="H176" s="14" t="inlineStr"/>
      <c r="I176" s="14" t="inlineStr">
        <is>
          <t>No</t>
        </is>
      </c>
      <c r="J176" s="14" t="inlineStr">
        <is>
          <t>Collana</t>
        </is>
      </c>
      <c r="K176" s="14" t="inlineStr">
        <is>
          <t>3-6 anni</t>
        </is>
      </c>
      <c r="L176" s="14" t="inlineStr">
        <is>
          <t>Catalogo Terre di Mezzo 1° semestre 2026, p. 11 (ISBN 9791259961235)</t>
        </is>
      </c>
      <c r="M176" s="16" t="n">
        <v>16</v>
      </c>
      <c r="N176" s="14" t="inlineStr">
        <is>
          <t>Catalogo Terre di Mezzo 1° semestre 2026</t>
        </is>
      </c>
      <c r="O176" s="16">
        <f>IF(ISNUMBER(M176),ROUND(M176*(1-Condizioni!$B$2),2),"")</f>
        <v/>
      </c>
      <c r="P176" s="17" t="inlineStr">
        <is>
          <t>No</t>
        </is>
      </c>
    </row>
    <row r="177">
      <c r="A177" s="14" t="inlineStr">
        <is>
          <t>Terre di Mezzo</t>
        </is>
      </c>
      <c r="B177" s="14" t="inlineStr">
        <is>
          <t>Qui con te</t>
        </is>
      </c>
      <c r="C177" s="14" t="inlineStr">
        <is>
          <t>M.H. Clark, Isabelle Arsenault</t>
        </is>
      </c>
      <c r="D177" s="14" t="inlineStr">
        <is>
          <t>L'Acchiappastorie – Albi illustrati</t>
        </is>
      </c>
      <c r="E177" s="14" t="inlineStr">
        <is>
          <t>albi illustrati (età indicativa)</t>
        </is>
      </c>
      <c r="F177" s="14" t="inlineStr">
        <is>
          <t>3-6 anni</t>
        </is>
      </c>
      <c r="G177" s="14" t="inlineStr">
        <is>
          <t>Albo illustrato</t>
        </is>
      </c>
      <c r="H177" s="14" t="inlineStr"/>
      <c r="I177" s="14" t="inlineStr">
        <is>
          <t>No</t>
        </is>
      </c>
      <c r="J177" s="14" t="inlineStr">
        <is>
          <t>Collana</t>
        </is>
      </c>
      <c r="K177" s="14" t="inlineStr">
        <is>
          <t>3-6 anni</t>
        </is>
      </c>
      <c r="L177" s="14" t="inlineStr">
        <is>
          <t>Catalogo Terre di Mezzo 1° semestre 2026, p. 34 (ISBN 9788861897564)</t>
        </is>
      </c>
      <c r="M177" s="16" t="n">
        <v>15</v>
      </c>
      <c r="N177" s="14" t="inlineStr">
        <is>
          <t>Catalogo Terre di Mezzo 1° semestre 2026</t>
        </is>
      </c>
      <c r="O177" s="16">
        <f>IF(ISNUMBER(M177),ROUND(M177*(1-Condizioni!$B$2),2),"")</f>
        <v/>
      </c>
      <c r="P177" s="17" t="inlineStr">
        <is>
          <t>No</t>
        </is>
      </c>
    </row>
    <row r="178">
      <c r="A178" s="14" t="inlineStr">
        <is>
          <t>Terre di Mezzo</t>
        </is>
      </c>
      <c r="B178" s="14" t="inlineStr">
        <is>
          <t>Sam e Dave Scavano una buca</t>
        </is>
      </c>
      <c r="C178" s="14" t="inlineStr">
        <is>
          <t>Mac Barnett, Jon Klassen</t>
        </is>
      </c>
      <c r="D178" s="14" t="inlineStr">
        <is>
          <t>L'Acchiappastorie – Albi illustrati</t>
        </is>
      </c>
      <c r="E178" s="14" t="inlineStr">
        <is>
          <t>albi illustrati (età indicativa)</t>
        </is>
      </c>
      <c r="F178" s="14" t="inlineStr">
        <is>
          <t>3-6 anni</t>
        </is>
      </c>
      <c r="G178" s="14" t="inlineStr">
        <is>
          <t>Albo illustrato</t>
        </is>
      </c>
      <c r="H178" s="14" t="inlineStr"/>
      <c r="I178" s="14" t="inlineStr">
        <is>
          <t>No</t>
        </is>
      </c>
      <c r="J178" s="14" t="inlineStr">
        <is>
          <t>Collana</t>
        </is>
      </c>
      <c r="K178" s="14" t="inlineStr">
        <is>
          <t>3-6 anni</t>
        </is>
      </c>
      <c r="L178" s="14" t="inlineStr">
        <is>
          <t>Catalogo Terre di Mezzo 1° semestre 2026, p. 25 (ISBN 9788861893566)</t>
        </is>
      </c>
      <c r="M178" s="16" t="n">
        <v>16</v>
      </c>
      <c r="N178" s="14" t="inlineStr">
        <is>
          <t>Catalogo Terre di Mezzo 1° semestre 2026</t>
        </is>
      </c>
      <c r="O178" s="16">
        <f>IF(ISNUMBER(M178),ROUND(M178*(1-Condizioni!$B$2),2),"")</f>
        <v/>
      </c>
      <c r="P178" s="17" t="inlineStr">
        <is>
          <t>No</t>
        </is>
      </c>
    </row>
    <row r="179">
      <c r="A179" s="14" t="inlineStr">
        <is>
          <t>Terre di Mezzo</t>
        </is>
      </c>
      <c r="B179" s="14" t="inlineStr">
        <is>
          <t>Se guardi più in basso</t>
        </is>
      </c>
      <c r="C179" s="14" t="inlineStr">
        <is>
          <t>Dario Pomodoro, Martina Tonello</t>
        </is>
      </c>
      <c r="D179" s="14" t="inlineStr">
        <is>
          <t>L'Acchiappastorie – Albi illustrati</t>
        </is>
      </c>
      <c r="E179" s="14" t="inlineStr">
        <is>
          <t>albi illustrati (età indicativa)</t>
        </is>
      </c>
      <c r="F179" s="14" t="inlineStr">
        <is>
          <t>3-6 anni</t>
        </is>
      </c>
      <c r="G179" s="14" t="inlineStr">
        <is>
          <t>Albo illustrato</t>
        </is>
      </c>
      <c r="H179" s="14" t="inlineStr"/>
      <c r="I179" s="14" t="inlineStr">
        <is>
          <t>No</t>
        </is>
      </c>
      <c r="J179" s="14" t="inlineStr">
        <is>
          <t>Collana</t>
        </is>
      </c>
      <c r="K179" s="14" t="inlineStr">
        <is>
          <t>3-6 anni</t>
        </is>
      </c>
      <c r="L179" s="14" t="inlineStr">
        <is>
          <t>Catalogo Terre di Mezzo 1° semestre 2026, p. 9 (ISBN 9791259963901)</t>
        </is>
      </c>
      <c r="M179" s="16" t="n">
        <v>16</v>
      </c>
      <c r="N179" s="14" t="inlineStr">
        <is>
          <t>Catalogo Terre di Mezzo 1° semestre 2026</t>
        </is>
      </c>
      <c r="O179" s="16">
        <f>IF(ISNUMBER(M179),ROUND(M179*(1-Condizioni!$B$2),2),"")</f>
        <v/>
      </c>
      <c r="P179" s="17" t="inlineStr">
        <is>
          <t>No</t>
        </is>
      </c>
    </row>
    <row r="180">
      <c r="A180" s="14" t="inlineStr">
        <is>
          <t>Terre di Mezzo</t>
        </is>
      </c>
      <c r="B180" s="14" t="inlineStr">
        <is>
          <t>Se ti perdi</t>
        </is>
      </c>
      <c r="C180" s="14" t="inlineStr">
        <is>
          <t>Nikki Loftin, Deborah Marcero</t>
        </is>
      </c>
      <c r="D180" s="14" t="inlineStr">
        <is>
          <t>L'Acchiappastorie – Albi illustrati</t>
        </is>
      </c>
      <c r="E180" s="14" t="inlineStr">
        <is>
          <t>albi illustrati (età indicativa)</t>
        </is>
      </c>
      <c r="F180" s="14" t="inlineStr">
        <is>
          <t>3-6 anni</t>
        </is>
      </c>
      <c r="G180" s="14" t="inlineStr">
        <is>
          <t>Albo illustrato</t>
        </is>
      </c>
      <c r="H180" s="14" t="inlineStr"/>
      <c r="I180" s="14" t="inlineStr">
        <is>
          <t>No</t>
        </is>
      </c>
      <c r="J180" s="14" t="inlineStr">
        <is>
          <t>Collana</t>
        </is>
      </c>
      <c r="K180" s="14" t="inlineStr">
        <is>
          <t>3-6 anni</t>
        </is>
      </c>
      <c r="L180" s="14" t="inlineStr">
        <is>
          <t>Catalogo Terre di Mezzo 1° semestre 2026, p. 18 (ISBN 9791259962089)</t>
        </is>
      </c>
      <c r="M180" s="16" t="n">
        <v>16</v>
      </c>
      <c r="N180" s="14" t="inlineStr">
        <is>
          <t>Catalogo Terre di Mezzo 1° semestre 2026</t>
        </is>
      </c>
      <c r="O180" s="16">
        <f>IF(ISNUMBER(M180),ROUND(M180*(1-Condizioni!$B$2),2),"")</f>
        <v/>
      </c>
      <c r="P180" s="17" t="inlineStr">
        <is>
          <t>No</t>
        </is>
      </c>
    </row>
    <row r="181">
      <c r="A181" s="14" t="inlineStr">
        <is>
          <t>Terre di Mezzo</t>
        </is>
      </c>
      <c r="B181" s="14" t="inlineStr">
        <is>
          <t>Spuntino di mezzanotte</t>
        </is>
      </c>
      <c r="C181" s="14" t="inlineStr">
        <is>
          <t>Eric Fan, Dena Seiferling, traduzione di Chiara Carminati</t>
        </is>
      </c>
      <c r="D181" s="14" t="inlineStr">
        <is>
          <t>L'Acchiappastorie – Albi illustrati</t>
        </is>
      </c>
      <c r="E181" s="14" t="inlineStr">
        <is>
          <t>albi illustrati (età indicativa)</t>
        </is>
      </c>
      <c r="F181" s="14" t="inlineStr">
        <is>
          <t>3-6 anni</t>
        </is>
      </c>
      <c r="G181" s="14" t="inlineStr">
        <is>
          <t>Albo illustrato</t>
        </is>
      </c>
      <c r="H181" s="14" t="inlineStr"/>
      <c r="I181" s="14" t="inlineStr">
        <is>
          <t>No</t>
        </is>
      </c>
      <c r="J181" s="14" t="inlineStr">
        <is>
          <t>Collana</t>
        </is>
      </c>
      <c r="K181" s="14" t="inlineStr">
        <is>
          <t>3-6 anni</t>
        </is>
      </c>
      <c r="L181" s="14" t="inlineStr">
        <is>
          <t>Catalogo Terre di Mezzo 1° semestre 2026, p. 29 (ISBN 9791259960597)</t>
        </is>
      </c>
      <c r="M181" s="16" t="n">
        <v>16</v>
      </c>
      <c r="N181" s="14" t="inlineStr">
        <is>
          <t>Catalogo Terre di Mezzo 1° semestre 2026</t>
        </is>
      </c>
      <c r="O181" s="16">
        <f>IF(ISNUMBER(M181),ROUND(M181*(1-Condizioni!$B$2),2),"")</f>
        <v/>
      </c>
      <c r="P181" s="17" t="inlineStr">
        <is>
          <t>No</t>
        </is>
      </c>
    </row>
    <row r="182">
      <c r="A182" s="14" t="inlineStr">
        <is>
          <t>Terre di Mezzo</t>
        </is>
      </c>
      <c r="B182" s="14" t="inlineStr">
        <is>
          <t>Sugli gnomi di città</t>
        </is>
      </c>
      <c r="C182" s="14" t="inlineStr">
        <is>
          <t>TUTTO QUELLO CHE C’È DA SAPERE</t>
        </is>
      </c>
      <c r="D182" s="14" t="inlineStr">
        <is>
          <t>L'Acchiappastorie – Albi illustrati</t>
        </is>
      </c>
      <c r="E182" s="14" t="inlineStr">
        <is>
          <t>albi illustrati (età indicativa)</t>
        </is>
      </c>
      <c r="F182" s="14" t="inlineStr">
        <is>
          <t>3-6 anni</t>
        </is>
      </c>
      <c r="G182" s="14" t="inlineStr">
        <is>
          <t>Albo illustrato</t>
        </is>
      </c>
      <c r="H182" s="14" t="inlineStr"/>
      <c r="I182" s="14" t="inlineStr">
        <is>
          <t>No</t>
        </is>
      </c>
      <c r="J182" s="14" t="inlineStr">
        <is>
          <t>Collana</t>
        </is>
      </c>
      <c r="K182" s="14" t="inlineStr">
        <is>
          <t>3-6 anni</t>
        </is>
      </c>
      <c r="L182" s="14" t="inlineStr">
        <is>
          <t>Catalogo Terre di Mezzo 1° semestre 2026, p. 21 (ISBN 9791259962768)</t>
        </is>
      </c>
      <c r="M182" s="16" t="n">
        <v>16</v>
      </c>
      <c r="N182" s="14" t="inlineStr">
        <is>
          <t>Catalogo Terre di Mezzo 1° semestre 2026</t>
        </is>
      </c>
      <c r="O182" s="16">
        <f>IF(ISNUMBER(M182),ROUND(M182*(1-Condizioni!$B$2),2),"")</f>
        <v/>
      </c>
      <c r="P182" s="17" t="inlineStr">
        <is>
          <t>No</t>
        </is>
      </c>
    </row>
    <row r="183">
      <c r="A183" s="14" t="inlineStr">
        <is>
          <t>Terre di Mezzo</t>
        </is>
      </c>
      <c r="B183" s="14" t="inlineStr">
        <is>
          <t>Taxi pazzi</t>
        </is>
      </c>
      <c r="C183" s="14" t="inlineStr">
        <is>
          <t>Saša Stanišić, Katja Spitzer</t>
        </is>
      </c>
      <c r="D183" s="14" t="inlineStr">
        <is>
          <t>L'Acchiappastorie – Albi illustrati</t>
        </is>
      </c>
      <c r="E183" s="14" t="inlineStr">
        <is>
          <t>albi illustrati (età indicativa)</t>
        </is>
      </c>
      <c r="F183" s="14" t="inlineStr">
        <is>
          <t>3-6 anni</t>
        </is>
      </c>
      <c r="G183" s="14" t="inlineStr">
        <is>
          <t>Albo illustrato</t>
        </is>
      </c>
      <c r="H183" s="14" t="inlineStr"/>
      <c r="I183" s="14" t="inlineStr">
        <is>
          <t>No</t>
        </is>
      </c>
      <c r="J183" s="14" t="inlineStr">
        <is>
          <t>Collana</t>
        </is>
      </c>
      <c r="K183" s="14" t="inlineStr">
        <is>
          <t>3-6 anni</t>
        </is>
      </c>
      <c r="L183" s="14" t="inlineStr">
        <is>
          <t>Catalogo Terre di Mezzo 1° semestre 2026, p. 31 (ISBN 9788861897823)</t>
        </is>
      </c>
      <c r="M183" s="16" t="n">
        <v>18</v>
      </c>
      <c r="N183" s="14" t="inlineStr">
        <is>
          <t>Catalogo Terre di Mezzo 1° semestre 2026</t>
        </is>
      </c>
      <c r="O183" s="16">
        <f>IF(ISNUMBER(M183),ROUND(M183*(1-Condizioni!$B$2),2),"")</f>
        <v/>
      </c>
      <c r="P183" s="17" t="inlineStr">
        <is>
          <t>No</t>
        </is>
      </c>
    </row>
    <row r="184">
      <c r="A184" s="14" t="inlineStr">
        <is>
          <t>Terre di Mezzo</t>
        </is>
      </c>
      <c r="B184" s="14" t="inlineStr">
        <is>
          <t>Tina e i calzini spaiati</t>
        </is>
      </c>
      <c r="C184" s="14" t="inlineStr">
        <is>
          <t>Okay Tina</t>
        </is>
      </c>
      <c r="D184" s="14" t="inlineStr">
        <is>
          <t>L'Acchiappastorie – Albi illustrati</t>
        </is>
      </c>
      <c r="E184" s="14" t="inlineStr">
        <is>
          <t>albi illustrati (età indicativa)</t>
        </is>
      </c>
      <c r="F184" s="14" t="inlineStr">
        <is>
          <t>3-6 anni</t>
        </is>
      </c>
      <c r="G184" s="14" t="inlineStr">
        <is>
          <t>Albo illustrato</t>
        </is>
      </c>
      <c r="H184" s="14" t="inlineStr"/>
      <c r="I184" s="14" t="inlineStr">
        <is>
          <t>No</t>
        </is>
      </c>
      <c r="J184" s="14" t="inlineStr">
        <is>
          <t>Collana</t>
        </is>
      </c>
      <c r="K184" s="14" t="inlineStr">
        <is>
          <t>3-6 anni</t>
        </is>
      </c>
      <c r="L184" s="14" t="inlineStr">
        <is>
          <t>Catalogo Terre di Mezzo 1° semestre 2026, p. 28 (ISBN 9791259960627)</t>
        </is>
      </c>
      <c r="M184" s="16" t="n">
        <v>14</v>
      </c>
      <c r="N184" s="14" t="inlineStr">
        <is>
          <t>Catalogo Terre di Mezzo 1° semestre 2026</t>
        </is>
      </c>
      <c r="O184" s="16">
        <f>IF(ISNUMBER(M184),ROUND(M184*(1-Condizioni!$B$2),2),"")</f>
        <v/>
      </c>
      <c r="P184" s="17" t="inlineStr">
        <is>
          <t>No</t>
        </is>
      </c>
    </row>
    <row r="185">
      <c r="A185" s="14" t="inlineStr">
        <is>
          <t>Terre di Mezzo</t>
        </is>
      </c>
      <c r="B185" s="14" t="inlineStr">
        <is>
          <t>Tu (non) sei piccolo</t>
        </is>
      </c>
      <c r="C185" s="14" t="inlineStr">
        <is>
          <t>Anna Kang, Christopher Weyant</t>
        </is>
      </c>
      <c r="D185" s="14" t="inlineStr">
        <is>
          <t>L'Acchiappastorie – Albi illustrati</t>
        </is>
      </c>
      <c r="E185" s="14" t="inlineStr">
        <is>
          <t>albi illustrati (età indicativa)</t>
        </is>
      </c>
      <c r="F185" s="14" t="inlineStr">
        <is>
          <t>3-6 anni</t>
        </is>
      </c>
      <c r="G185" s="14" t="inlineStr">
        <is>
          <t>Albo illustrato</t>
        </is>
      </c>
      <c r="H185" s="14" t="inlineStr"/>
      <c r="I185" s="14" t="inlineStr">
        <is>
          <t>No</t>
        </is>
      </c>
      <c r="J185" s="14" t="inlineStr">
        <is>
          <t>Collana</t>
        </is>
      </c>
      <c r="K185" s="14" t="inlineStr">
        <is>
          <t>3-6 anni</t>
        </is>
      </c>
      <c r="L185" s="14" t="inlineStr">
        <is>
          <t>Catalogo Terre di Mezzo 1° semestre 2026, p. 21 (ISBN 9791259963567)</t>
        </is>
      </c>
      <c r="M185" s="16" t="n">
        <v>14</v>
      </c>
      <c r="N185" s="14" t="inlineStr">
        <is>
          <t>Catalogo Terre di Mezzo 1° semestre 2026</t>
        </is>
      </c>
      <c r="O185" s="16">
        <f>IF(ISNUMBER(M185),ROUND(M185*(1-Condizioni!$B$2),2),"")</f>
        <v/>
      </c>
      <c r="P185" s="17" t="inlineStr">
        <is>
          <t>No</t>
        </is>
      </c>
    </row>
    <row r="186">
      <c r="A186" s="14" t="inlineStr">
        <is>
          <t>Terre di Mezzo</t>
        </is>
      </c>
      <c r="B186" s="14" t="inlineStr">
        <is>
          <t>Un amico per Ooko</t>
        </is>
      </c>
      <c r="C186" s="14" t="inlineStr">
        <is>
          <t>Esmé Shapiro</t>
        </is>
      </c>
      <c r="D186" s="14" t="inlineStr">
        <is>
          <t>L'Acchiappastorie – Albi illustrati</t>
        </is>
      </c>
      <c r="E186" s="14" t="inlineStr">
        <is>
          <t>albi illustrati (età indicativa)</t>
        </is>
      </c>
      <c r="F186" s="14" t="inlineStr">
        <is>
          <t>3-6 anni</t>
        </is>
      </c>
      <c r="G186" s="14" t="inlineStr">
        <is>
          <t>Albo illustrato</t>
        </is>
      </c>
      <c r="H186" s="14" t="inlineStr"/>
      <c r="I186" s="14" t="inlineStr">
        <is>
          <t>No</t>
        </is>
      </c>
      <c r="J186" s="14" t="inlineStr">
        <is>
          <t>Collana</t>
        </is>
      </c>
      <c r="K186" s="14" t="inlineStr">
        <is>
          <t>3-6 anni</t>
        </is>
      </c>
      <c r="L186" s="14" t="inlineStr">
        <is>
          <t>Catalogo Terre di Mezzo 1° semestre 2026, p. 38 (ISBN 9788861896666)</t>
        </is>
      </c>
      <c r="M186" s="16" t="n">
        <v>15</v>
      </c>
      <c r="N186" s="14" t="inlineStr">
        <is>
          <t>Catalogo Terre di Mezzo 1° semestre 2026</t>
        </is>
      </c>
      <c r="O186" s="16">
        <f>IF(ISNUMBER(M186),ROUND(M186*(1-Condizioni!$B$2),2),"")</f>
        <v/>
      </c>
      <c r="P186" s="17" t="inlineStr">
        <is>
          <t>No</t>
        </is>
      </c>
    </row>
    <row r="187">
      <c r="A187" s="14" t="inlineStr">
        <is>
          <t>Terre di Mezzo</t>
        </is>
      </c>
      <c r="B187" s="14" t="inlineStr">
        <is>
          <t>Un anno tra gli alberi</t>
        </is>
      </c>
      <c r="C187" s="14" t="inlineStr">
        <is>
          <t>Valentina Levrini, Irene Penazzi</t>
        </is>
      </c>
      <c r="D187" s="14" t="inlineStr">
        <is>
          <t>L'Acchiappastorie – Albi illustrati</t>
        </is>
      </c>
      <c r="E187" s="14" t="inlineStr">
        <is>
          <t>albi illustrati (età indicativa)</t>
        </is>
      </c>
      <c r="F187" s="14" t="inlineStr">
        <is>
          <t>3-6 anni</t>
        </is>
      </c>
      <c r="G187" s="14" t="inlineStr">
        <is>
          <t>Albo illustrato</t>
        </is>
      </c>
      <c r="H187" s="14" t="inlineStr"/>
      <c r="I187" s="14" t="inlineStr">
        <is>
          <t>No</t>
        </is>
      </c>
      <c r="J187" s="14" t="inlineStr">
        <is>
          <t>Collana</t>
        </is>
      </c>
      <c r="K187" s="14" t="inlineStr">
        <is>
          <t>3-6 anni</t>
        </is>
      </c>
      <c r="L187" s="14" t="inlineStr">
        <is>
          <t>Catalogo Terre di Mezzo 1° semestre 2026, p. 27 (ISBN 9791259960986)</t>
        </is>
      </c>
      <c r="M187" s="16" t="n">
        <v>16</v>
      </c>
      <c r="N187" s="14" t="inlineStr">
        <is>
          <t>Catalogo Terre di Mezzo 1° semestre 2026</t>
        </is>
      </c>
      <c r="O187" s="16">
        <f>IF(ISNUMBER(M187),ROUND(M187*(1-Condizioni!$B$2),2),"")</f>
        <v/>
      </c>
      <c r="P187" s="17" t="inlineStr">
        <is>
          <t>No</t>
        </is>
      </c>
    </row>
    <row r="188">
      <c r="A188" s="14" t="inlineStr">
        <is>
          <t>Terre di Mezzo</t>
        </is>
      </c>
      <c r="B188" s="14" t="inlineStr">
        <is>
          <t>Un barattolo di emozioni</t>
        </is>
      </c>
      <c r="C188" s="14" t="inlineStr">
        <is>
          <t>Deborah Marcero</t>
        </is>
      </c>
      <c r="D188" s="14" t="inlineStr">
        <is>
          <t>L'Acchiappastorie – Albi illustrati</t>
        </is>
      </c>
      <c r="E188" s="14" t="inlineStr">
        <is>
          <t>albi illustrati (età indicativa)</t>
        </is>
      </c>
      <c r="F188" s="14" t="inlineStr">
        <is>
          <t>3-6 anni</t>
        </is>
      </c>
      <c r="G188" s="14" t="inlineStr">
        <is>
          <t>Albo illustrato</t>
        </is>
      </c>
      <c r="H188" s="14" t="inlineStr"/>
      <c r="I188" s="14" t="inlineStr">
        <is>
          <t>No</t>
        </is>
      </c>
      <c r="J188" s="14" t="inlineStr">
        <is>
          <t>Collana</t>
        </is>
      </c>
      <c r="K188" s="14" t="inlineStr">
        <is>
          <t>3-6 anni</t>
        </is>
      </c>
      <c r="L188" s="14" t="inlineStr">
        <is>
          <t>Catalogo Terre di Mezzo 1° semestre 2026, p. 18 (ISBN 9791259960535)</t>
        </is>
      </c>
      <c r="M188" s="16" t="n">
        <v>15</v>
      </c>
      <c r="N188" s="14" t="inlineStr">
        <is>
          <t>Catalogo Terre di Mezzo 1° semestre 2026</t>
        </is>
      </c>
      <c r="O188" s="16">
        <f>IF(ISNUMBER(M188),ROUND(M188*(1-Condizioni!$B$2),2),"")</f>
        <v/>
      </c>
      <c r="P188" s="17" t="inlineStr">
        <is>
          <t>Sì</t>
        </is>
      </c>
    </row>
    <row r="189">
      <c r="A189" s="14" t="inlineStr">
        <is>
          <t>Terre di Mezzo</t>
        </is>
      </c>
      <c r="B189" s="14" t="inlineStr">
        <is>
          <t>Un barattolo di sogni</t>
        </is>
      </c>
      <c r="C189" s="14" t="inlineStr">
        <is>
          <t>Deborah Marcero</t>
        </is>
      </c>
      <c r="D189" s="14" t="inlineStr">
        <is>
          <t>L'Acchiappastorie – Albi illustrati</t>
        </is>
      </c>
      <c r="E189" s="14" t="inlineStr">
        <is>
          <t>albi illustrati (età indicativa)</t>
        </is>
      </c>
      <c r="F189" s="14" t="inlineStr">
        <is>
          <t>3-6 anni</t>
        </is>
      </c>
      <c r="G189" s="14" t="inlineStr">
        <is>
          <t>Albo illustrato</t>
        </is>
      </c>
      <c r="H189" s="14" t="inlineStr"/>
      <c r="I189" s="14" t="inlineStr">
        <is>
          <t>No</t>
        </is>
      </c>
      <c r="J189" s="14" t="inlineStr">
        <is>
          <t>Collana</t>
        </is>
      </c>
      <c r="K189" s="14" t="inlineStr">
        <is>
          <t>3-6 anni</t>
        </is>
      </c>
      <c r="L189" s="14" t="inlineStr">
        <is>
          <t>Catalogo Terre di Mezzo 1° semestre 2026, p. 18 (ISBN 9791259962898)</t>
        </is>
      </c>
      <c r="M189" s="16" t="n">
        <v>16</v>
      </c>
      <c r="N189" s="14" t="inlineStr">
        <is>
          <t>Catalogo Terre di Mezzo 1° semestre 2026</t>
        </is>
      </c>
      <c r="O189" s="16">
        <f>IF(ISNUMBER(M189),ROUND(M189*(1-Condizioni!$B$2),2),"")</f>
        <v/>
      </c>
      <c r="P189" s="17" t="inlineStr">
        <is>
          <t>No</t>
        </is>
      </c>
    </row>
    <row r="190">
      <c r="A190" s="14" t="inlineStr">
        <is>
          <t>Terre di Mezzo</t>
        </is>
      </c>
      <c r="B190" s="14" t="inlineStr">
        <is>
          <t>Un barattolo di stelle</t>
        </is>
      </c>
      <c r="C190" s="14" t="inlineStr">
        <is>
          <t>Deborah Marcero</t>
        </is>
      </c>
      <c r="D190" s="14" t="inlineStr">
        <is>
          <t>L'Acchiappastorie – Albi illustrati</t>
        </is>
      </c>
      <c r="E190" s="14" t="inlineStr">
        <is>
          <t>albi illustrati (età indicativa)</t>
        </is>
      </c>
      <c r="F190" s="14" t="inlineStr">
        <is>
          <t>3-6 anni</t>
        </is>
      </c>
      <c r="G190" s="14" t="inlineStr">
        <is>
          <t>Albo illustrato</t>
        </is>
      </c>
      <c r="H190" s="14" t="inlineStr"/>
      <c r="I190" s="14" t="inlineStr">
        <is>
          <t>No</t>
        </is>
      </c>
      <c r="J190" s="14" t="inlineStr">
        <is>
          <t>Collana</t>
        </is>
      </c>
      <c r="K190" s="14" t="inlineStr">
        <is>
          <t>3-6 anni</t>
        </is>
      </c>
      <c r="L190" s="14" t="inlineStr">
        <is>
          <t>Catalogo Terre di Mezzo 1° semestre 2026, p. 18 (ISBN 9788861896451)</t>
        </is>
      </c>
      <c r="M190" s="16" t="n">
        <v>15</v>
      </c>
      <c r="N190" s="14" t="inlineStr">
        <is>
          <t>Catalogo Terre di Mezzo 1° semestre 2026</t>
        </is>
      </c>
      <c r="O190" s="16">
        <f>IF(ISNUMBER(M190),ROUND(M190*(1-Condizioni!$B$2),2),"")</f>
        <v/>
      </c>
      <c r="P190" s="17" t="inlineStr">
        <is>
          <t>No</t>
        </is>
      </c>
    </row>
    <row r="191">
      <c r="A191" s="14" t="inlineStr">
        <is>
          <t>Terre di Mezzo</t>
        </is>
      </c>
      <c r="B191" s="14" t="inlineStr">
        <is>
          <t>Un gattino come te</t>
        </is>
      </c>
      <c r="C191" s="14" t="inlineStr">
        <is>
          <t>Natalia Shaloshvili</t>
        </is>
      </c>
      <c r="D191" s="14" t="inlineStr">
        <is>
          <t>L'Acchiappastorie – Albi illustrati</t>
        </is>
      </c>
      <c r="E191" s="14" t="inlineStr">
        <is>
          <t>albi illustrati (età indicativa)</t>
        </is>
      </c>
      <c r="F191" s="14" t="inlineStr">
        <is>
          <t>3-6 anni</t>
        </is>
      </c>
      <c r="G191" s="14" t="inlineStr">
        <is>
          <t>Albo illustrato</t>
        </is>
      </c>
      <c r="H191" s="14" t="inlineStr"/>
      <c r="I191" s="14" t="inlineStr">
        <is>
          <t>No</t>
        </is>
      </c>
      <c r="J191" s="14" t="inlineStr">
        <is>
          <t>Collana</t>
        </is>
      </c>
      <c r="K191" s="14" t="inlineStr">
        <is>
          <t>3-6 anni</t>
        </is>
      </c>
      <c r="L191" s="14" t="inlineStr">
        <is>
          <t>Catalogo Terre di Mezzo 1° semestre 2026, p. 29 (ISBN 9791259961082)</t>
        </is>
      </c>
      <c r="M191" s="16" t="n">
        <v>16</v>
      </c>
      <c r="N191" s="14" t="inlineStr">
        <is>
          <t>Catalogo Terre di Mezzo 1° semestre 2026</t>
        </is>
      </c>
      <c r="O191" s="16">
        <f>IF(ISNUMBER(M191),ROUND(M191*(1-Condizioni!$B$2),2),"")</f>
        <v/>
      </c>
      <c r="P191" s="17" t="inlineStr">
        <is>
          <t>No</t>
        </is>
      </c>
    </row>
    <row r="192">
      <c r="A192" s="14" t="inlineStr">
        <is>
          <t>Terre di Mezzo</t>
        </is>
      </c>
      <c r="B192" s="14" t="inlineStr">
        <is>
          <t>Un leprotto molto di fretta</t>
        </is>
      </c>
      <c r="C192" s="14" t="inlineStr">
        <is>
          <t>Christian Merveille, Lorenzo Sangiò</t>
        </is>
      </c>
      <c r="D192" s="14" t="inlineStr">
        <is>
          <t>L'Acchiappastorie – Albi illustrati</t>
        </is>
      </c>
      <c r="E192" s="14" t="inlineStr">
        <is>
          <t>albi illustrati (età indicativa)</t>
        </is>
      </c>
      <c r="F192" s="14" t="inlineStr">
        <is>
          <t>3-6 anni</t>
        </is>
      </c>
      <c r="G192" s="14" t="inlineStr">
        <is>
          <t>Albo illustrato</t>
        </is>
      </c>
      <c r="H192" s="14" t="inlineStr"/>
      <c r="I192" s="14" t="inlineStr">
        <is>
          <t>No</t>
        </is>
      </c>
      <c r="J192" s="14" t="inlineStr">
        <is>
          <t>Collana</t>
        </is>
      </c>
      <c r="K192" s="14" t="inlineStr">
        <is>
          <t>3-6 anni</t>
        </is>
      </c>
      <c r="L192" s="14" t="inlineStr">
        <is>
          <t>Catalogo Terre di Mezzo 1° semestre 2026, p. 16 (ISBN 9791259963413)</t>
        </is>
      </c>
      <c r="M192" s="16" t="n">
        <v>16</v>
      </c>
      <c r="N192" s="14" t="inlineStr">
        <is>
          <t>Catalogo Terre di Mezzo 1° semestre 2026</t>
        </is>
      </c>
      <c r="O192" s="16">
        <f>IF(ISNUMBER(M192),ROUND(M192*(1-Condizioni!$B$2),2),"")</f>
        <v/>
      </c>
      <c r="P192" s="17" t="inlineStr">
        <is>
          <t>No</t>
        </is>
      </c>
    </row>
    <row r="193">
      <c r="A193" s="14" t="inlineStr">
        <is>
          <t>Terre di Mezzo</t>
        </is>
      </c>
      <c r="B193" s="14" t="inlineStr">
        <is>
          <t>Un mare d’amore</t>
        </is>
      </c>
      <c r="C193" s="14" t="inlineStr">
        <is>
          <t>Pieter Gaudesaboos</t>
        </is>
      </c>
      <c r="D193" s="14" t="inlineStr">
        <is>
          <t>L'Acchiappastorie – Albi illustrati</t>
        </is>
      </c>
      <c r="E193" s="14" t="inlineStr">
        <is>
          <t>albi illustrati (età indicativa)</t>
        </is>
      </c>
      <c r="F193" s="14" t="inlineStr">
        <is>
          <t>3-6 anni</t>
        </is>
      </c>
      <c r="G193" s="14" t="inlineStr">
        <is>
          <t>Albo illustrato</t>
        </is>
      </c>
      <c r="H193" s="14" t="inlineStr"/>
      <c r="I193" s="14" t="inlineStr">
        <is>
          <t>No</t>
        </is>
      </c>
      <c r="J193" s="14" t="inlineStr">
        <is>
          <t>Collana</t>
        </is>
      </c>
      <c r="K193" s="14" t="inlineStr">
        <is>
          <t>3-6 anni</t>
        </is>
      </c>
      <c r="L193" s="14" t="inlineStr">
        <is>
          <t>Catalogo Terre di Mezzo 1° semestre 2026, p. 27 (ISBN 9791259960429)</t>
        </is>
      </c>
      <c r="M193" s="16" t="n">
        <v>18</v>
      </c>
      <c r="N193" s="14" t="inlineStr">
        <is>
          <t>Catalogo Terre di Mezzo 1° semestre 2026</t>
        </is>
      </c>
      <c r="O193" s="16">
        <f>IF(ISNUMBER(M193),ROUND(M193*(1-Condizioni!$B$2),2),"")</f>
        <v/>
      </c>
      <c r="P193" s="17" t="inlineStr">
        <is>
          <t>No</t>
        </is>
      </c>
    </row>
    <row r="194">
      <c r="A194" s="14" t="inlineStr">
        <is>
          <t>Terre di Mezzo</t>
        </is>
      </c>
      <c r="B194" s="14" t="inlineStr">
        <is>
          <t>Un milione di Babbi Natale</t>
        </is>
      </c>
      <c r="C194" s="14" t="inlineStr">
        <is>
          <t>Hiroko Motai, Marika Maijala</t>
        </is>
      </c>
      <c r="D194" s="14" t="inlineStr">
        <is>
          <t>L'Acchiappastorie – Albi illustrati</t>
        </is>
      </c>
      <c r="E194" s="14" t="inlineStr">
        <is>
          <t>albi illustrati (età indicativa)</t>
        </is>
      </c>
      <c r="F194" s="14" t="inlineStr">
        <is>
          <t>3-6 anni</t>
        </is>
      </c>
      <c r="G194" s="14" t="inlineStr">
        <is>
          <t>Albo illustrato</t>
        </is>
      </c>
      <c r="H194" s="14" t="inlineStr"/>
      <c r="I194" s="14" t="inlineStr">
        <is>
          <t>No</t>
        </is>
      </c>
      <c r="J194" s="14" t="inlineStr">
        <is>
          <t>Collana</t>
        </is>
      </c>
      <c r="K194" s="14" t="inlineStr">
        <is>
          <t>3-6 anni</t>
        </is>
      </c>
      <c r="L194" s="14" t="inlineStr">
        <is>
          <t>Catalogo Terre di Mezzo 1° semestre 2026, p. 18 (ISBN 9791259964083)</t>
        </is>
      </c>
      <c r="M194" s="16" t="n">
        <v>16</v>
      </c>
      <c r="N194" s="14" t="inlineStr">
        <is>
          <t>Catalogo Terre di Mezzo 1° semestre 2026</t>
        </is>
      </c>
      <c r="O194" s="16">
        <f>IF(ISNUMBER(M194),ROUND(M194*(1-Condizioni!$B$2),2),"")</f>
        <v/>
      </c>
      <c r="P194" s="17" t="inlineStr">
        <is>
          <t>No</t>
        </is>
      </c>
    </row>
    <row r="195">
      <c r="A195" s="14" t="inlineStr">
        <is>
          <t>Terre di Mezzo</t>
        </is>
      </c>
      <c r="B195" s="14" t="inlineStr">
        <is>
          <t>Un posto chiamato casa</t>
        </is>
      </c>
      <c r="C195" s="14" t="inlineStr">
        <is>
          <t>Victoria Turnbull</t>
        </is>
      </c>
      <c r="D195" s="14" t="inlineStr">
        <is>
          <t>L'Acchiappastorie – Albi illustrati</t>
        </is>
      </c>
      <c r="E195" s="14" t="inlineStr">
        <is>
          <t>albi illustrati (età indicativa)</t>
        </is>
      </c>
      <c r="F195" s="14" t="inlineStr">
        <is>
          <t>3-6 anni</t>
        </is>
      </c>
      <c r="G195" s="14" t="inlineStr">
        <is>
          <t>Albo illustrato</t>
        </is>
      </c>
      <c r="H195" s="14" t="inlineStr"/>
      <c r="I195" s="14" t="inlineStr">
        <is>
          <t>No</t>
        </is>
      </c>
      <c r="J195" s="14" t="inlineStr">
        <is>
          <t>Collana</t>
        </is>
      </c>
      <c r="K195" s="14" t="inlineStr">
        <is>
          <t>3-6 anni</t>
        </is>
      </c>
      <c r="L195" s="14" t="inlineStr">
        <is>
          <t>Catalogo Terre di Mezzo 1° semestre 2026, p. 17 (ISBN 9791259963321)</t>
        </is>
      </c>
      <c r="M195" s="16" t="n">
        <v>16</v>
      </c>
      <c r="N195" s="14" t="inlineStr">
        <is>
          <t>Catalogo Terre di Mezzo 1° semestre 2026</t>
        </is>
      </c>
      <c r="O195" s="16">
        <f>IF(ISNUMBER(M195),ROUND(M195*(1-Condizioni!$B$2),2),"")</f>
        <v/>
      </c>
      <c r="P195" s="17" t="inlineStr">
        <is>
          <t>Sì</t>
        </is>
      </c>
    </row>
    <row r="196">
      <c r="A196" s="14" t="inlineStr">
        <is>
          <t>Terre di Mezzo</t>
        </is>
      </c>
      <c r="B196" s="14" t="inlineStr">
        <is>
          <t>Un posto nel cuore del maestro Orso Bruno</t>
        </is>
      </c>
      <c r="C196" s="14" t="inlineStr">
        <is>
          <t>Wu Ya-Nan, Liu Long-Sha</t>
        </is>
      </c>
      <c r="D196" s="14" t="inlineStr">
        <is>
          <t>L'Acchiappastorie – Albi illustrati</t>
        </is>
      </c>
      <c r="E196" s="14" t="inlineStr">
        <is>
          <t>albi illustrati (età indicativa)</t>
        </is>
      </c>
      <c r="F196" s="14" t="inlineStr">
        <is>
          <t>3-6 anni</t>
        </is>
      </c>
      <c r="G196" s="14" t="inlineStr">
        <is>
          <t>Albo illustrato</t>
        </is>
      </c>
      <c r="H196" s="14" t="inlineStr"/>
      <c r="I196" s="14" t="inlineStr">
        <is>
          <t>No</t>
        </is>
      </c>
      <c r="J196" s="14" t="inlineStr">
        <is>
          <t>Collana</t>
        </is>
      </c>
      <c r="K196" s="14" t="inlineStr">
        <is>
          <t>3-6 anni</t>
        </is>
      </c>
      <c r="L196" s="14" t="inlineStr">
        <is>
          <t>Catalogo Terre di Mezzo 1° semestre 2026, p. 12 (ISBN 9791259963918)</t>
        </is>
      </c>
      <c r="M196" s="16" t="n">
        <v>16</v>
      </c>
      <c r="N196" s="14" t="inlineStr">
        <is>
          <t>Catalogo Terre di Mezzo 1° semestre 2026</t>
        </is>
      </c>
      <c r="O196" s="16">
        <f>IF(ISNUMBER(M196),ROUND(M196*(1-Condizioni!$B$2),2),"")</f>
        <v/>
      </c>
      <c r="P196" s="17" t="inlineStr">
        <is>
          <t>Sì</t>
        </is>
      </c>
    </row>
    <row r="197">
      <c r="A197" s="14" t="inlineStr">
        <is>
          <t>Terre di Mezzo</t>
        </is>
      </c>
      <c r="B197" s="14" t="inlineStr">
        <is>
          <t>Un tempo il mondo era di chi dormiva più a lungo</t>
        </is>
      </c>
      <c r="C197" s="14" t="inlineStr">
        <is>
          <t>Massimo D’Anolfi, Giulia Pastorino</t>
        </is>
      </c>
      <c r="D197" s="14" t="inlineStr">
        <is>
          <t>L'Acchiappastorie – Albi illustrati</t>
        </is>
      </c>
      <c r="E197" s="14" t="inlineStr">
        <is>
          <t>albi illustrati (età indicativa)</t>
        </is>
      </c>
      <c r="F197" s="14" t="inlineStr">
        <is>
          <t>3-6 anni</t>
        </is>
      </c>
      <c r="G197" s="14" t="inlineStr">
        <is>
          <t>Albo illustrato</t>
        </is>
      </c>
      <c r="H197" s="14" t="inlineStr"/>
      <c r="I197" s="14" t="inlineStr">
        <is>
          <t>No</t>
        </is>
      </c>
      <c r="J197" s="14" t="inlineStr">
        <is>
          <t>Collana</t>
        </is>
      </c>
      <c r="K197" s="14" t="inlineStr">
        <is>
          <t>3-6 anni</t>
        </is>
      </c>
      <c r="L197" s="14" t="inlineStr">
        <is>
          <t>Catalogo Terre di Mezzo 1° semestre 2026, p. 10 (ISBN 9791259963260)</t>
        </is>
      </c>
      <c r="M197" s="16" t="n">
        <v>16</v>
      </c>
      <c r="N197" s="14" t="inlineStr">
        <is>
          <t>Catalogo Terre di Mezzo 1° semestre 2026</t>
        </is>
      </c>
      <c r="O197" s="16">
        <f>IF(ISNUMBER(M197),ROUND(M197*(1-Condizioni!$B$2),2),"")</f>
        <v/>
      </c>
      <c r="P197" s="17" t="inlineStr">
        <is>
          <t>No</t>
        </is>
      </c>
    </row>
    <row r="198">
      <c r="A198" s="14" t="inlineStr">
        <is>
          <t>Terre di Mezzo</t>
        </is>
      </c>
      <c r="B198" s="14" t="inlineStr">
        <is>
          <t>Un tè all’acqua di nuvola</t>
        </is>
      </c>
      <c r="C198" s="14" t="inlineStr">
        <is>
          <t>Karen Hottois, Chloé Malard</t>
        </is>
      </c>
      <c r="D198" s="14" t="inlineStr">
        <is>
          <t>L'Acchiappastorie – Albi illustrati</t>
        </is>
      </c>
      <c r="E198" s="14" t="inlineStr">
        <is>
          <t>albi illustrati (età indicativa)</t>
        </is>
      </c>
      <c r="F198" s="14" t="inlineStr">
        <is>
          <t>3-6 anni</t>
        </is>
      </c>
      <c r="G198" s="14" t="inlineStr">
        <is>
          <t>Albo illustrato</t>
        </is>
      </c>
      <c r="H198" s="14" t="inlineStr"/>
      <c r="I198" s="14" t="inlineStr">
        <is>
          <t>No</t>
        </is>
      </c>
      <c r="J198" s="14" t="inlineStr">
        <is>
          <t>Collana</t>
        </is>
      </c>
      <c r="K198" s="14" t="inlineStr">
        <is>
          <t>3-6 anni</t>
        </is>
      </c>
      <c r="L198" s="14" t="inlineStr">
        <is>
          <t>Catalogo Terre di Mezzo 1° semestre 2026, p. 34 (ISBN 9791259961129)</t>
        </is>
      </c>
      <c r="M198" s="16" t="n">
        <v>14</v>
      </c>
      <c r="N198" s="14" t="inlineStr">
        <is>
          <t>Catalogo Terre di Mezzo 1° semestre 2026</t>
        </is>
      </c>
      <c r="O198" s="16">
        <f>IF(ISNUMBER(M198),ROUND(M198*(1-Condizioni!$B$2),2),"")</f>
        <v/>
      </c>
      <c r="P198" s="17" t="inlineStr">
        <is>
          <t>No</t>
        </is>
      </c>
    </row>
    <row r="199">
      <c r="A199" s="14" t="inlineStr">
        <is>
          <t>Terre di Mezzo</t>
        </is>
      </c>
      <c r="B199" s="14" t="inlineStr">
        <is>
          <t>Un veliero tutto per me</t>
        </is>
      </c>
      <c r="C199" s="14" t="inlineStr">
        <is>
          <t>Travis Jonker, Matthew Cordell</t>
        </is>
      </c>
      <c r="D199" s="14" t="inlineStr">
        <is>
          <t>L'Acchiappastorie – Albi illustrati</t>
        </is>
      </c>
      <c r="E199" s="14" t="inlineStr">
        <is>
          <t>albi illustrati (età indicativa)</t>
        </is>
      </c>
      <c r="F199" s="14" t="inlineStr">
        <is>
          <t>3-6 anni</t>
        </is>
      </c>
      <c r="G199" s="14" t="inlineStr">
        <is>
          <t>Albo illustrato</t>
        </is>
      </c>
      <c r="H199" s="14" t="inlineStr"/>
      <c r="I199" s="14" t="inlineStr">
        <is>
          <t>No</t>
        </is>
      </c>
      <c r="J199" s="14" t="inlineStr">
        <is>
          <t>Collana</t>
        </is>
      </c>
      <c r="K199" s="14" t="inlineStr">
        <is>
          <t>3-6 anni</t>
        </is>
      </c>
      <c r="L199" s="14" t="inlineStr">
        <is>
          <t>Catalogo Terre di Mezzo 1° semestre 2026, p. 21 (ISBN 9791259962607)</t>
        </is>
      </c>
      <c r="M199" s="16" t="n">
        <v>16</v>
      </c>
      <c r="N199" s="14" t="inlineStr">
        <is>
          <t>Catalogo Terre di Mezzo 1° semestre 2026</t>
        </is>
      </c>
      <c r="O199" s="16">
        <f>IF(ISNUMBER(M199),ROUND(M199*(1-Condizioni!$B$2),2),"")</f>
        <v/>
      </c>
      <c r="P199" s="17" t="inlineStr">
        <is>
          <t>No</t>
        </is>
      </c>
    </row>
    <row r="200">
      <c r="A200" s="14" t="inlineStr">
        <is>
          <t>Terre di Mezzo</t>
        </is>
      </c>
      <c r="B200" s="14" t="inlineStr">
        <is>
          <t>Una casa di nuovo</t>
        </is>
      </c>
      <c r="C200" s="14" t="inlineStr">
        <is>
          <t>Colleen Rowan Kosinski, Valeria Docampo</t>
        </is>
      </c>
      <c r="D200" s="14" t="inlineStr">
        <is>
          <t>L'Acchiappastorie – Albi illustrati</t>
        </is>
      </c>
      <c r="E200" s="14" t="inlineStr">
        <is>
          <t>albi illustrati (età indicativa)</t>
        </is>
      </c>
      <c r="F200" s="14" t="inlineStr">
        <is>
          <t>3-6 anni</t>
        </is>
      </c>
      <c r="G200" s="14" t="inlineStr">
        <is>
          <t>Albo illustrato</t>
        </is>
      </c>
      <c r="H200" s="14" t="inlineStr"/>
      <c r="I200" s="14" t="inlineStr">
        <is>
          <t>No</t>
        </is>
      </c>
      <c r="J200" s="14" t="inlineStr">
        <is>
          <t>Collana</t>
        </is>
      </c>
      <c r="K200" s="14" t="inlineStr">
        <is>
          <t>3-6 anni</t>
        </is>
      </c>
      <c r="L200" s="14" t="inlineStr">
        <is>
          <t>Catalogo Terre di Mezzo 1° semestre 2026, p. 32 (ISBN 9788861897786)</t>
        </is>
      </c>
      <c r="M200" s="16" t="n">
        <v>15</v>
      </c>
      <c r="N200" s="14" t="inlineStr">
        <is>
          <t>Catalogo Terre di Mezzo 1° semestre 2026</t>
        </is>
      </c>
      <c r="O200" s="16">
        <f>IF(ISNUMBER(M200),ROUND(M200*(1-Condizioni!$B$2),2),"")</f>
        <v/>
      </c>
      <c r="P200" s="17" t="inlineStr">
        <is>
          <t>No</t>
        </is>
      </c>
    </row>
    <row r="201">
      <c r="A201" s="14" t="inlineStr">
        <is>
          <t>Terre di Mezzo</t>
        </is>
      </c>
      <c r="B201" s="14" t="inlineStr">
        <is>
          <t>Una notte all’insect Hotel</t>
        </is>
      </c>
      <c r="C201" s="14" t="inlineStr">
        <is>
          <t>Claire Schvartz</t>
        </is>
      </c>
      <c r="D201" s="14" t="inlineStr">
        <is>
          <t>L'Acchiappastorie – Albi illustrati</t>
        </is>
      </c>
      <c r="E201" s="14" t="inlineStr">
        <is>
          <t>albi illustrati (età indicativa)</t>
        </is>
      </c>
      <c r="F201" s="14" t="inlineStr">
        <is>
          <t>3-6 anni</t>
        </is>
      </c>
      <c r="G201" s="14" t="inlineStr">
        <is>
          <t>Albo illustrato</t>
        </is>
      </c>
      <c r="H201" s="14" t="inlineStr"/>
      <c r="I201" s="14" t="inlineStr">
        <is>
          <t>No</t>
        </is>
      </c>
      <c r="J201" s="14" t="inlineStr">
        <is>
          <t>Collana</t>
        </is>
      </c>
      <c r="K201" s="14" t="inlineStr">
        <is>
          <t>3-6 anni</t>
        </is>
      </c>
      <c r="L201" s="14" t="inlineStr">
        <is>
          <t>Catalogo Terre di Mezzo 1° semestre 2026, p. 30 (ISBN 9791259960276)</t>
        </is>
      </c>
      <c r="M201" s="16" t="n">
        <v>15</v>
      </c>
      <c r="N201" s="14" t="inlineStr">
        <is>
          <t>Catalogo Terre di Mezzo 1° semestre 2026</t>
        </is>
      </c>
      <c r="O201" s="16">
        <f>IF(ISNUMBER(M201),ROUND(M201*(1-Condizioni!$B$2),2),"")</f>
        <v/>
      </c>
      <c r="P201" s="17" t="inlineStr">
        <is>
          <t>No</t>
        </is>
      </c>
    </row>
    <row r="202">
      <c r="A202" s="14" t="inlineStr">
        <is>
          <t>Terre di Mezzo</t>
        </is>
      </c>
      <c r="B202" s="14" t="inlineStr">
        <is>
          <t>Una splendida giornata</t>
        </is>
      </c>
      <c r="C202" s="14" t="inlineStr">
        <is>
          <t>Richard Jackson, Suzy Lee</t>
        </is>
      </c>
      <c r="D202" s="14" t="inlineStr">
        <is>
          <t>L'Acchiappastorie – Albi illustrati</t>
        </is>
      </c>
      <c r="E202" s="14" t="inlineStr">
        <is>
          <t>albi illustrati (età indicativa)</t>
        </is>
      </c>
      <c r="F202" s="14" t="inlineStr">
        <is>
          <t>3-6 anni</t>
        </is>
      </c>
      <c r="G202" s="14" t="inlineStr">
        <is>
          <t>Albo illustrato</t>
        </is>
      </c>
      <c r="H202" s="14" t="inlineStr"/>
      <c r="I202" s="14" t="inlineStr">
        <is>
          <t>No</t>
        </is>
      </c>
      <c r="J202" s="14" t="inlineStr">
        <is>
          <t>Collana</t>
        </is>
      </c>
      <c r="K202" s="14" t="inlineStr">
        <is>
          <t>3-6 anni</t>
        </is>
      </c>
      <c r="L202" s="14" t="inlineStr">
        <is>
          <t>Catalogo Terre di Mezzo 1° semestre 2026, p. 38 (ISBN 9788861894358)</t>
        </is>
      </c>
      <c r="M202" s="16" t="n">
        <v>16</v>
      </c>
      <c r="N202" s="14" t="inlineStr">
        <is>
          <t>Catalogo Terre di Mezzo 1° semestre 2026</t>
        </is>
      </c>
      <c r="O202" s="16">
        <f>IF(ISNUMBER(M202),ROUND(M202*(1-Condizioni!$B$2),2),"")</f>
        <v/>
      </c>
      <c r="P202" s="17" t="inlineStr">
        <is>
          <t>No</t>
        </is>
      </c>
    </row>
    <row r="203">
      <c r="A203" s="14" t="inlineStr">
        <is>
          <t>Terre di Mezzo</t>
        </is>
      </c>
      <c r="B203" s="14" t="inlineStr">
        <is>
          <t>Una storia molto in ritardo</t>
        </is>
      </c>
      <c r="C203" s="14" t="inlineStr">
        <is>
          <t>Marianna Coppo</t>
        </is>
      </c>
      <c r="D203" s="14" t="inlineStr">
        <is>
          <t>L'Acchiappastorie – Albi illustrati</t>
        </is>
      </c>
      <c r="E203" s="14" t="inlineStr">
        <is>
          <t>albi illustrati (età indicativa)</t>
        </is>
      </c>
      <c r="F203" s="14" t="inlineStr">
        <is>
          <t>3-6 anni</t>
        </is>
      </c>
      <c r="G203" s="14" t="inlineStr">
        <is>
          <t>Albo illustrato</t>
        </is>
      </c>
      <c r="H203" s="14" t="inlineStr"/>
      <c r="I203" s="14" t="inlineStr">
        <is>
          <t>No</t>
        </is>
      </c>
      <c r="J203" s="14" t="inlineStr">
        <is>
          <t>Collana</t>
        </is>
      </c>
      <c r="K203" s="14" t="inlineStr">
        <is>
          <t>3-6 anni</t>
        </is>
      </c>
      <c r="L203" s="14" t="inlineStr">
        <is>
          <t>Catalogo Terre di Mezzo 1° semestre 2026, p. 36 (ISBN 9788861895140)</t>
        </is>
      </c>
      <c r="M203" s="16" t="n">
        <v>12.9</v>
      </c>
      <c r="N203" s="14" t="inlineStr">
        <is>
          <t>Catalogo Terre di Mezzo 1° semestre 2026</t>
        </is>
      </c>
      <c r="O203" s="16">
        <f>IF(ISNUMBER(M203),ROUND(M203*(1-Condizioni!$B$2),2),"")</f>
        <v/>
      </c>
      <c r="P203" s="17" t="inlineStr">
        <is>
          <t>No</t>
        </is>
      </c>
    </row>
    <row r="204">
      <c r="A204" s="14" t="inlineStr">
        <is>
          <t>Terre di Mezzo</t>
        </is>
      </c>
      <c r="B204" s="14" t="inlineStr">
        <is>
          <t>Una vacanza da unicorni</t>
        </is>
      </c>
      <c r="C204" s="14" t="inlineStr">
        <is>
          <t>Gilles Bachelet</t>
        </is>
      </c>
      <c r="D204" s="14" t="inlineStr">
        <is>
          <t>L'Acchiappastorie – Albi illustrati</t>
        </is>
      </c>
      <c r="E204" s="14" t="inlineStr">
        <is>
          <t>albi illustrati (età indicativa)</t>
        </is>
      </c>
      <c r="F204" s="14" t="inlineStr">
        <is>
          <t>3-6 anni</t>
        </is>
      </c>
      <c r="G204" s="14" t="inlineStr">
        <is>
          <t>Albo illustrato</t>
        </is>
      </c>
      <c r="H204" s="14" t="inlineStr"/>
      <c r="I204" s="14" t="inlineStr">
        <is>
          <t>No</t>
        </is>
      </c>
      <c r="J204" s="14" t="inlineStr">
        <is>
          <t>Collana</t>
        </is>
      </c>
      <c r="K204" s="14" t="inlineStr">
        <is>
          <t>3-6 anni</t>
        </is>
      </c>
      <c r="L204" s="14" t="inlineStr">
        <is>
          <t>Catalogo Terre di Mezzo 1° semestre 2026, p. 30 (ISBN 9788861897434)</t>
        </is>
      </c>
      <c r="M204" s="16" t="n">
        <v>16</v>
      </c>
      <c r="N204" s="14" t="inlineStr">
        <is>
          <t>Catalogo Terre di Mezzo 1° semestre 2026</t>
        </is>
      </c>
      <c r="O204" s="16">
        <f>IF(ISNUMBER(M204),ROUND(M204*(1-Condizioni!$B$2),2),"")</f>
        <v/>
      </c>
      <c r="P204" s="17" t="inlineStr">
        <is>
          <t>No</t>
        </is>
      </c>
    </row>
    <row r="205">
      <c r="A205" s="14" t="inlineStr">
        <is>
          <t>Terre di Mezzo</t>
        </is>
      </c>
      <c r="B205" s="14" t="inlineStr">
        <is>
          <t>Vita da ape</t>
        </is>
      </c>
      <c r="C205" s="14" t="inlineStr">
        <is>
          <t>Kirsten Hall, Isabelle Arsenault</t>
        </is>
      </c>
      <c r="D205" s="14" t="inlineStr">
        <is>
          <t>L'Acchiappastorie – Albi illustrati</t>
        </is>
      </c>
      <c r="E205" s="14" t="inlineStr">
        <is>
          <t>albi illustrati (età indicativa)</t>
        </is>
      </c>
      <c r="F205" s="14" t="inlineStr">
        <is>
          <t>3-6 anni</t>
        </is>
      </c>
      <c r="G205" s="14" t="inlineStr">
        <is>
          <t>Albo illustrato</t>
        </is>
      </c>
      <c r="H205" s="14" t="inlineStr"/>
      <c r="I205" s="14" t="inlineStr">
        <is>
          <t>No</t>
        </is>
      </c>
      <c r="J205" s="14" t="inlineStr">
        <is>
          <t>Collana</t>
        </is>
      </c>
      <c r="K205" s="14" t="inlineStr">
        <is>
          <t>3-6 anni</t>
        </is>
      </c>
      <c r="L205" s="14" t="inlineStr">
        <is>
          <t>Catalogo Terre di Mezzo 1° semestre 2026, p. 17 (ISBN 9788861895072)</t>
        </is>
      </c>
      <c r="M205" s="16" t="n">
        <v>16</v>
      </c>
      <c r="N205" s="14" t="inlineStr">
        <is>
          <t>Catalogo Terre di Mezzo 1° semestre 2026</t>
        </is>
      </c>
      <c r="O205" s="16">
        <f>IF(ISNUMBER(M205),ROUND(M205*(1-Condizioni!$B$2),2),"")</f>
        <v/>
      </c>
      <c r="P205" s="17" t="inlineStr">
        <is>
          <t>No</t>
        </is>
      </c>
    </row>
    <row r="206">
      <c r="A206" s="14" t="inlineStr">
        <is>
          <t>Terre di Mezzo</t>
        </is>
      </c>
      <c r="B206" s="14" t="inlineStr">
        <is>
          <t>Vita da farfalla</t>
        </is>
      </c>
      <c r="C206" s="14" t="inlineStr">
        <is>
          <t>Kirsten Hall, Isabelle Arsenault</t>
        </is>
      </c>
      <c r="D206" s="14" t="inlineStr">
        <is>
          <t>L'Acchiappastorie – Albi illustrati</t>
        </is>
      </c>
      <c r="E206" s="14" t="inlineStr">
        <is>
          <t>albi illustrati (età indicativa)</t>
        </is>
      </c>
      <c r="F206" s="14" t="inlineStr">
        <is>
          <t>3-6 anni</t>
        </is>
      </c>
      <c r="G206" s="14" t="inlineStr">
        <is>
          <t>Albo illustrato</t>
        </is>
      </c>
      <c r="H206" s="14" t="inlineStr"/>
      <c r="I206" s="14" t="inlineStr">
        <is>
          <t>No</t>
        </is>
      </c>
      <c r="J206" s="14" t="inlineStr">
        <is>
          <t>Collana</t>
        </is>
      </c>
      <c r="K206" s="14" t="inlineStr">
        <is>
          <t>3-6 anni</t>
        </is>
      </c>
      <c r="L206" s="14" t="inlineStr">
        <is>
          <t>Catalogo Terre di Mezzo 1° semestre 2026, p. 17 (ISBN 9791259963239)</t>
        </is>
      </c>
      <c r="M206" s="16" t="n">
        <v>16</v>
      </c>
      <c r="N206" s="14" t="inlineStr">
        <is>
          <t>Catalogo Terre di Mezzo 1° semestre 2026</t>
        </is>
      </c>
      <c r="O206" s="16">
        <f>IF(ISNUMBER(M206),ROUND(M206*(1-Condizioni!$B$2),2),"")</f>
        <v/>
      </c>
      <c r="P206" s="17" t="inlineStr">
        <is>
          <t>No</t>
        </is>
      </c>
    </row>
    <row r="207">
      <c r="A207" s="14" t="inlineStr">
        <is>
          <t>Terre di Mezzo</t>
        </is>
      </c>
      <c r="B207" s="14" t="inlineStr">
        <is>
          <t>(Per davvero)</t>
        </is>
      </c>
      <c r="C207" s="14" t="inlineStr">
        <is>
          <t>DORY FANTASMAGORICA TROVA UN’AMICA</t>
        </is>
      </c>
      <c r="D207" s="14" t="inlineStr">
        <is>
          <t>L'Acchiappastorie – Primi lettori</t>
        </is>
      </c>
      <c r="E207" s="14" t="inlineStr">
        <is>
          <t>primi lettori</t>
        </is>
      </c>
      <c r="F207" s="14" t="inlineStr">
        <is>
          <t>Prime letture (6-8)</t>
        </is>
      </c>
      <c r="G207" s="14" t="inlineStr">
        <is>
          <t>Narrativa</t>
        </is>
      </c>
      <c r="H207" s="14" t="inlineStr"/>
      <c r="I207" s="14" t="inlineStr">
        <is>
          <t>No</t>
        </is>
      </c>
      <c r="J207" s="14" t="inlineStr">
        <is>
          <t>Collana</t>
        </is>
      </c>
      <c r="K207" s="14" t="inlineStr">
        <is>
          <t>prime letture, narrativa</t>
        </is>
      </c>
      <c r="L207" s="14" t="inlineStr">
        <is>
          <t>Catalogo Terre di Mezzo 1° semestre 2026, p. 53 (ISBN 9788861894013)</t>
        </is>
      </c>
      <c r="M207" s="16" t="n">
        <v>13.5</v>
      </c>
      <c r="N207" s="14" t="inlineStr">
        <is>
          <t>Catalogo Terre di Mezzo 1° semestre 2026</t>
        </is>
      </c>
      <c r="O207" s="16">
        <f>IF(ISNUMBER(M207),ROUND(M207*(1-Condizioni!$B$2),2),"")</f>
        <v/>
      </c>
      <c r="P207" s="17" t="inlineStr">
        <is>
          <t>No</t>
        </is>
      </c>
    </row>
    <row r="208">
      <c r="A208" s="14" t="inlineStr">
        <is>
          <t>Terre di Mezzo</t>
        </is>
      </c>
      <c r="B208" s="14" t="inlineStr">
        <is>
          <t>Adelina Testafina e la chiave misteriosa</t>
        </is>
      </c>
      <c r="C208" s="14" t="inlineStr">
        <is>
          <t>Cristina Marsi, Francesca Carabelli</t>
        </is>
      </c>
      <c r="D208" s="14" t="inlineStr">
        <is>
          <t>L'Acchiappastorie – Primi lettori</t>
        </is>
      </c>
      <c r="E208" s="14" t="inlineStr">
        <is>
          <t>primi lettori</t>
        </is>
      </c>
      <c r="F208" s="14" t="inlineStr">
        <is>
          <t>Prime letture (6-8)</t>
        </is>
      </c>
      <c r="G208" s="14" t="inlineStr">
        <is>
          <t>Narrativa</t>
        </is>
      </c>
      <c r="H208" s="14" t="inlineStr"/>
      <c r="I208" s="14" t="inlineStr">
        <is>
          <t>No</t>
        </is>
      </c>
      <c r="J208" s="14" t="inlineStr">
        <is>
          <t>Collana</t>
        </is>
      </c>
      <c r="K208" s="14" t="inlineStr">
        <is>
          <t>prime letture, narrativa</t>
        </is>
      </c>
      <c r="L208" s="14" t="inlineStr">
        <is>
          <t>Catalogo Terre di Mezzo 1° semestre 2026, p. 50 (ISBN 9791259962720)</t>
        </is>
      </c>
      <c r="M208" s="16" t="n">
        <v>12</v>
      </c>
      <c r="N208" s="14" t="inlineStr">
        <is>
          <t>Catalogo Terre di Mezzo 1° semestre 2026</t>
        </is>
      </c>
      <c r="O208" s="16">
        <f>IF(ISNUMBER(M208),ROUND(M208*(1-Condizioni!$B$2),2),"")</f>
        <v/>
      </c>
      <c r="P208" s="17" t="inlineStr">
        <is>
          <t>No</t>
        </is>
      </c>
    </row>
    <row r="209">
      <c r="A209" s="14" t="inlineStr">
        <is>
          <t>Terre di Mezzo</t>
        </is>
      </c>
      <c r="B209" s="14" t="inlineStr">
        <is>
          <t>Adelina testafina e i fantasmi di primavera</t>
        </is>
      </c>
      <c r="C209" s="14" t="inlineStr">
        <is>
          <t>Cristina Marsi, Francesca Carabelli</t>
        </is>
      </c>
      <c r="D209" s="14" t="inlineStr">
        <is>
          <t>L'Acchiappastorie – Primi lettori</t>
        </is>
      </c>
      <c r="E209" s="14" t="inlineStr">
        <is>
          <t>primi lettori</t>
        </is>
      </c>
      <c r="F209" s="14" t="inlineStr">
        <is>
          <t>Prime letture (6-8)</t>
        </is>
      </c>
      <c r="G209" s="14" t="inlineStr">
        <is>
          <t>Narrativa</t>
        </is>
      </c>
      <c r="H209" s="14" t="inlineStr"/>
      <c r="I209" s="14" t="inlineStr">
        <is>
          <t>No</t>
        </is>
      </c>
      <c r="J209" s="14" t="inlineStr">
        <is>
          <t>Collana</t>
        </is>
      </c>
      <c r="K209" s="14" t="inlineStr">
        <is>
          <t>prime letture, narrativa</t>
        </is>
      </c>
      <c r="L209" s="14" t="inlineStr">
        <is>
          <t>Catalogo Terre di Mezzo 1° semestre 2026, p. 50 (ISBN 9791259961099)</t>
        </is>
      </c>
      <c r="M209" s="16" t="n">
        <v>12</v>
      </c>
      <c r="N209" s="14" t="inlineStr">
        <is>
          <t>Catalogo Terre di Mezzo 1° semestre 2026</t>
        </is>
      </c>
      <c r="O209" s="16">
        <f>IF(ISNUMBER(M209),ROUND(M209*(1-Condizioni!$B$2),2),"")</f>
        <v/>
      </c>
      <c r="P209" s="17" t="inlineStr">
        <is>
          <t>No</t>
        </is>
      </c>
    </row>
    <row r="210">
      <c r="A210" s="14" t="inlineStr">
        <is>
          <t>Terre di Mezzo</t>
        </is>
      </c>
      <c r="B210" s="14" t="inlineStr">
        <is>
          <t>Adelina testafina e la lettera d’amore sbagliata</t>
        </is>
      </c>
      <c r="C210" s="14" t="inlineStr">
        <is>
          <t>Cristina Marsi, Francesca Carabelli</t>
        </is>
      </c>
      <c r="D210" s="14" t="inlineStr">
        <is>
          <t>L'Acchiappastorie – Primi lettori</t>
        </is>
      </c>
      <c r="E210" s="14" t="inlineStr">
        <is>
          <t>primi lettori</t>
        </is>
      </c>
      <c r="F210" s="14" t="inlineStr">
        <is>
          <t>Prime letture (6-8)</t>
        </is>
      </c>
      <c r="G210" s="14" t="inlineStr">
        <is>
          <t>Narrativa</t>
        </is>
      </c>
      <c r="H210" s="14" t="inlineStr"/>
      <c r="I210" s="14" t="inlineStr">
        <is>
          <t>No</t>
        </is>
      </c>
      <c r="J210" s="14" t="inlineStr">
        <is>
          <t>Collana</t>
        </is>
      </c>
      <c r="K210" s="14" t="inlineStr">
        <is>
          <t>prime letture, narrativa</t>
        </is>
      </c>
      <c r="L210" s="14" t="inlineStr">
        <is>
          <t>Catalogo Terre di Mezzo 1° semestre 2026, p. 50 (ISBN 9788861897694)</t>
        </is>
      </c>
      <c r="M210" s="16" t="n">
        <v>12</v>
      </c>
      <c r="N210" s="14" t="inlineStr">
        <is>
          <t>Catalogo Terre di Mezzo 1° semestre 2026</t>
        </is>
      </c>
      <c r="O210" s="16">
        <f>IF(ISNUMBER(M210),ROUND(M210*(1-Condizioni!$B$2),2),"")</f>
        <v/>
      </c>
      <c r="P210" s="17" t="inlineStr">
        <is>
          <t>No</t>
        </is>
      </c>
    </row>
    <row r="211">
      <c r="A211" s="14" t="inlineStr">
        <is>
          <t>Terre di Mezzo</t>
        </is>
      </c>
      <c r="B211" s="14" t="inlineStr">
        <is>
          <t>Anche ebook</t>
        </is>
      </c>
      <c r="C211" s="14" t="inlineStr">
        <is>
          <t>PUZZONE</t>
        </is>
      </c>
      <c r="D211" s="14" t="inlineStr">
        <is>
          <t>L'Acchiappastorie – Primi lettori</t>
        </is>
      </c>
      <c r="E211" s="14" t="inlineStr">
        <is>
          <t>primi lettori</t>
        </is>
      </c>
      <c r="F211" s="14" t="inlineStr">
        <is>
          <t>Prime letture (6-8)</t>
        </is>
      </c>
      <c r="G211" s="14" t="inlineStr">
        <is>
          <t>Narrativa</t>
        </is>
      </c>
      <c r="H211" s="14" t="inlineStr"/>
      <c r="I211" s="14" t="inlineStr">
        <is>
          <t>No</t>
        </is>
      </c>
      <c r="J211" s="14" t="inlineStr">
        <is>
          <t>Collana</t>
        </is>
      </c>
      <c r="K211" s="14" t="inlineStr">
        <is>
          <t>prime letture, narrativa</t>
        </is>
      </c>
      <c r="L211" s="14" t="inlineStr">
        <is>
          <t>Catalogo Terre di Mezzo 1° semestre 2026, p. 57 (ISBN 9788861894907)</t>
        </is>
      </c>
      <c r="M211" s="16" t="n">
        <v>16.9</v>
      </c>
      <c r="N211" s="14" t="inlineStr">
        <is>
          <t>Catalogo Terre di Mezzo 1° semestre 2026</t>
        </is>
      </c>
      <c r="O211" s="16">
        <f>IF(ISNUMBER(M211),ROUND(M211*(1-Condizioni!$B$2),2),"")</f>
        <v/>
      </c>
      <c r="P211" s="17" t="inlineStr">
        <is>
          <t>No</t>
        </is>
      </c>
    </row>
    <row r="212">
      <c r="A212" s="14" t="inlineStr">
        <is>
          <t>Terre di Mezzo</t>
        </is>
      </c>
      <c r="B212" s="14" t="inlineStr">
        <is>
          <t>Anche ebook</t>
        </is>
      </c>
      <c r="C212" s="14" t="inlineStr">
        <is>
          <t>ANCHE EBOOK</t>
        </is>
      </c>
      <c r="D212" s="14" t="inlineStr">
        <is>
          <t>L'Acchiappastorie – Primi lettori</t>
        </is>
      </c>
      <c r="E212" s="14" t="inlineStr">
        <is>
          <t>primi lettori</t>
        </is>
      </c>
      <c r="F212" s="14" t="inlineStr">
        <is>
          <t>Prime letture (6-8)</t>
        </is>
      </c>
      <c r="G212" s="14" t="inlineStr">
        <is>
          <t>Narrativa</t>
        </is>
      </c>
      <c r="H212" s="14" t="inlineStr"/>
      <c r="I212" s="14" t="inlineStr">
        <is>
          <t>No</t>
        </is>
      </c>
      <c r="J212" s="14" t="inlineStr">
        <is>
          <t>Collana</t>
        </is>
      </c>
      <c r="K212" s="14" t="inlineStr">
        <is>
          <t>prime letture, narrativa</t>
        </is>
      </c>
      <c r="L212" s="14" t="inlineStr">
        <is>
          <t>Catalogo Terre di Mezzo 1° semestre 2026, p. 58 (ISBN 9788861896239)</t>
        </is>
      </c>
      <c r="M212" s="16" t="n">
        <v>16.9</v>
      </c>
      <c r="N212" s="14" t="inlineStr">
        <is>
          <t>Catalogo Terre di Mezzo 1° semestre 2026</t>
        </is>
      </c>
      <c r="O212" s="16">
        <f>IF(ISNUMBER(M212),ROUND(M212*(1-Condizioni!$B$2),2),"")</f>
        <v/>
      </c>
      <c r="P212" s="17" t="inlineStr">
        <is>
          <t>No</t>
        </is>
      </c>
    </row>
    <row r="213">
      <c r="A213" s="14" t="inlineStr">
        <is>
          <t>Terre di Mezzo</t>
        </is>
      </c>
      <c r="B213" s="14" t="inlineStr">
        <is>
          <t>Anche ebook</t>
        </is>
      </c>
      <c r="C213" s="14" t="inlineStr">
        <is>
          <t>ANCHE EBOOK</t>
        </is>
      </c>
      <c r="D213" s="14" t="inlineStr">
        <is>
          <t>L'Acchiappastorie – Primi lettori</t>
        </is>
      </c>
      <c r="E213" s="14" t="inlineStr">
        <is>
          <t>primi lettori</t>
        </is>
      </c>
      <c r="F213" s="14" t="inlineStr">
        <is>
          <t>Prime letture (6-8)</t>
        </is>
      </c>
      <c r="G213" s="14" t="inlineStr">
        <is>
          <t>Narrativa</t>
        </is>
      </c>
      <c r="H213" s="14" t="inlineStr"/>
      <c r="I213" s="14" t="inlineStr">
        <is>
          <t>No</t>
        </is>
      </c>
      <c r="J213" s="14" t="inlineStr">
        <is>
          <t>Collana</t>
        </is>
      </c>
      <c r="K213" s="14" t="inlineStr">
        <is>
          <t>prime letture, narrativa</t>
        </is>
      </c>
      <c r="L213" s="14" t="inlineStr">
        <is>
          <t>Catalogo Terre di Mezzo 1° semestre 2026, p. 58 (ISBN 9788861896512)</t>
        </is>
      </c>
      <c r="M213" s="16" t="n">
        <v>16.9</v>
      </c>
      <c r="N213" s="14" t="inlineStr">
        <is>
          <t>Catalogo Terre di Mezzo 1° semestre 2026</t>
        </is>
      </c>
      <c r="O213" s="16">
        <f>IF(ISNUMBER(M213),ROUND(M213*(1-Condizioni!$B$2),2),"")</f>
        <v/>
      </c>
      <c r="P213" s="17" t="inlineStr">
        <is>
          <t>No</t>
        </is>
      </c>
    </row>
    <row r="214">
      <c r="A214" s="14" t="inlineStr">
        <is>
          <t>Terre di Mezzo</t>
        </is>
      </c>
      <c r="B214" s="14" t="inlineStr">
        <is>
          <t>Anche ebook</t>
        </is>
      </c>
      <c r="C214" s="14" t="inlineStr">
        <is>
          <t>ANCHE EBOOK</t>
        </is>
      </c>
      <c r="D214" s="14" t="inlineStr">
        <is>
          <t>L'Acchiappastorie – Primi lettori</t>
        </is>
      </c>
      <c r="E214" s="14" t="inlineStr">
        <is>
          <t>primi lettori</t>
        </is>
      </c>
      <c r="F214" s="14" t="inlineStr">
        <is>
          <t>Prime letture (6-8)</t>
        </is>
      </c>
      <c r="G214" s="14" t="inlineStr">
        <is>
          <t>Narrativa</t>
        </is>
      </c>
      <c r="H214" s="14" t="inlineStr"/>
      <c r="I214" s="14" t="inlineStr">
        <is>
          <t>No</t>
        </is>
      </c>
      <c r="J214" s="14" t="inlineStr">
        <is>
          <t>Collana</t>
        </is>
      </c>
      <c r="K214" s="14" t="inlineStr">
        <is>
          <t>prime letture, narrativa</t>
        </is>
      </c>
      <c r="L214" s="14" t="inlineStr">
        <is>
          <t>Catalogo Terre di Mezzo 1° semestre 2026, p. 58 (ISBN 9788861897212)</t>
        </is>
      </c>
      <c r="M214" s="16" t="n">
        <v>16.9</v>
      </c>
      <c r="N214" s="14" t="inlineStr">
        <is>
          <t>Catalogo Terre di Mezzo 1° semestre 2026</t>
        </is>
      </c>
      <c r="O214" s="16">
        <f>IF(ISNUMBER(M214),ROUND(M214*(1-Condizioni!$B$2),2),"")</f>
        <v/>
      </c>
      <c r="P214" s="17" t="inlineStr">
        <is>
          <t>No</t>
        </is>
      </c>
    </row>
    <row r="215">
      <c r="A215" s="14" t="inlineStr">
        <is>
          <t>Terre di Mezzo</t>
        </is>
      </c>
      <c r="B215" s="14" t="inlineStr">
        <is>
          <t>Anche ebook</t>
        </is>
      </c>
      <c r="C215" s="14" t="inlineStr">
        <is>
          <t>ANCHE EBOOK</t>
        </is>
      </c>
      <c r="D215" s="14" t="inlineStr">
        <is>
          <t>L'Acchiappastorie – Primi lettori</t>
        </is>
      </c>
      <c r="E215" s="14" t="inlineStr">
        <is>
          <t>primi lettori</t>
        </is>
      </c>
      <c r="F215" s="14" t="inlineStr">
        <is>
          <t>Prime letture (6-8)</t>
        </is>
      </c>
      <c r="G215" s="14" t="inlineStr">
        <is>
          <t>Narrativa</t>
        </is>
      </c>
      <c r="H215" s="14" t="inlineStr"/>
      <c r="I215" s="14" t="inlineStr">
        <is>
          <t>No</t>
        </is>
      </c>
      <c r="J215" s="14" t="inlineStr">
        <is>
          <t>Collana</t>
        </is>
      </c>
      <c r="K215" s="14" t="inlineStr">
        <is>
          <t>prime letture, narrativa</t>
        </is>
      </c>
      <c r="L215" s="14" t="inlineStr">
        <is>
          <t>Catalogo Terre di Mezzo 1° semestre 2026, p. 58 (ISBN 9788861897243)</t>
        </is>
      </c>
      <c r="M215" s="16" t="n">
        <v>16.9</v>
      </c>
      <c r="N215" s="14" t="inlineStr">
        <is>
          <t>Catalogo Terre di Mezzo 1° semestre 2026</t>
        </is>
      </c>
      <c r="O215" s="16">
        <f>IF(ISNUMBER(M215),ROUND(M215*(1-Condizioni!$B$2),2),"")</f>
        <v/>
      </c>
      <c r="P215" s="17" t="inlineStr">
        <is>
          <t>No</t>
        </is>
      </c>
    </row>
    <row r="216">
      <c r="A216" s="14" t="inlineStr">
        <is>
          <t>Terre di Mezzo</t>
        </is>
      </c>
      <c r="B216" s="14" t="inlineStr">
        <is>
          <t>Anche ebook</t>
        </is>
      </c>
      <c r="C216" s="14" t="inlineStr">
        <is>
          <t>GURU</t>
        </is>
      </c>
      <c r="D216" s="14" t="inlineStr">
        <is>
          <t>L'Acchiappastorie – Primi lettori</t>
        </is>
      </c>
      <c r="E216" s="14" t="inlineStr">
        <is>
          <t>primi lettori</t>
        </is>
      </c>
      <c r="F216" s="14" t="inlineStr">
        <is>
          <t>Prime letture (6-8)</t>
        </is>
      </c>
      <c r="G216" s="14" t="inlineStr">
        <is>
          <t>Narrativa</t>
        </is>
      </c>
      <c r="H216" s="14" t="inlineStr"/>
      <c r="I216" s="14" t="inlineStr">
        <is>
          <t>No</t>
        </is>
      </c>
      <c r="J216" s="14" t="inlineStr">
        <is>
          <t>Collana</t>
        </is>
      </c>
      <c r="K216" s="14" t="inlineStr">
        <is>
          <t>prime letture, narrativa</t>
        </is>
      </c>
      <c r="L216" s="14" t="inlineStr">
        <is>
          <t>Catalogo Terre di Mezzo 1° semestre 2026, p. 58 (ISBN 9791259961730)</t>
        </is>
      </c>
      <c r="M216" s="16" t="n">
        <v>16.9</v>
      </c>
      <c r="N216" s="14" t="inlineStr">
        <is>
          <t>Catalogo Terre di Mezzo 1° semestre 2026</t>
        </is>
      </c>
      <c r="O216" s="16">
        <f>IF(ISNUMBER(M216),ROUND(M216*(1-Condizioni!$B$2),2),"")</f>
        <v/>
      </c>
      <c r="P216" s="17" t="inlineStr">
        <is>
          <t>No</t>
        </is>
      </c>
    </row>
    <row r="217">
      <c r="A217" s="14" t="inlineStr">
        <is>
          <t>Terre di Mezzo</t>
        </is>
      </c>
      <c r="B217" s="14" t="inlineStr">
        <is>
          <t>Anche ebook</t>
        </is>
      </c>
      <c r="C217" s="14" t="inlineStr">
        <is>
          <t>GURU</t>
        </is>
      </c>
      <c r="D217" s="14" t="inlineStr">
        <is>
          <t>L'Acchiappastorie – Primi lettori</t>
        </is>
      </c>
      <c r="E217" s="14" t="inlineStr">
        <is>
          <t>primi lettori</t>
        </is>
      </c>
      <c r="F217" s="14" t="inlineStr">
        <is>
          <t>Prime letture (6-8)</t>
        </is>
      </c>
      <c r="G217" s="14" t="inlineStr">
        <is>
          <t>Narrativa</t>
        </is>
      </c>
      <c r="H217" s="14" t="inlineStr"/>
      <c r="I217" s="14" t="inlineStr">
        <is>
          <t>No</t>
        </is>
      </c>
      <c r="J217" s="14" t="inlineStr">
        <is>
          <t>Collana</t>
        </is>
      </c>
      <c r="K217" s="14" t="inlineStr">
        <is>
          <t>prime letture, narrativa</t>
        </is>
      </c>
      <c r="L217" s="14" t="inlineStr">
        <is>
          <t>Catalogo Terre di Mezzo 1° semestre 2026, p. 58 (ISBN 9788861897236)</t>
        </is>
      </c>
      <c r="M217" s="16" t="n">
        <v>16.9</v>
      </c>
      <c r="N217" s="14" t="inlineStr">
        <is>
          <t>Catalogo Terre di Mezzo 1° semestre 2026</t>
        </is>
      </c>
      <c r="O217" s="16">
        <f>IF(ISNUMBER(M217),ROUND(M217*(1-Condizioni!$B$2),2),"")</f>
        <v/>
      </c>
      <c r="P217" s="17" t="inlineStr">
        <is>
          <t>No</t>
        </is>
      </c>
    </row>
    <row r="218">
      <c r="A218" s="14" t="inlineStr">
        <is>
          <t>Terre di Mezzo</t>
        </is>
      </c>
      <c r="B218" s="14" t="inlineStr">
        <is>
          <t>Anche ebook</t>
        </is>
      </c>
      <c r="C218" s="14" t="inlineStr">
        <is>
          <t>GURU</t>
        </is>
      </c>
      <c r="D218" s="14" t="inlineStr">
        <is>
          <t>L'Acchiappastorie – Primi lettori</t>
        </is>
      </c>
      <c r="E218" s="14" t="inlineStr">
        <is>
          <t>primi lettori</t>
        </is>
      </c>
      <c r="F218" s="14" t="inlineStr">
        <is>
          <t>Prime letture (6-8)</t>
        </is>
      </c>
      <c r="G218" s="14" t="inlineStr">
        <is>
          <t>Narrativa</t>
        </is>
      </c>
      <c r="H218" s="14" t="inlineStr"/>
      <c r="I218" s="14" t="inlineStr">
        <is>
          <t>No</t>
        </is>
      </c>
      <c r="J218" s="14" t="inlineStr">
        <is>
          <t>Collana</t>
        </is>
      </c>
      <c r="K218" s="14" t="inlineStr">
        <is>
          <t>prime letture, narrativa</t>
        </is>
      </c>
      <c r="L218" s="14" t="inlineStr">
        <is>
          <t>Catalogo Terre di Mezzo 1° semestre 2026, p. 58 (ISBN 9791259961648)</t>
        </is>
      </c>
      <c r="M218" s="16" t="n">
        <v>16.9</v>
      </c>
      <c r="N218" s="14" t="inlineStr">
        <is>
          <t>Catalogo Terre di Mezzo 1° semestre 2026</t>
        </is>
      </c>
      <c r="O218" s="16">
        <f>IF(ISNUMBER(M218),ROUND(M218*(1-Condizioni!$B$2),2),"")</f>
        <v/>
      </c>
      <c r="P218" s="17" t="inlineStr">
        <is>
          <t>No</t>
        </is>
      </c>
    </row>
    <row r="219">
      <c r="A219" s="14" t="inlineStr">
        <is>
          <t>Terre di Mezzo</t>
        </is>
      </c>
      <c r="B219" s="14" t="inlineStr">
        <is>
          <t>Anna e la banda del ghiacciolo sciolto</t>
        </is>
      </c>
      <c r="C219" s="14" t="inlineStr">
        <is>
          <t>Rossella Sobrero, Silvio Boselli</t>
        </is>
      </c>
      <c r="D219" s="14" t="inlineStr">
        <is>
          <t>L'Acchiappastorie – Primi lettori</t>
        </is>
      </c>
      <c r="E219" s="14" t="inlineStr">
        <is>
          <t>primi lettori</t>
        </is>
      </c>
      <c r="F219" s="14" t="inlineStr">
        <is>
          <t>Prime letture (6-8)</t>
        </is>
      </c>
      <c r="G219" s="14" t="inlineStr">
        <is>
          <t>Narrativa</t>
        </is>
      </c>
      <c r="H219" s="14" t="inlineStr"/>
      <c r="I219" s="14" t="inlineStr">
        <is>
          <t>No</t>
        </is>
      </c>
      <c r="J219" s="14" t="inlineStr">
        <is>
          <t>Collana</t>
        </is>
      </c>
      <c r="K219" s="14" t="inlineStr">
        <is>
          <t>prime letture, narrativa</t>
        </is>
      </c>
      <c r="L219" s="14" t="inlineStr">
        <is>
          <t>Catalogo Terre di Mezzo 1° semestre 2026, p. 51 (ISBN 9791259963253)</t>
        </is>
      </c>
      <c r="M219" s="16" t="n">
        <v>12.9</v>
      </c>
      <c r="N219" s="14" t="inlineStr">
        <is>
          <t>Catalogo Terre di Mezzo 1° semestre 2026</t>
        </is>
      </c>
      <c r="O219" s="16">
        <f>IF(ISNUMBER(M219),ROUND(M219*(1-Condizioni!$B$2),2),"")</f>
        <v/>
      </c>
      <c r="P219" s="17" t="inlineStr">
        <is>
          <t>Sì</t>
        </is>
      </c>
    </row>
    <row r="220">
      <c r="A220" s="14" t="inlineStr">
        <is>
          <t>Terre di Mezzo</t>
        </is>
      </c>
      <c r="B220" s="14" t="inlineStr">
        <is>
          <t>Beatrice Sottosopra</t>
        </is>
      </c>
      <c r="C220" s="14" t="inlineStr">
        <is>
          <t>Shelley Johannes</t>
        </is>
      </c>
      <c r="D220" s="14" t="inlineStr">
        <is>
          <t>L'Acchiappastorie – Primi lettori</t>
        </is>
      </c>
      <c r="E220" s="14" t="inlineStr">
        <is>
          <t>primi lettori</t>
        </is>
      </c>
      <c r="F220" s="14" t="inlineStr">
        <is>
          <t>Prime letture (6-8)</t>
        </is>
      </c>
      <c r="G220" s="14" t="inlineStr">
        <is>
          <t>Narrativa</t>
        </is>
      </c>
      <c r="H220" s="14" t="inlineStr"/>
      <c r="I220" s="14" t="inlineStr">
        <is>
          <t>No</t>
        </is>
      </c>
      <c r="J220" s="14" t="inlineStr">
        <is>
          <t>Collana</t>
        </is>
      </c>
      <c r="K220" s="14" t="inlineStr">
        <is>
          <t>prime letture, narrativa</t>
        </is>
      </c>
      <c r="L220" s="14" t="inlineStr">
        <is>
          <t>Catalogo Terre di Mezzo 1° semestre 2026, p. 55 (ISBN 9788861895805)</t>
        </is>
      </c>
      <c r="M220" s="16" t="n">
        <v>12.9</v>
      </c>
      <c r="N220" s="14" t="inlineStr">
        <is>
          <t>Catalogo Terre di Mezzo 1° semestre 2026</t>
        </is>
      </c>
      <c r="O220" s="16">
        <f>IF(ISNUMBER(M220),ROUND(M220*(1-Condizioni!$B$2),2),"")</f>
        <v/>
      </c>
      <c r="P220" s="17" t="inlineStr">
        <is>
          <t>Sì</t>
        </is>
      </c>
    </row>
    <row r="221">
      <c r="A221" s="14" t="inlineStr">
        <is>
          <t>Terre di Mezzo</t>
        </is>
      </c>
      <c r="B221" s="14" t="inlineStr">
        <is>
          <t>Beatrice sottosopra. il sabotatore di amicizie</t>
        </is>
      </c>
      <c r="C221" s="14" t="inlineStr">
        <is>
          <t>Shelley Johannes</t>
        </is>
      </c>
      <c r="D221" s="14" t="inlineStr">
        <is>
          <t>L'Acchiappastorie – Primi lettori</t>
        </is>
      </c>
      <c r="E221" s="14" t="inlineStr">
        <is>
          <t>primi lettori</t>
        </is>
      </c>
      <c r="F221" s="14" t="inlineStr">
        <is>
          <t>Prime letture (6-8)</t>
        </is>
      </c>
      <c r="G221" s="14" t="inlineStr">
        <is>
          <t>Narrativa</t>
        </is>
      </c>
      <c r="H221" s="14" t="inlineStr"/>
      <c r="I221" s="14" t="inlineStr">
        <is>
          <t>No</t>
        </is>
      </c>
      <c r="J221" s="14" t="inlineStr">
        <is>
          <t>Collana</t>
        </is>
      </c>
      <c r="K221" s="14" t="inlineStr">
        <is>
          <t>prime letture, narrativa</t>
        </is>
      </c>
      <c r="L221" s="14" t="inlineStr">
        <is>
          <t>Catalogo Terre di Mezzo 1° semestre 2026, p. 55 (ISBN 9788861896796)</t>
        </is>
      </c>
      <c r="M221" s="16" t="n">
        <v>12.9</v>
      </c>
      <c r="N221" s="14" t="inlineStr">
        <is>
          <t>Catalogo Terre di Mezzo 1° semestre 2026</t>
        </is>
      </c>
      <c r="O221" s="16">
        <f>IF(ISNUMBER(M221),ROUND(M221*(1-Condizioni!$B$2),2),"")</f>
        <v/>
      </c>
      <c r="P221" s="17" t="inlineStr">
        <is>
          <t>No</t>
        </is>
      </c>
    </row>
    <row r="222">
      <c r="A222" s="14" t="inlineStr">
        <is>
          <t>Terre di Mezzo</t>
        </is>
      </c>
      <c r="B222" s="14" t="inlineStr">
        <is>
          <t>Beatrice sottosopra. missione top secret</t>
        </is>
      </c>
      <c r="C222" s="14" t="inlineStr">
        <is>
          <t>Shelley Johannes</t>
        </is>
      </c>
      <c r="D222" s="14" t="inlineStr">
        <is>
          <t>L'Acchiappastorie – Primi lettori</t>
        </is>
      </c>
      <c r="E222" s="14" t="inlineStr">
        <is>
          <t>primi lettori</t>
        </is>
      </c>
      <c r="F222" s="14" t="inlineStr">
        <is>
          <t>Prime letture (6-8)</t>
        </is>
      </c>
      <c r="G222" s="14" t="inlineStr">
        <is>
          <t>Narrativa</t>
        </is>
      </c>
      <c r="H222" s="14" t="inlineStr"/>
      <c r="I222" s="14" t="inlineStr">
        <is>
          <t>No</t>
        </is>
      </c>
      <c r="J222" s="14" t="inlineStr">
        <is>
          <t>Collana</t>
        </is>
      </c>
      <c r="K222" s="14" t="inlineStr">
        <is>
          <t>prime letture, narrativa</t>
        </is>
      </c>
      <c r="L222" s="14" t="inlineStr">
        <is>
          <t>Catalogo Terre di Mezzo 1° semestre 2026, p. 55 (ISBN 9788861896185)</t>
        </is>
      </c>
      <c r="M222" s="16" t="n">
        <v>12.9</v>
      </c>
      <c r="N222" s="14" t="inlineStr">
        <is>
          <t>Catalogo Terre di Mezzo 1° semestre 2026</t>
        </is>
      </c>
      <c r="O222" s="16">
        <f>IF(ISNUMBER(M222),ROUND(M222*(1-Condizioni!$B$2),2),"")</f>
        <v/>
      </c>
      <c r="P222" s="17" t="inlineStr">
        <is>
          <t>No</t>
        </is>
      </c>
    </row>
    <row r="223">
      <c r="A223" s="14" t="inlineStr">
        <is>
          <t>Terre di Mezzo</t>
        </is>
      </c>
      <c r="B223" s="14" t="inlineStr">
        <is>
          <t>Bibi. una coccinella senza puntini</t>
        </is>
      </c>
      <c r="C223" s="14" t="inlineStr">
        <is>
          <t>Pascal Parisot, Marc Boutavant</t>
        </is>
      </c>
      <c r="D223" s="14" t="inlineStr">
        <is>
          <t>L'Acchiappastorie – Primi lettori</t>
        </is>
      </c>
      <c r="E223" s="14" t="inlineStr">
        <is>
          <t>primi lettori</t>
        </is>
      </c>
      <c r="F223" s="14" t="inlineStr">
        <is>
          <t>Prime letture (6-8)</t>
        </is>
      </c>
      <c r="G223" s="14" t="inlineStr">
        <is>
          <t>Narrativa</t>
        </is>
      </c>
      <c r="H223" s="14" t="inlineStr"/>
      <c r="I223" s="14" t="inlineStr">
        <is>
          <t>No</t>
        </is>
      </c>
      <c r="J223" s="14" t="inlineStr">
        <is>
          <t>Collana</t>
        </is>
      </c>
      <c r="K223" s="14" t="inlineStr">
        <is>
          <t>prime letture, narrativa</t>
        </is>
      </c>
      <c r="L223" s="14" t="inlineStr">
        <is>
          <t>Catalogo Terre di Mezzo 1° semestre 2026, p. 51 (ISBN 9791259962751)</t>
        </is>
      </c>
      <c r="M223" s="16" t="n">
        <v>12.9</v>
      </c>
      <c r="N223" s="14" t="inlineStr">
        <is>
          <t>Catalogo Terre di Mezzo 1° semestre 2026</t>
        </is>
      </c>
      <c r="O223" s="16">
        <f>IF(ISNUMBER(M223),ROUND(M223*(1-Condizioni!$B$2),2),"")</f>
        <v/>
      </c>
      <c r="P223" s="17" t="inlineStr">
        <is>
          <t>No</t>
        </is>
      </c>
    </row>
    <row r="224">
      <c r="A224" s="14" t="inlineStr">
        <is>
          <t>Terre di Mezzo</t>
        </is>
      </c>
      <c r="B224" s="14" t="inlineStr">
        <is>
          <t>Björn. a cosa serve un amico</t>
        </is>
      </c>
      <c r="C224" s="14" t="inlineStr">
        <is>
          <t>Delphine Perret</t>
        </is>
      </c>
      <c r="D224" s="14" t="inlineStr">
        <is>
          <t>L'Acchiappastorie – Primi lettori</t>
        </is>
      </c>
      <c r="E224" s="14" t="inlineStr">
        <is>
          <t>primi lettori</t>
        </is>
      </c>
      <c r="F224" s="14" t="inlineStr">
        <is>
          <t>Prime letture (6-8)</t>
        </is>
      </c>
      <c r="G224" s="14" t="inlineStr">
        <is>
          <t>Narrativa</t>
        </is>
      </c>
      <c r="H224" s="14" t="inlineStr"/>
      <c r="I224" s="14" t="inlineStr">
        <is>
          <t>No</t>
        </is>
      </c>
      <c r="J224" s="14" t="inlineStr">
        <is>
          <t>Collana</t>
        </is>
      </c>
      <c r="K224" s="14" t="inlineStr">
        <is>
          <t>prime letture, narrativa</t>
        </is>
      </c>
      <c r="L224" s="14" t="inlineStr">
        <is>
          <t>Catalogo Terre di Mezzo 1° semestre 2026, p. 56 (ISBN 9791259960252)</t>
        </is>
      </c>
      <c r="M224" s="16" t="n">
        <v>12</v>
      </c>
      <c r="N224" s="14" t="inlineStr">
        <is>
          <t>Catalogo Terre di Mezzo 1° semestre 2026</t>
        </is>
      </c>
      <c r="O224" s="16">
        <f>IF(ISNUMBER(M224),ROUND(M224*(1-Condizioni!$B$2),2),"")</f>
        <v/>
      </c>
      <c r="P224" s="17" t="inlineStr">
        <is>
          <t>No</t>
        </is>
      </c>
    </row>
    <row r="225">
      <c r="A225" s="14" t="inlineStr">
        <is>
          <t>Terre di Mezzo</t>
        </is>
      </c>
      <c r="B225" s="14" t="inlineStr">
        <is>
          <t>Björn. sei storie da orso</t>
        </is>
      </c>
      <c r="C225" s="14" t="inlineStr">
        <is>
          <t>Delphine Perret</t>
        </is>
      </c>
      <c r="D225" s="14" t="inlineStr">
        <is>
          <t>L'Acchiappastorie – Primi lettori</t>
        </is>
      </c>
      <c r="E225" s="14" t="inlineStr">
        <is>
          <t>primi lettori</t>
        </is>
      </c>
      <c r="F225" s="14" t="inlineStr">
        <is>
          <t>Prime letture (6-8)</t>
        </is>
      </c>
      <c r="G225" s="14" t="inlineStr">
        <is>
          <t>Narrativa</t>
        </is>
      </c>
      <c r="H225" s="14" t="inlineStr"/>
      <c r="I225" s="14" t="inlineStr">
        <is>
          <t>No</t>
        </is>
      </c>
      <c r="J225" s="14" t="inlineStr">
        <is>
          <t>Collana</t>
        </is>
      </c>
      <c r="K225" s="14" t="inlineStr">
        <is>
          <t>prime letture, narrativa</t>
        </is>
      </c>
      <c r="L225" s="14" t="inlineStr">
        <is>
          <t>Catalogo Terre di Mezzo 1° semestre 2026, p. 56 (ISBN 9788861894501)</t>
        </is>
      </c>
      <c r="M225" s="16" t="n">
        <v>12</v>
      </c>
      <c r="N225" s="14" t="inlineStr">
        <is>
          <t>Catalogo Terre di Mezzo 1° semestre 2026</t>
        </is>
      </c>
      <c r="O225" s="16">
        <f>IF(ISNUMBER(M225),ROUND(M225*(1-Condizioni!$B$2),2),"")</f>
        <v/>
      </c>
      <c r="P225" s="17" t="inlineStr">
        <is>
          <t>Sì</t>
        </is>
      </c>
    </row>
    <row r="226">
      <c r="A226" s="14" t="inlineStr">
        <is>
          <t>Terre di Mezzo</t>
        </is>
      </c>
      <c r="B226" s="14" t="inlineStr">
        <is>
          <t>Björn. una primavera di scoperte</t>
        </is>
      </c>
      <c r="C226" s="14" t="inlineStr">
        <is>
          <t>Delphine Perret</t>
        </is>
      </c>
      <c r="D226" s="14" t="inlineStr">
        <is>
          <t>L'Acchiappastorie – Primi lettori</t>
        </is>
      </c>
      <c r="E226" s="14" t="inlineStr">
        <is>
          <t>primi lettori</t>
        </is>
      </c>
      <c r="F226" s="14" t="inlineStr">
        <is>
          <t>Prime letture (6-8)</t>
        </is>
      </c>
      <c r="G226" s="14" t="inlineStr">
        <is>
          <t>Narrativa</t>
        </is>
      </c>
      <c r="H226" s="14" t="inlineStr"/>
      <c r="I226" s="14" t="inlineStr">
        <is>
          <t>No</t>
        </is>
      </c>
      <c r="J226" s="14" t="inlineStr">
        <is>
          <t>Collana</t>
        </is>
      </c>
      <c r="K226" s="14" t="inlineStr">
        <is>
          <t>prime letture, narrativa</t>
        </is>
      </c>
      <c r="L226" s="14" t="inlineStr">
        <is>
          <t>Catalogo Terre di Mezzo 1° semestre 2026, p. 56 (ISBN 9788861895317)</t>
        </is>
      </c>
      <c r="M226" s="16" t="n">
        <v>12</v>
      </c>
      <c r="N226" s="14" t="inlineStr">
        <is>
          <t>Catalogo Terre di Mezzo 1° semestre 2026</t>
        </is>
      </c>
      <c r="O226" s="16">
        <f>IF(ISNUMBER(M226),ROUND(M226*(1-Condizioni!$B$2),2),"")</f>
        <v/>
      </c>
      <c r="P226" s="17" t="inlineStr">
        <is>
          <t>No</t>
        </is>
      </c>
    </row>
    <row r="227">
      <c r="A227" s="14" t="inlineStr">
        <is>
          <t>Terre di Mezzo</t>
        </is>
      </c>
      <c r="B227" s="14" t="inlineStr">
        <is>
          <t>Bombolone gatto pigrone cerca famiglia</t>
        </is>
      </c>
      <c r="C227" s="14" t="inlineStr">
        <is>
          <t>Ronan Badel</t>
        </is>
      </c>
      <c r="D227" s="14" t="inlineStr">
        <is>
          <t>L'Acchiappastorie – Primi lettori</t>
        </is>
      </c>
      <c r="E227" s="14" t="inlineStr">
        <is>
          <t>primi lettori</t>
        </is>
      </c>
      <c r="F227" s="14" t="inlineStr">
        <is>
          <t>Prime letture (6-8)</t>
        </is>
      </c>
      <c r="G227" s="14" t="inlineStr">
        <is>
          <t>Narrativa</t>
        </is>
      </c>
      <c r="H227" s="14" t="inlineStr"/>
      <c r="I227" s="14" t="inlineStr">
        <is>
          <t>No</t>
        </is>
      </c>
      <c r="J227" s="14" t="inlineStr">
        <is>
          <t>Collana</t>
        </is>
      </c>
      <c r="K227" s="14" t="inlineStr">
        <is>
          <t>prime letture, narrativa</t>
        </is>
      </c>
      <c r="L227" s="14" t="inlineStr">
        <is>
          <t>Catalogo Terre di Mezzo 1° semestre 2026, p. 61 (ISBN 9791259960290)</t>
        </is>
      </c>
      <c r="M227" s="16" t="n">
        <v>12</v>
      </c>
      <c r="N227" s="14" t="inlineStr">
        <is>
          <t>Catalogo Terre di Mezzo 1° semestre 2026</t>
        </is>
      </c>
      <c r="O227" s="16">
        <f>IF(ISNUMBER(M227),ROUND(M227*(1-Condizioni!$B$2),2),"")</f>
        <v/>
      </c>
      <c r="P227" s="17" t="inlineStr">
        <is>
          <t>No</t>
        </is>
      </c>
    </row>
    <row r="228">
      <c r="A228" s="14" t="inlineStr">
        <is>
          <t>Terre di Mezzo</t>
        </is>
      </c>
      <c r="B228" s="14" t="inlineStr">
        <is>
          <t>Brutto anatroccolo a chi? Dieci fiabe sottosopra</t>
        </is>
      </c>
      <c r="C228" s="14" t="inlineStr">
        <is>
          <t>Giuditta Campello, Ilaria Mancini</t>
        </is>
      </c>
      <c r="D228" s="14" t="inlineStr">
        <is>
          <t>L'Acchiappastorie – Primi lettori</t>
        </is>
      </c>
      <c r="E228" s="14" t="inlineStr">
        <is>
          <t>primi lettori</t>
        </is>
      </c>
      <c r="F228" s="14" t="inlineStr">
        <is>
          <t>Prime letture (6-8)</t>
        </is>
      </c>
      <c r="G228" s="14" t="inlineStr">
        <is>
          <t>Narrativa</t>
        </is>
      </c>
      <c r="H228" s="14" t="inlineStr"/>
      <c r="I228" s="14" t="inlineStr">
        <is>
          <t>No</t>
        </is>
      </c>
      <c r="J228" s="14" t="inlineStr">
        <is>
          <t>Collana</t>
        </is>
      </c>
      <c r="K228" s="14" t="inlineStr">
        <is>
          <t>prime letture, narrativa</t>
        </is>
      </c>
      <c r="L228" s="14" t="inlineStr">
        <is>
          <t>Catalogo Terre di Mezzo 1° semestre 2026, p. 52 (ISBN 9791259963734)</t>
        </is>
      </c>
      <c r="M228" s="16" t="n">
        <v>14</v>
      </c>
      <c r="N228" s="14" t="inlineStr">
        <is>
          <t>Catalogo Terre di Mezzo 1° semestre 2026</t>
        </is>
      </c>
      <c r="O228" s="16">
        <f>IF(ISNUMBER(M228),ROUND(M228*(1-Condizioni!$B$2),2),"")</f>
        <v/>
      </c>
      <c r="P228" s="17" t="inlineStr">
        <is>
          <t>No</t>
        </is>
      </c>
    </row>
    <row r="229">
      <c r="A229" s="14" t="inlineStr">
        <is>
          <t>Terre di Mezzo</t>
        </is>
      </c>
      <c r="B229" s="14" t="inlineStr">
        <is>
          <t>Cookie credi ai tuoi sogni</t>
        </is>
      </c>
      <c r="C229" s="14" t="inlineStr">
        <is>
          <t>Martine Laffon, Louise Mézel</t>
        </is>
      </c>
      <c r="D229" s="14" t="inlineStr">
        <is>
          <t>L'Acchiappastorie – Primi lettori</t>
        </is>
      </c>
      <c r="E229" s="14" t="inlineStr">
        <is>
          <t>primi lettori</t>
        </is>
      </c>
      <c r="F229" s="14" t="inlineStr">
        <is>
          <t>Prime letture (6-8)</t>
        </is>
      </c>
      <c r="G229" s="14" t="inlineStr">
        <is>
          <t>Narrativa</t>
        </is>
      </c>
      <c r="H229" s="14" t="inlineStr"/>
      <c r="I229" s="14" t="inlineStr">
        <is>
          <t>No</t>
        </is>
      </c>
      <c r="J229" s="14" t="inlineStr">
        <is>
          <t>Collana</t>
        </is>
      </c>
      <c r="K229" s="14" t="inlineStr">
        <is>
          <t>prime letture, narrativa</t>
        </is>
      </c>
      <c r="L229" s="14" t="inlineStr">
        <is>
          <t>Catalogo Terre di Mezzo 1° semestre 2026, p. 61 (ISBN 9788861897830)</t>
        </is>
      </c>
      <c r="M229" s="16" t="n">
        <v>12</v>
      </c>
      <c r="N229" s="14" t="inlineStr">
        <is>
          <t>Catalogo Terre di Mezzo 1° semestre 2026</t>
        </is>
      </c>
      <c r="O229" s="16">
        <f>IF(ISNUMBER(M229),ROUND(M229*(1-Condizioni!$B$2),2),"")</f>
        <v/>
      </c>
      <c r="P229" s="17" t="inlineStr">
        <is>
          <t>No</t>
        </is>
      </c>
    </row>
    <row r="230">
      <c r="A230" s="14" t="inlineStr">
        <is>
          <t>Terre di Mezzo</t>
        </is>
      </c>
      <c r="B230" s="14" t="inlineStr">
        <is>
          <t>Dory fantasmagorica</t>
        </is>
      </c>
      <c r="C230" s="14" t="inlineStr">
        <is>
          <t>Abby Hanlon</t>
        </is>
      </c>
      <c r="D230" s="14" t="inlineStr">
        <is>
          <t>L'Acchiappastorie – Primi lettori</t>
        </is>
      </c>
      <c r="E230" s="14" t="inlineStr">
        <is>
          <t>primi lettori</t>
        </is>
      </c>
      <c r="F230" s="14" t="inlineStr">
        <is>
          <t>Prime letture (6-8)</t>
        </is>
      </c>
      <c r="G230" s="14" t="inlineStr">
        <is>
          <t>Narrativa</t>
        </is>
      </c>
      <c r="H230" s="14" t="inlineStr"/>
      <c r="I230" s="14" t="inlineStr">
        <is>
          <t>No</t>
        </is>
      </c>
      <c r="J230" s="14" t="inlineStr">
        <is>
          <t>Collana</t>
        </is>
      </c>
      <c r="K230" s="14" t="inlineStr">
        <is>
          <t>prime letture, narrativa</t>
        </is>
      </c>
      <c r="L230" s="14" t="inlineStr">
        <is>
          <t>Catalogo Terre di Mezzo 1° semestre 2026, p. 53 (ISBN 9788861893863)</t>
        </is>
      </c>
      <c r="M230" s="16" t="n">
        <v>13.5</v>
      </c>
      <c r="N230" s="14" t="inlineStr">
        <is>
          <t>Catalogo Terre di Mezzo 1° semestre 2026</t>
        </is>
      </c>
      <c r="O230" s="16">
        <f>IF(ISNUMBER(M230),ROUND(M230*(1-Condizioni!$B$2),2),"")</f>
        <v/>
      </c>
      <c r="P230" s="17" t="inlineStr">
        <is>
          <t>Sì</t>
        </is>
      </c>
    </row>
    <row r="231">
      <c r="A231" s="14" t="inlineStr">
        <is>
          <t>Terre di Mezzo</t>
        </is>
      </c>
      <c r="B231" s="14" t="inlineStr">
        <is>
          <t>Dory fantasmagorica. al centro dell’universo</t>
        </is>
      </c>
      <c r="C231" s="14" t="inlineStr">
        <is>
          <t>Abby Hanlon</t>
        </is>
      </c>
      <c r="D231" s="14" t="inlineStr">
        <is>
          <t>L'Acchiappastorie – Primi lettori</t>
        </is>
      </c>
      <c r="E231" s="14" t="inlineStr">
        <is>
          <t>primi lettori</t>
        </is>
      </c>
      <c r="F231" s="14" t="inlineStr">
        <is>
          <t>Prime letture (6-8)</t>
        </is>
      </c>
      <c r="G231" s="14" t="inlineStr">
        <is>
          <t>Narrativa</t>
        </is>
      </c>
      <c r="H231" s="14" t="inlineStr"/>
      <c r="I231" s="14" t="inlineStr">
        <is>
          <t>No</t>
        </is>
      </c>
      <c r="J231" s="14" t="inlineStr">
        <is>
          <t>Collana</t>
        </is>
      </c>
      <c r="K231" s="14" t="inlineStr">
        <is>
          <t>prime letture, narrativa</t>
        </is>
      </c>
      <c r="L231" s="14" t="inlineStr">
        <is>
          <t>Catalogo Terre di Mezzo 1° semestre 2026, p. 54 (ISBN 9791259963345)</t>
        </is>
      </c>
      <c r="M231" s="16" t="n">
        <v>13.5</v>
      </c>
      <c r="N231" s="14" t="inlineStr">
        <is>
          <t>Catalogo Terre di Mezzo 1° semestre 2026</t>
        </is>
      </c>
      <c r="O231" s="16">
        <f>IF(ISNUMBER(M231),ROUND(M231*(1-Condizioni!$B$2),2),"")</f>
        <v/>
      </c>
      <c r="P231" s="17" t="inlineStr">
        <is>
          <t>No</t>
        </is>
      </c>
    </row>
    <row r="232">
      <c r="A232" s="14" t="inlineStr">
        <is>
          <t>Terre di Mezzo</t>
        </is>
      </c>
      <c r="B232" s="14" t="inlineStr">
        <is>
          <t>Dory fantasmagorica. all’arrembaggio!</t>
        </is>
      </c>
      <c r="C232" s="14" t="inlineStr">
        <is>
          <t>Abby Hanlon</t>
        </is>
      </c>
      <c r="D232" s="14" t="inlineStr">
        <is>
          <t>L'Acchiappastorie – Primi lettori</t>
        </is>
      </c>
      <c r="E232" s="14" t="inlineStr">
        <is>
          <t>primi lettori</t>
        </is>
      </c>
      <c r="F232" s="14" t="inlineStr">
        <is>
          <t>Prime letture (6-8)</t>
        </is>
      </c>
      <c r="G232" s="14" t="inlineStr">
        <is>
          <t>Narrativa</t>
        </is>
      </c>
      <c r="H232" s="14" t="inlineStr"/>
      <c r="I232" s="14" t="inlineStr">
        <is>
          <t>No</t>
        </is>
      </c>
      <c r="J232" s="14" t="inlineStr">
        <is>
          <t>Collana</t>
        </is>
      </c>
      <c r="K232" s="14" t="inlineStr">
        <is>
          <t>prime letture, narrativa</t>
        </is>
      </c>
      <c r="L232" s="14" t="inlineStr">
        <is>
          <t>Catalogo Terre di Mezzo 1° semestre 2026, p. 54 (ISBN 9788861895874)</t>
        </is>
      </c>
      <c r="M232" s="16" t="n">
        <v>13.5</v>
      </c>
      <c r="N232" s="14" t="inlineStr">
        <is>
          <t>Catalogo Terre di Mezzo 1° semestre 2026</t>
        </is>
      </c>
      <c r="O232" s="16">
        <f>IF(ISNUMBER(M232),ROUND(M232*(1-Condizioni!$B$2),2),"")</f>
        <v/>
      </c>
      <c r="P232" s="17" t="inlineStr">
        <is>
          <t>No</t>
        </is>
      </c>
    </row>
    <row r="233">
      <c r="A233" s="14" t="inlineStr">
        <is>
          <t>Terre di Mezzo</t>
        </is>
      </c>
      <c r="B233" s="14" t="inlineStr">
        <is>
          <t>Dory fantasmagorica. con la testa fra le nuvole</t>
        </is>
      </c>
      <c r="C233" s="14" t="inlineStr">
        <is>
          <t>Abby Hanlon</t>
        </is>
      </c>
      <c r="D233" s="14" t="inlineStr">
        <is>
          <t>L'Acchiappastorie – Primi lettori</t>
        </is>
      </c>
      <c r="E233" s="14" t="inlineStr">
        <is>
          <t>primi lettori</t>
        </is>
      </c>
      <c r="F233" s="14" t="inlineStr">
        <is>
          <t>Prime letture (6-8)</t>
        </is>
      </c>
      <c r="G233" s="14" t="inlineStr">
        <is>
          <t>Narrativa</t>
        </is>
      </c>
      <c r="H233" s="14" t="inlineStr"/>
      <c r="I233" s="14" t="inlineStr">
        <is>
          <t>No</t>
        </is>
      </c>
      <c r="J233" s="14" t="inlineStr">
        <is>
          <t>Collana</t>
        </is>
      </c>
      <c r="K233" s="14" t="inlineStr">
        <is>
          <t>prime letture, narrativa</t>
        </is>
      </c>
      <c r="L233" s="14" t="inlineStr">
        <is>
          <t>Catalogo Terre di Mezzo 1° semestre 2026, p. 54 (ISBN 9788861894679)</t>
        </is>
      </c>
      <c r="M233" s="16" t="n">
        <v>13.5</v>
      </c>
      <c r="N233" s="14" t="inlineStr">
        <is>
          <t>Catalogo Terre di Mezzo 1° semestre 2026</t>
        </is>
      </c>
      <c r="O233" s="16">
        <f>IF(ISNUMBER(M233),ROUND(M233*(1-Condizioni!$B$2),2),"")</f>
        <v/>
      </c>
      <c r="P233" s="17" t="inlineStr">
        <is>
          <t>No</t>
        </is>
      </c>
    </row>
    <row r="234">
      <c r="A234" s="14" t="inlineStr">
        <is>
          <t>Terre di Mezzo</t>
        </is>
      </c>
      <c r="B234" s="14" t="inlineStr">
        <is>
          <t>Dory fantasmagorica. ti voglio tutta per me</t>
        </is>
      </c>
      <c r="C234" s="14" t="inlineStr">
        <is>
          <t>Abby Hanlon</t>
        </is>
      </c>
      <c r="D234" s="14" t="inlineStr">
        <is>
          <t>L'Acchiappastorie – Primi lettori</t>
        </is>
      </c>
      <c r="E234" s="14" t="inlineStr">
        <is>
          <t>primi lettori</t>
        </is>
      </c>
      <c r="F234" s="14" t="inlineStr">
        <is>
          <t>Prime letture (6-8)</t>
        </is>
      </c>
      <c r="G234" s="14" t="inlineStr">
        <is>
          <t>Narrativa</t>
        </is>
      </c>
      <c r="H234" s="14" t="inlineStr"/>
      <c r="I234" s="14" t="inlineStr">
        <is>
          <t>No</t>
        </is>
      </c>
      <c r="J234" s="14" t="inlineStr">
        <is>
          <t>Collana</t>
        </is>
      </c>
      <c r="K234" s="14" t="inlineStr">
        <is>
          <t>prime letture, narrativa</t>
        </is>
      </c>
      <c r="L234" s="14" t="inlineStr">
        <is>
          <t>Catalogo Terre di Mezzo 1° semestre 2026, p. 54 (ISBN 9791259961785)</t>
        </is>
      </c>
      <c r="M234" s="16" t="n">
        <v>13.5</v>
      </c>
      <c r="N234" s="14" t="inlineStr">
        <is>
          <t>Catalogo Terre di Mezzo 1° semestre 2026</t>
        </is>
      </c>
      <c r="O234" s="16">
        <f>IF(ISNUMBER(M234),ROUND(M234*(1-Condizioni!$B$2),2),"")</f>
        <v/>
      </c>
      <c r="P234" s="17" t="inlineStr">
        <is>
          <t>No</t>
        </is>
      </c>
    </row>
    <row r="235">
      <c r="A235" s="14" t="inlineStr">
        <is>
          <t>Terre di Mezzo</t>
        </is>
      </c>
      <c r="B235" s="14" t="inlineStr">
        <is>
          <t>Dory fantasmagorica. una pecora nera a scuola</t>
        </is>
      </c>
      <c r="C235" s="14" t="inlineStr">
        <is>
          <t>Abby Hanlon</t>
        </is>
      </c>
      <c r="D235" s="14" t="inlineStr">
        <is>
          <t>L'Acchiappastorie – Primi lettori</t>
        </is>
      </c>
      <c r="E235" s="14" t="inlineStr">
        <is>
          <t>primi lettori</t>
        </is>
      </c>
      <c r="F235" s="14" t="inlineStr">
        <is>
          <t>Prime letture (6-8)</t>
        </is>
      </c>
      <c r="G235" s="14" t="inlineStr">
        <is>
          <t>Narrativa</t>
        </is>
      </c>
      <c r="H235" s="14" t="inlineStr"/>
      <c r="I235" s="14" t="inlineStr">
        <is>
          <t>No</t>
        </is>
      </c>
      <c r="J235" s="14" t="inlineStr">
        <is>
          <t>Collana</t>
        </is>
      </c>
      <c r="K235" s="14" t="inlineStr">
        <is>
          <t>prime letture, narrativa</t>
        </is>
      </c>
      <c r="L235" s="14" t="inlineStr">
        <is>
          <t>Catalogo Terre di Mezzo 1° semestre 2026, p. 54 (ISBN 9788861894228)</t>
        </is>
      </c>
      <c r="M235" s="16" t="n">
        <v>13.5</v>
      </c>
      <c r="N235" s="14" t="inlineStr">
        <is>
          <t>Catalogo Terre di Mezzo 1° semestre 2026</t>
        </is>
      </c>
      <c r="O235" s="16">
        <f>IF(ISNUMBER(M235),ROUND(M235*(1-Condizioni!$B$2),2),"")</f>
        <v/>
      </c>
      <c r="P235" s="17" t="inlineStr">
        <is>
          <t>No</t>
        </is>
      </c>
    </row>
    <row r="236">
      <c r="A236" s="14" t="inlineStr">
        <is>
          <t>Terre di Mezzo</t>
        </is>
      </c>
      <c r="B236" s="14" t="inlineStr">
        <is>
          <t>Grolefante &amp; Topolino. che amicizia bestiale!</t>
        </is>
      </c>
      <c r="C236" s="14" t="inlineStr">
        <is>
          <t>Pierre Delye, Ronan Badel</t>
        </is>
      </c>
      <c r="D236" s="14" t="inlineStr">
        <is>
          <t>L'Acchiappastorie – Primi lettori</t>
        </is>
      </c>
      <c r="E236" s="14" t="inlineStr">
        <is>
          <t>primi lettori</t>
        </is>
      </c>
      <c r="F236" s="14" t="inlineStr">
        <is>
          <t>Prime letture (6-8)</t>
        </is>
      </c>
      <c r="G236" s="14" t="inlineStr">
        <is>
          <t>Narrativa</t>
        </is>
      </c>
      <c r="H236" s="14" t="inlineStr"/>
      <c r="I236" s="14" t="inlineStr">
        <is>
          <t>No</t>
        </is>
      </c>
      <c r="J236" s="14" t="inlineStr">
        <is>
          <t>Collana</t>
        </is>
      </c>
      <c r="K236" s="14" t="inlineStr">
        <is>
          <t>prime letture, narrativa</t>
        </is>
      </c>
      <c r="L236" s="14" t="inlineStr">
        <is>
          <t>Catalogo Terre di Mezzo 1° semestre 2026, p. 62 (ISBN 9788861896048)</t>
        </is>
      </c>
      <c r="M236" s="16" t="n">
        <v>12</v>
      </c>
      <c r="N236" s="14" t="inlineStr">
        <is>
          <t>Catalogo Terre di Mezzo 1° semestre 2026</t>
        </is>
      </c>
      <c r="O236" s="16">
        <f>IF(ISNUMBER(M236),ROUND(M236*(1-Condizioni!$B$2),2),"")</f>
        <v/>
      </c>
      <c r="P236" s="17" t="inlineStr">
        <is>
          <t>No</t>
        </is>
      </c>
    </row>
    <row r="237">
      <c r="A237" s="14" t="inlineStr">
        <is>
          <t>Terre di Mezzo</t>
        </is>
      </c>
      <c r="B237" s="14" t="inlineStr">
        <is>
          <t>Grolefante &amp; topolino. che coppia!</t>
        </is>
      </c>
      <c r="C237" s="14" t="inlineStr">
        <is>
          <t>Pierre Delye, Ronan Badel</t>
        </is>
      </c>
      <c r="D237" s="14" t="inlineStr">
        <is>
          <t>L'Acchiappastorie – Primi lettori</t>
        </is>
      </c>
      <c r="E237" s="14" t="inlineStr">
        <is>
          <t>primi lettori</t>
        </is>
      </c>
      <c r="F237" s="14" t="inlineStr">
        <is>
          <t>Prime letture (6-8)</t>
        </is>
      </c>
      <c r="G237" s="14" t="inlineStr">
        <is>
          <t>Narrativa</t>
        </is>
      </c>
      <c r="H237" s="14" t="inlineStr"/>
      <c r="I237" s="14" t="inlineStr">
        <is>
          <t>No</t>
        </is>
      </c>
      <c r="J237" s="14" t="inlineStr">
        <is>
          <t>Collana</t>
        </is>
      </c>
      <c r="K237" s="14" t="inlineStr">
        <is>
          <t>prime letture, narrativa</t>
        </is>
      </c>
      <c r="L237" s="14" t="inlineStr">
        <is>
          <t>Catalogo Terre di Mezzo 1° semestre 2026, p. 62 (ISBN 9788861897335)</t>
        </is>
      </c>
      <c r="M237" s="16" t="n">
        <v>12</v>
      </c>
      <c r="N237" s="14" t="inlineStr">
        <is>
          <t>Catalogo Terre di Mezzo 1° semestre 2026</t>
        </is>
      </c>
      <c r="O237" s="16">
        <f>IF(ISNUMBER(M237),ROUND(M237*(1-Condizioni!$B$2),2),"")</f>
        <v/>
      </c>
      <c r="P237" s="17" t="inlineStr">
        <is>
          <t>No</t>
        </is>
      </c>
    </row>
    <row r="238">
      <c r="A238" s="14" t="inlineStr">
        <is>
          <t>Terre di Mezzo</t>
        </is>
      </c>
      <c r="B238" s="14" t="inlineStr">
        <is>
          <t>I Supereroi del bosco contro il ladro di nocciole</t>
        </is>
      </c>
      <c r="C238" s="14" t="inlineStr">
        <is>
          <t>Henri Meunier, Nathalie Choux</t>
        </is>
      </c>
      <c r="D238" s="14" t="inlineStr">
        <is>
          <t>L'Acchiappastorie – Primi lettori</t>
        </is>
      </c>
      <c r="E238" s="14" t="inlineStr">
        <is>
          <t>primi lettori</t>
        </is>
      </c>
      <c r="F238" s="14" t="inlineStr">
        <is>
          <t>Prime letture (6-8)</t>
        </is>
      </c>
      <c r="G238" s="14" t="inlineStr">
        <is>
          <t>Narrativa</t>
        </is>
      </c>
      <c r="H238" s="14" t="inlineStr"/>
      <c r="I238" s="14" t="inlineStr">
        <is>
          <t>No</t>
        </is>
      </c>
      <c r="J238" s="14" t="inlineStr">
        <is>
          <t>Collana</t>
        </is>
      </c>
      <c r="K238" s="14" t="inlineStr">
        <is>
          <t>prime letture, narrativa</t>
        </is>
      </c>
      <c r="L238" s="14" t="inlineStr">
        <is>
          <t>Catalogo Terre di Mezzo 1° semestre 2026, p. 62 (ISBN 9788861896659)</t>
        </is>
      </c>
      <c r="M238" s="16" t="n">
        <v>12</v>
      </c>
      <c r="N238" s="14" t="inlineStr">
        <is>
          <t>Catalogo Terre di Mezzo 1° semestre 2026</t>
        </is>
      </c>
      <c r="O238" s="16">
        <f>IF(ISNUMBER(M238),ROUND(M238*(1-Condizioni!$B$2),2),"")</f>
        <v/>
      </c>
      <c r="P238" s="17" t="inlineStr">
        <is>
          <t>No</t>
        </is>
      </c>
    </row>
    <row r="239">
      <c r="A239" s="14" t="inlineStr">
        <is>
          <t>Terre di Mezzo</t>
        </is>
      </c>
      <c r="B239" s="14" t="inlineStr">
        <is>
          <t>I Supereroi del bosco e il fantasma mangiafoglie</t>
        </is>
      </c>
      <c r="C239" s="14" t="inlineStr">
        <is>
          <t>Henri Meunier, Nathalie Choux</t>
        </is>
      </c>
      <c r="D239" s="14" t="inlineStr">
        <is>
          <t>L'Acchiappastorie – Primi lettori</t>
        </is>
      </c>
      <c r="E239" s="14" t="inlineStr">
        <is>
          <t>primi lettori</t>
        </is>
      </c>
      <c r="F239" s="14" t="inlineStr">
        <is>
          <t>Prime letture (6-8)</t>
        </is>
      </c>
      <c r="G239" s="14" t="inlineStr">
        <is>
          <t>Narrativa</t>
        </is>
      </c>
      <c r="H239" s="14" t="inlineStr"/>
      <c r="I239" s="14" t="inlineStr">
        <is>
          <t>No</t>
        </is>
      </c>
      <c r="J239" s="14" t="inlineStr">
        <is>
          <t>Collana</t>
        </is>
      </c>
      <c r="K239" s="14" t="inlineStr">
        <is>
          <t>prime letture, narrativa</t>
        </is>
      </c>
      <c r="L239" s="14" t="inlineStr">
        <is>
          <t>Catalogo Terre di Mezzo 1° semestre 2026, p. 62 (ISBN 9788861896673)</t>
        </is>
      </c>
      <c r="M239" s="16" t="n">
        <v>12</v>
      </c>
      <c r="N239" s="14" t="inlineStr">
        <is>
          <t>Catalogo Terre di Mezzo 1° semestre 2026</t>
        </is>
      </c>
      <c r="O239" s="16">
        <f>IF(ISNUMBER(M239),ROUND(M239*(1-Condizioni!$B$2),2),"")</f>
        <v/>
      </c>
      <c r="P239" s="17" t="inlineStr">
        <is>
          <t>No</t>
        </is>
      </c>
    </row>
    <row r="240">
      <c r="A240" s="14" t="inlineStr">
        <is>
          <t>Terre di Mezzo</t>
        </is>
      </c>
      <c r="B240" s="14" t="inlineStr">
        <is>
          <t>Il ranocchio senza nome</t>
        </is>
      </c>
      <c r="C240" s="14" t="inlineStr">
        <is>
          <t>I RACCONTI DI OMBRAVERDE.</t>
        </is>
      </c>
      <c r="D240" s="14" t="inlineStr">
        <is>
          <t>L'Acchiappastorie – Primi lettori</t>
        </is>
      </c>
      <c r="E240" s="14" t="inlineStr">
        <is>
          <t>primi lettori</t>
        </is>
      </c>
      <c r="F240" s="14" t="inlineStr">
        <is>
          <t>Prime letture (6-8)</t>
        </is>
      </c>
      <c r="G240" s="14" t="inlineStr">
        <is>
          <t>Narrativa</t>
        </is>
      </c>
      <c r="H240" s="14" t="inlineStr"/>
      <c r="I240" s="14" t="inlineStr">
        <is>
          <t>No</t>
        </is>
      </c>
      <c r="J240" s="14" t="inlineStr">
        <is>
          <t>Collana</t>
        </is>
      </c>
      <c r="K240" s="14" t="inlineStr">
        <is>
          <t>prime letture, narrativa</t>
        </is>
      </c>
      <c r="L240" s="14" t="inlineStr">
        <is>
          <t>Catalogo Terre di Mezzo 1° semestre 2026, p. 48 (ISBN 9791259961310)</t>
        </is>
      </c>
      <c r="M240" s="16" t="n">
        <v>14</v>
      </c>
      <c r="N240" s="14" t="inlineStr">
        <is>
          <t>Catalogo Terre di Mezzo 1° semestre 2026</t>
        </is>
      </c>
      <c r="O240" s="16">
        <f>IF(ISNUMBER(M240),ROUND(M240*(1-Condizioni!$B$2),2),"")</f>
        <v/>
      </c>
      <c r="P240" s="17" t="inlineStr">
        <is>
          <t>No</t>
        </is>
      </c>
    </row>
    <row r="241">
      <c r="A241" s="14" t="inlineStr">
        <is>
          <t>Terre di Mezzo</t>
        </is>
      </c>
      <c r="B241" s="14" t="inlineStr">
        <is>
          <t>La Casetta sottoterra. festa di primavera</t>
        </is>
      </c>
      <c r="C241" s="14" t="inlineStr">
        <is>
          <t>Catalina González, Toni Galmés</t>
        </is>
      </c>
      <c r="D241" s="14" t="inlineStr">
        <is>
          <t>L'Acchiappastorie – Primi lettori</t>
        </is>
      </c>
      <c r="E241" s="14" t="inlineStr">
        <is>
          <t>primi lettori</t>
        </is>
      </c>
      <c r="F241" s="14" t="inlineStr">
        <is>
          <t>Prime letture (6-8)</t>
        </is>
      </c>
      <c r="G241" s="14" t="inlineStr">
        <is>
          <t>Narrativa</t>
        </is>
      </c>
      <c r="H241" s="14" t="inlineStr"/>
      <c r="I241" s="14" t="inlineStr">
        <is>
          <t>No</t>
        </is>
      </c>
      <c r="J241" s="14" t="inlineStr">
        <is>
          <t>Collana</t>
        </is>
      </c>
      <c r="K241" s="14" t="inlineStr">
        <is>
          <t>prime letture, narrativa</t>
        </is>
      </c>
      <c r="L241" s="14" t="inlineStr">
        <is>
          <t>Catalogo Terre di Mezzo 1° semestre 2026, p. 48 (ISBN 9791259963710)</t>
        </is>
      </c>
      <c r="M241" s="16" t="n">
        <v>14</v>
      </c>
      <c r="N241" s="14" t="inlineStr">
        <is>
          <t>Catalogo Terre di Mezzo 1° semestre 2026</t>
        </is>
      </c>
      <c r="O241" s="16">
        <f>IF(ISNUMBER(M241),ROUND(M241*(1-Condizioni!$B$2),2),"")</f>
        <v/>
      </c>
      <c r="P241" s="17" t="inlineStr">
        <is>
          <t>No</t>
        </is>
      </c>
    </row>
    <row r="242">
      <c r="A242" s="14" t="inlineStr">
        <is>
          <t>Terre di Mezzo</t>
        </is>
      </c>
      <c r="B242" s="14" t="inlineStr">
        <is>
          <t>La Montagna dei draghi</t>
        </is>
      </c>
      <c r="C242" s="14" t="inlineStr">
        <is>
          <t>Mathieu Pierloot, François Maumont</t>
        </is>
      </c>
      <c r="D242" s="14" t="inlineStr">
        <is>
          <t>L'Acchiappastorie – Primi lettori</t>
        </is>
      </c>
      <c r="E242" s="14" t="inlineStr">
        <is>
          <t>primi lettori</t>
        </is>
      </c>
      <c r="F242" s="14" t="inlineStr">
        <is>
          <t>Prime letture (6-8)</t>
        </is>
      </c>
      <c r="G242" s="14" t="inlineStr">
        <is>
          <t>Narrativa</t>
        </is>
      </c>
      <c r="H242" s="14" t="inlineStr"/>
      <c r="I242" s="14" t="inlineStr">
        <is>
          <t>No</t>
        </is>
      </c>
      <c r="J242" s="14" t="inlineStr">
        <is>
          <t>Collana</t>
        </is>
      </c>
      <c r="K242" s="14" t="inlineStr">
        <is>
          <t>prime letture, narrativa</t>
        </is>
      </c>
      <c r="L242" s="14" t="inlineStr">
        <is>
          <t>Catalogo Terre di Mezzo 1° semestre 2026, p. 48 (ISBN 9791259963697)</t>
        </is>
      </c>
      <c r="M242" s="16" t="n">
        <v>14</v>
      </c>
      <c r="N242" s="14" t="inlineStr">
        <is>
          <t>Catalogo Terre di Mezzo 1° semestre 2026</t>
        </is>
      </c>
      <c r="O242" s="16">
        <f>IF(ISNUMBER(M242),ROUND(M242*(1-Condizioni!$B$2),2),"")</f>
        <v/>
      </c>
      <c r="P242" s="17" t="inlineStr">
        <is>
          <t>No</t>
        </is>
      </c>
    </row>
    <row r="243">
      <c r="A243" s="14" t="inlineStr">
        <is>
          <t>Terre di Mezzo</t>
        </is>
      </c>
      <c r="B243" s="14" t="inlineStr">
        <is>
          <t>La casetta sottoterra. un amico tira l’altro</t>
        </is>
      </c>
      <c r="C243" s="14" t="inlineStr">
        <is>
          <t>Catalina González, Toni Galmés</t>
        </is>
      </c>
      <c r="D243" s="14" t="inlineStr">
        <is>
          <t>L'Acchiappastorie – Primi lettori</t>
        </is>
      </c>
      <c r="E243" s="14" t="inlineStr">
        <is>
          <t>primi lettori</t>
        </is>
      </c>
      <c r="F243" s="14" t="inlineStr">
        <is>
          <t>Prime letture (6-8)</t>
        </is>
      </c>
      <c r="G243" s="14" t="inlineStr">
        <is>
          <t>Narrativa</t>
        </is>
      </c>
      <c r="H243" s="14" t="inlineStr"/>
      <c r="I243" s="14" t="inlineStr">
        <is>
          <t>No</t>
        </is>
      </c>
      <c r="J243" s="14" t="inlineStr">
        <is>
          <t>Collana</t>
        </is>
      </c>
      <c r="K243" s="14" t="inlineStr">
        <is>
          <t>prime letture, narrativa</t>
        </is>
      </c>
      <c r="L243" s="14" t="inlineStr">
        <is>
          <t>Catalogo Terre di Mezzo 1° semestre 2026, p. 48 (ISBN 9791259963703)</t>
        </is>
      </c>
      <c r="M243" s="16" t="n">
        <v>14</v>
      </c>
      <c r="N243" s="14" t="inlineStr">
        <is>
          <t>Catalogo Terre di Mezzo 1° semestre 2026</t>
        </is>
      </c>
      <c r="O243" s="16">
        <f>IF(ISNUMBER(M243),ROUND(M243*(1-Condizioni!$B$2),2),"")</f>
        <v/>
      </c>
      <c r="P243" s="17" t="inlineStr">
        <is>
          <t>No</t>
        </is>
      </c>
    </row>
    <row r="244">
      <c r="A244" s="14" t="inlineStr">
        <is>
          <t>Terre di Mezzo</t>
        </is>
      </c>
      <c r="B244" s="14" t="inlineStr">
        <is>
          <t>La dura vita di un ex randagio</t>
        </is>
      </c>
      <c r="C244" s="14" t="inlineStr">
        <is>
          <t>BOMBOLONE GATTO PIGRONE.</t>
        </is>
      </c>
      <c r="D244" s="14" t="inlineStr">
        <is>
          <t>L'Acchiappastorie – Primi lettori</t>
        </is>
      </c>
      <c r="E244" s="14" t="inlineStr">
        <is>
          <t>primi lettori</t>
        </is>
      </c>
      <c r="F244" s="14" t="inlineStr">
        <is>
          <t>Prime letture (6-8)</t>
        </is>
      </c>
      <c r="G244" s="14" t="inlineStr">
        <is>
          <t>Narrativa</t>
        </is>
      </c>
      <c r="H244" s="14" t="inlineStr"/>
      <c r="I244" s="14" t="inlineStr">
        <is>
          <t>No</t>
        </is>
      </c>
      <c r="J244" s="14" t="inlineStr">
        <is>
          <t>Collana</t>
        </is>
      </c>
      <c r="K244" s="14" t="inlineStr">
        <is>
          <t>prime letture, narrativa</t>
        </is>
      </c>
      <c r="L244" s="14" t="inlineStr">
        <is>
          <t>Catalogo Terre di Mezzo 1° semestre 2026, p. 61 (ISBN 9791259960573)</t>
        </is>
      </c>
      <c r="M244" s="16" t="n">
        <v>12</v>
      </c>
      <c r="N244" s="14" t="inlineStr">
        <is>
          <t>Catalogo Terre di Mezzo 1° semestre 2026</t>
        </is>
      </c>
      <c r="O244" s="16">
        <f>IF(ISNUMBER(M244),ROUND(M244*(1-Condizioni!$B$2),2),"")</f>
        <v/>
      </c>
      <c r="P244" s="17" t="inlineStr">
        <is>
          <t>No</t>
        </is>
      </c>
    </row>
    <row r="245">
      <c r="A245" s="14" t="inlineStr">
        <is>
          <t>Terre di Mezzo</t>
        </is>
      </c>
      <c r="B245" s="14" t="inlineStr">
        <is>
          <t>La fantasmagorica storia di Ralph</t>
        </is>
      </c>
      <c r="C245" s="14" t="inlineStr">
        <is>
          <t>Abby Hanlon</t>
        </is>
      </c>
      <c r="D245" s="14" t="inlineStr">
        <is>
          <t>L'Acchiappastorie – Primi lettori</t>
        </is>
      </c>
      <c r="E245" s="14" t="inlineStr">
        <is>
          <t>primi lettori</t>
        </is>
      </c>
      <c r="F245" s="14" t="inlineStr">
        <is>
          <t>Prime letture (6-8)</t>
        </is>
      </c>
      <c r="G245" s="14" t="inlineStr">
        <is>
          <t>Narrativa</t>
        </is>
      </c>
      <c r="H245" s="14" t="inlineStr"/>
      <c r="I245" s="14" t="inlineStr">
        <is>
          <t>No</t>
        </is>
      </c>
      <c r="J245" s="14" t="inlineStr">
        <is>
          <t>Collana</t>
        </is>
      </c>
      <c r="K245" s="14" t="inlineStr">
        <is>
          <t>prime letture, narrativa</t>
        </is>
      </c>
      <c r="L245" s="14" t="inlineStr">
        <is>
          <t>Catalogo Terre di Mezzo 1° semestre 2026, p. 54 (ISBN 9788861897410)</t>
        </is>
      </c>
      <c r="M245" s="16" t="n">
        <v>12</v>
      </c>
      <c r="N245" s="14" t="inlineStr">
        <is>
          <t>Catalogo Terre di Mezzo 1° semestre 2026</t>
        </is>
      </c>
      <c r="O245" s="16">
        <f>IF(ISNUMBER(M245),ROUND(M245*(1-Condizioni!$B$2),2),"")</f>
        <v/>
      </c>
      <c r="P245" s="17" t="inlineStr">
        <is>
          <t>No</t>
        </is>
      </c>
    </row>
    <row r="246">
      <c r="A246" s="14" t="inlineStr">
        <is>
          <t>Terre di Mezzo</t>
        </is>
      </c>
      <c r="B246" s="14" t="inlineStr">
        <is>
          <t>La felicità è una tazza di tè</t>
        </is>
      </c>
      <c r="C246" s="14" t="inlineStr">
        <is>
          <t>Eulàlia Canal, Toni Galmés</t>
        </is>
      </c>
      <c r="D246" s="14" t="inlineStr">
        <is>
          <t>L'Acchiappastorie – Primi lettori</t>
        </is>
      </c>
      <c r="E246" s="14" t="inlineStr">
        <is>
          <t>primi lettori</t>
        </is>
      </c>
      <c r="F246" s="14" t="inlineStr">
        <is>
          <t>Prime letture (6-8)</t>
        </is>
      </c>
      <c r="G246" s="14" t="inlineStr">
        <is>
          <t>Narrativa</t>
        </is>
      </c>
      <c r="H246" s="14" t="inlineStr"/>
      <c r="I246" s="14" t="inlineStr">
        <is>
          <t>No</t>
        </is>
      </c>
      <c r="J246" s="14" t="inlineStr">
        <is>
          <t>Collana</t>
        </is>
      </c>
      <c r="K246" s="14" t="inlineStr">
        <is>
          <t>prime letture, narrativa</t>
        </is>
      </c>
      <c r="L246" s="14" t="inlineStr">
        <is>
          <t>Catalogo Terre di Mezzo 1° semestre 2026, p. 51 (ISBN 9791259961495)</t>
        </is>
      </c>
      <c r="M246" s="16" t="n">
        <v>14</v>
      </c>
      <c r="N246" s="14" t="inlineStr">
        <is>
          <t>Catalogo Terre di Mezzo 1° semestre 2026</t>
        </is>
      </c>
      <c r="O246" s="16">
        <f>IF(ISNUMBER(M246),ROUND(M246*(1-Condizioni!$B$2),2),"")</f>
        <v/>
      </c>
      <c r="P246" s="17" t="inlineStr">
        <is>
          <t>No</t>
        </is>
      </c>
    </row>
    <row r="247">
      <c r="A247" s="14" t="inlineStr">
        <is>
          <t>Terre di Mezzo</t>
        </is>
      </c>
      <c r="B247" s="14" t="inlineStr">
        <is>
          <t>La mia nonna ratto</t>
        </is>
      </c>
      <c r="C247" s="14" t="inlineStr">
        <is>
          <t>Stella Nosella, Lucia Carlini</t>
        </is>
      </c>
      <c r="D247" s="14" t="inlineStr">
        <is>
          <t>L'Acchiappastorie – Primi lettori</t>
        </is>
      </c>
      <c r="E247" s="14" t="inlineStr">
        <is>
          <t>primi lettori</t>
        </is>
      </c>
      <c r="F247" s="14" t="inlineStr">
        <is>
          <t>Prime letture (6-8)</t>
        </is>
      </c>
      <c r="G247" s="14" t="inlineStr">
        <is>
          <t>Narrativa</t>
        </is>
      </c>
      <c r="H247" s="14" t="inlineStr"/>
      <c r="I247" s="14" t="inlineStr">
        <is>
          <t>No</t>
        </is>
      </c>
      <c r="J247" s="14" t="inlineStr">
        <is>
          <t>Collana</t>
        </is>
      </c>
      <c r="K247" s="14" t="inlineStr">
        <is>
          <t>prime letture, narrativa</t>
        </is>
      </c>
      <c r="L247" s="14" t="inlineStr">
        <is>
          <t>Catalogo Terre di Mezzo 1° semestre 2026, p. 48 (ISBN 9791259963192)</t>
        </is>
      </c>
      <c r="M247" s="16" t="n">
        <v>14</v>
      </c>
      <c r="N247" s="14" t="inlineStr">
        <is>
          <t>Catalogo Terre di Mezzo 1° semestre 2026</t>
        </is>
      </c>
      <c r="O247" s="16">
        <f>IF(ISNUMBER(M247),ROUND(M247*(1-Condizioni!$B$2),2),"")</f>
        <v/>
      </c>
      <c r="P247" s="17" t="inlineStr">
        <is>
          <t>No</t>
        </is>
      </c>
    </row>
    <row r="248">
      <c r="A248" s="14" t="inlineStr">
        <is>
          <t>Terre di Mezzo</t>
        </is>
      </c>
      <c r="B248" s="14" t="inlineStr">
        <is>
          <t>Le avventure dello Stagno Stagnante</t>
        </is>
      </c>
      <c r="C248" s="14" t="inlineStr">
        <is>
          <t>Cristina Marsi, Francesca Carabelli</t>
        </is>
      </c>
      <c r="D248" s="14" t="inlineStr">
        <is>
          <t>L'Acchiappastorie – Primi lettori</t>
        </is>
      </c>
      <c r="E248" s="14" t="inlineStr">
        <is>
          <t>primi lettori</t>
        </is>
      </c>
      <c r="F248" s="14" t="inlineStr">
        <is>
          <t>Prime letture (6-8)</t>
        </is>
      </c>
      <c r="G248" s="14" t="inlineStr">
        <is>
          <t>Narrativa</t>
        </is>
      </c>
      <c r="H248" s="14" t="inlineStr"/>
      <c r="I248" s="14" t="inlineStr">
        <is>
          <t>No</t>
        </is>
      </c>
      <c r="J248" s="14" t="inlineStr">
        <is>
          <t>Collana</t>
        </is>
      </c>
      <c r="K248" s="14" t="inlineStr">
        <is>
          <t>prime letture, narrativa</t>
        </is>
      </c>
      <c r="L248" s="14" t="inlineStr">
        <is>
          <t>Catalogo Terre di Mezzo 1° semestre 2026, p. 56 (ISBN 9791259960726)</t>
        </is>
      </c>
      <c r="M248" s="16" t="n">
        <v>12</v>
      </c>
      <c r="N248" s="14" t="inlineStr">
        <is>
          <t>Catalogo Terre di Mezzo 1° semestre 2026</t>
        </is>
      </c>
      <c r="O248" s="16">
        <f>IF(ISNUMBER(M248),ROUND(M248*(1-Condizioni!$B$2),2),"")</f>
        <v/>
      </c>
      <c r="P248" s="17" t="inlineStr">
        <is>
          <t>No</t>
        </is>
      </c>
    </row>
    <row r="249">
      <c r="A249" s="14" t="inlineStr">
        <is>
          <t>Terre di Mezzo</t>
        </is>
      </c>
      <c r="B249" s="14" t="inlineStr">
        <is>
          <t>Le bambine della palude. una vacanza da paura!</t>
        </is>
      </c>
      <c r="C249" s="14" t="inlineStr">
        <is>
          <t>Taylor Dolan</t>
        </is>
      </c>
      <c r="D249" s="14" t="inlineStr">
        <is>
          <t>L'Acchiappastorie – Primi lettori</t>
        </is>
      </c>
      <c r="E249" s="14" t="inlineStr">
        <is>
          <t>primi lettori</t>
        </is>
      </c>
      <c r="F249" s="14" t="inlineStr">
        <is>
          <t>Prime letture (6-8)</t>
        </is>
      </c>
      <c r="G249" s="14" t="inlineStr">
        <is>
          <t>Narrativa</t>
        </is>
      </c>
      <c r="H249" s="14" t="inlineStr"/>
      <c r="I249" s="14" t="inlineStr">
        <is>
          <t>No</t>
        </is>
      </c>
      <c r="J249" s="14" t="inlineStr">
        <is>
          <t>Collana</t>
        </is>
      </c>
      <c r="K249" s="14" t="inlineStr">
        <is>
          <t>prime letture, narrativa</t>
        </is>
      </c>
      <c r="L249" s="14" t="inlineStr">
        <is>
          <t>Catalogo Terre di Mezzo 1° semestre 2026, p. 56 (ISBN 9788861896529)</t>
        </is>
      </c>
      <c r="M249" s="16" t="n">
        <v>12</v>
      </c>
      <c r="N249" s="14" t="inlineStr">
        <is>
          <t>Catalogo Terre di Mezzo 1° semestre 2026</t>
        </is>
      </c>
      <c r="O249" s="16">
        <f>IF(ISNUMBER(M249),ROUND(M249*(1-Condizioni!$B$2),2),"")</f>
        <v/>
      </c>
      <c r="P249" s="17" t="inlineStr">
        <is>
          <t>No</t>
        </is>
      </c>
    </row>
    <row r="250">
      <c r="A250" s="14" t="inlineStr">
        <is>
          <t>Terre di Mezzo</t>
        </is>
      </c>
      <c r="B250" s="14" t="inlineStr">
        <is>
          <t>L’acqua è per i pesci</t>
        </is>
      </c>
      <c r="C250" s="14" t="inlineStr">
        <is>
          <t>Puck Koper</t>
        </is>
      </c>
      <c r="D250" s="14" t="inlineStr">
        <is>
          <t>L'Acchiappastorie – Primi lettori</t>
        </is>
      </c>
      <c r="E250" s="14" t="inlineStr">
        <is>
          <t>primi lettori</t>
        </is>
      </c>
      <c r="F250" s="14" t="inlineStr">
        <is>
          <t>Prime letture (6-8)</t>
        </is>
      </c>
      <c r="G250" s="14" t="inlineStr">
        <is>
          <t>Narrativa</t>
        </is>
      </c>
      <c r="H250" s="14" t="inlineStr"/>
      <c r="I250" s="14" t="inlineStr">
        <is>
          <t>No</t>
        </is>
      </c>
      <c r="J250" s="14" t="inlineStr">
        <is>
          <t>Collana</t>
        </is>
      </c>
      <c r="K250" s="14" t="inlineStr">
        <is>
          <t>prime letture, narrativa</t>
        </is>
      </c>
      <c r="L250" s="14" t="inlineStr">
        <is>
          <t>Catalogo Terre di Mezzo 1° semestre 2026, p. 50 (ISBN 9791259962096)</t>
        </is>
      </c>
      <c r="M250" s="16" t="n">
        <v>14</v>
      </c>
      <c r="N250" s="14" t="inlineStr">
        <is>
          <t>Catalogo Terre di Mezzo 1° semestre 2026</t>
        </is>
      </c>
      <c r="O250" s="16">
        <f>IF(ISNUMBER(M250),ROUND(M250*(1-Condizioni!$B$2),2),"")</f>
        <v/>
      </c>
      <c r="P250" s="17" t="inlineStr">
        <is>
          <t>No</t>
        </is>
      </c>
    </row>
    <row r="251">
      <c r="A251" s="14" t="inlineStr">
        <is>
          <t>Terre di Mezzo</t>
        </is>
      </c>
      <c r="B251" s="14" t="inlineStr">
        <is>
          <t>L’amore è un segreto blu</t>
        </is>
      </c>
      <c r="C251" s="14" t="inlineStr">
        <is>
          <t>Eulàlia Canal, Toni Galmés</t>
        </is>
      </c>
      <c r="D251" s="14" t="inlineStr">
        <is>
          <t>L'Acchiappastorie – Primi lettori</t>
        </is>
      </c>
      <c r="E251" s="14" t="inlineStr">
        <is>
          <t>primi lettori</t>
        </is>
      </c>
      <c r="F251" s="14" t="inlineStr">
        <is>
          <t>Prime letture (6-8)</t>
        </is>
      </c>
      <c r="G251" s="14" t="inlineStr">
        <is>
          <t>Narrativa</t>
        </is>
      </c>
      <c r="H251" s="14" t="inlineStr"/>
      <c r="I251" s="14" t="inlineStr">
        <is>
          <t>No</t>
        </is>
      </c>
      <c r="J251" s="14" t="inlineStr">
        <is>
          <t>Collana</t>
        </is>
      </c>
      <c r="K251" s="14" t="inlineStr">
        <is>
          <t>prime letture, narrativa</t>
        </is>
      </c>
      <c r="L251" s="14" t="inlineStr">
        <is>
          <t>Catalogo Terre di Mezzo 1° semestre 2026, p. 51 (ISBN 9791259962645)</t>
        </is>
      </c>
      <c r="M251" s="16" t="n">
        <v>14</v>
      </c>
      <c r="N251" s="14" t="inlineStr">
        <is>
          <t>Catalogo Terre di Mezzo 1° semestre 2026</t>
        </is>
      </c>
      <c r="O251" s="16">
        <f>IF(ISNUMBER(M251),ROUND(M251*(1-Condizioni!$B$2),2),"")</f>
        <v/>
      </c>
      <c r="P251" s="17" t="inlineStr">
        <is>
          <t>No</t>
        </is>
      </c>
    </row>
    <row r="252">
      <c r="A252" s="14" t="inlineStr">
        <is>
          <t>Terre di Mezzo</t>
        </is>
      </c>
      <c r="B252" s="14" t="inlineStr">
        <is>
          <t>L’impavida Aurora e la sfida delle principesse</t>
        </is>
      </c>
      <c r="C252" s="14" t="inlineStr">
        <is>
          <t>Matthieu Sylvander, Perceval Barrier</t>
        </is>
      </c>
      <c r="D252" s="14" t="inlineStr">
        <is>
          <t>L'Acchiappastorie – Primi lettori</t>
        </is>
      </c>
      <c r="E252" s="14" t="inlineStr">
        <is>
          <t>primi lettori</t>
        </is>
      </c>
      <c r="F252" s="14" t="inlineStr">
        <is>
          <t>Prime letture (6-8)</t>
        </is>
      </c>
      <c r="G252" s="14" t="inlineStr">
        <is>
          <t>Narrativa</t>
        </is>
      </c>
      <c r="H252" s="14" t="inlineStr"/>
      <c r="I252" s="14" t="inlineStr">
        <is>
          <t>No</t>
        </is>
      </c>
      <c r="J252" s="14" t="inlineStr">
        <is>
          <t>Collana</t>
        </is>
      </c>
      <c r="K252" s="14" t="inlineStr">
        <is>
          <t>prime letture, narrativa</t>
        </is>
      </c>
      <c r="L252" s="14" t="inlineStr">
        <is>
          <t>Catalogo Terre di Mezzo 1° semestre 2026, p. 62 (ISBN 9788861896055)</t>
        </is>
      </c>
      <c r="M252" s="16" t="n">
        <v>12</v>
      </c>
      <c r="N252" s="14" t="inlineStr">
        <is>
          <t>Catalogo Terre di Mezzo 1° semestre 2026</t>
        </is>
      </c>
      <c r="O252" s="16">
        <f>IF(ISNUMBER(M252),ROUND(M252*(1-Condizioni!$B$2),2),"")</f>
        <v/>
      </c>
      <c r="P252" s="17" t="inlineStr">
        <is>
          <t>Sì</t>
        </is>
      </c>
    </row>
    <row r="253">
      <c r="A253" s="14" t="inlineStr">
        <is>
          <t>Terre di Mezzo</t>
        </is>
      </c>
      <c r="B253" s="14" t="inlineStr">
        <is>
          <t>Mina Gattina e il pulcino a sorpresa</t>
        </is>
      </c>
      <c r="C253" s="14" t="inlineStr">
        <is>
          <t>Clothilde Delacroix</t>
        </is>
      </c>
      <c r="D253" s="14" t="inlineStr">
        <is>
          <t>L'Acchiappastorie – Primi lettori</t>
        </is>
      </c>
      <c r="E253" s="14" t="inlineStr">
        <is>
          <t>primi lettori</t>
        </is>
      </c>
      <c r="F253" s="14" t="inlineStr">
        <is>
          <t>Prime letture (6-8)</t>
        </is>
      </c>
      <c r="G253" s="14" t="inlineStr">
        <is>
          <t>Narrativa</t>
        </is>
      </c>
      <c r="H253" s="14" t="inlineStr"/>
      <c r="I253" s="14" t="inlineStr">
        <is>
          <t>No</t>
        </is>
      </c>
      <c r="J253" s="14" t="inlineStr">
        <is>
          <t>Collana</t>
        </is>
      </c>
      <c r="K253" s="14" t="inlineStr">
        <is>
          <t>prime letture, narrativa</t>
        </is>
      </c>
      <c r="L253" s="14" t="inlineStr">
        <is>
          <t>Catalogo Terre di Mezzo 1° semestre 2026, p. 59 (ISBN 9791259960269)</t>
        </is>
      </c>
      <c r="M253" s="16" t="n">
        <v>12</v>
      </c>
      <c r="N253" s="14" t="inlineStr">
        <is>
          <t>Catalogo Terre di Mezzo 1° semestre 2026</t>
        </is>
      </c>
      <c r="O253" s="16">
        <f>IF(ISNUMBER(M253),ROUND(M253*(1-Condizioni!$B$2),2),"")</f>
        <v/>
      </c>
      <c r="P253" s="17" t="inlineStr">
        <is>
          <t>No</t>
        </is>
      </c>
    </row>
    <row r="254">
      <c r="A254" s="14" t="inlineStr">
        <is>
          <t>Terre di Mezzo</t>
        </is>
      </c>
      <c r="B254" s="14" t="inlineStr">
        <is>
          <t>Mina Gattina e la sciarpa infinita</t>
        </is>
      </c>
      <c r="C254" s="14" t="inlineStr">
        <is>
          <t>Clothilde Delacroix</t>
        </is>
      </c>
      <c r="D254" s="14" t="inlineStr">
        <is>
          <t>L'Acchiappastorie – Primi lettori</t>
        </is>
      </c>
      <c r="E254" s="14" t="inlineStr">
        <is>
          <t>primi lettori</t>
        </is>
      </c>
      <c r="F254" s="14" t="inlineStr">
        <is>
          <t>Prime letture (6-8)</t>
        </is>
      </c>
      <c r="G254" s="14" t="inlineStr">
        <is>
          <t>Narrativa</t>
        </is>
      </c>
      <c r="H254" s="14" t="inlineStr"/>
      <c r="I254" s="14" t="inlineStr">
        <is>
          <t>No</t>
        </is>
      </c>
      <c r="J254" s="14" t="inlineStr">
        <is>
          <t>Collana</t>
        </is>
      </c>
      <c r="K254" s="14" t="inlineStr">
        <is>
          <t>prime letture, narrativa</t>
        </is>
      </c>
      <c r="L254" s="14" t="inlineStr">
        <is>
          <t>Catalogo Terre di Mezzo 1° semestre 2026, p. 59 (ISBN 9791259960351)</t>
        </is>
      </c>
      <c r="M254" s="16" t="n">
        <v>12</v>
      </c>
      <c r="N254" s="14" t="inlineStr">
        <is>
          <t>Catalogo Terre di Mezzo 1° semestre 2026</t>
        </is>
      </c>
      <c r="O254" s="16">
        <f>IF(ISNUMBER(M254),ROUND(M254*(1-Condizioni!$B$2),2),"")</f>
        <v/>
      </c>
      <c r="P254" s="17" t="inlineStr">
        <is>
          <t>No</t>
        </is>
      </c>
    </row>
    <row r="255">
      <c r="A255" s="14" t="inlineStr">
        <is>
          <t>Terre di Mezzo</t>
        </is>
      </c>
      <c r="B255" s="14" t="inlineStr">
        <is>
          <t>Nella pancia del gatto</t>
        </is>
      </c>
      <c r="C255" s="14" t="inlineStr">
        <is>
          <t>Magdalena Hai, Teemu Juhani</t>
        </is>
      </c>
      <c r="D255" s="14" t="inlineStr">
        <is>
          <t>L'Acchiappastorie – Primi lettori</t>
        </is>
      </c>
      <c r="E255" s="14" t="inlineStr">
        <is>
          <t>primi lettori</t>
        </is>
      </c>
      <c r="F255" s="14" t="inlineStr">
        <is>
          <t>Prime letture (6-8)</t>
        </is>
      </c>
      <c r="G255" s="14" t="inlineStr">
        <is>
          <t>Narrativa</t>
        </is>
      </c>
      <c r="H255" s="14" t="inlineStr"/>
      <c r="I255" s="14" t="inlineStr">
        <is>
          <t>No</t>
        </is>
      </c>
      <c r="J255" s="14" t="inlineStr">
        <is>
          <t>Collana</t>
        </is>
      </c>
      <c r="K255" s="14" t="inlineStr">
        <is>
          <t>prime letture, narrativa</t>
        </is>
      </c>
      <c r="L255" s="14" t="inlineStr">
        <is>
          <t>Catalogo Terre di Mezzo 1° semestre 2026, p. 60 (ISBN 9791259960443)</t>
        </is>
      </c>
      <c r="M255" s="16" t="n">
        <v>12.9</v>
      </c>
      <c r="N255" s="14" t="inlineStr">
        <is>
          <t>Catalogo Terre di Mezzo 1° semestre 2026</t>
        </is>
      </c>
      <c r="O255" s="16">
        <f>IF(ISNUMBER(M255),ROUND(M255*(1-Condizioni!$B$2),2),"")</f>
        <v/>
      </c>
      <c r="P255" s="17" t="inlineStr">
        <is>
          <t>No</t>
        </is>
      </c>
    </row>
    <row r="256">
      <c r="A256" s="14" t="inlineStr">
        <is>
          <t>Terre di Mezzo</t>
        </is>
      </c>
      <c r="B256" s="14" t="inlineStr">
        <is>
          <t>Nino &amp; Taddeo dipingono la primavera</t>
        </is>
      </c>
      <c r="C256" s="14" t="inlineStr">
        <is>
          <t>Henri Meunier, Benjamin Chaud</t>
        </is>
      </c>
      <c r="D256" s="14" t="inlineStr">
        <is>
          <t>L'Acchiappastorie – Primi lettori</t>
        </is>
      </c>
      <c r="E256" s="14" t="inlineStr">
        <is>
          <t>primi lettori</t>
        </is>
      </c>
      <c r="F256" s="14" t="inlineStr">
        <is>
          <t>Prime letture (6-8)</t>
        </is>
      </c>
      <c r="G256" s="14" t="inlineStr">
        <is>
          <t>Narrativa</t>
        </is>
      </c>
      <c r="H256" s="14" t="inlineStr"/>
      <c r="I256" s="14" t="inlineStr">
        <is>
          <t>No</t>
        </is>
      </c>
      <c r="J256" s="14" t="inlineStr">
        <is>
          <t>Collana</t>
        </is>
      </c>
      <c r="K256" s="14" t="inlineStr">
        <is>
          <t>prime letture, narrativa</t>
        </is>
      </c>
      <c r="L256" s="14" t="inlineStr">
        <is>
          <t>Catalogo Terre di Mezzo 1° semestre 2026, p. 60 (ISBN 9788861896253)</t>
        </is>
      </c>
      <c r="M256" s="16" t="n">
        <v>12</v>
      </c>
      <c r="N256" s="14" t="inlineStr">
        <is>
          <t>Catalogo Terre di Mezzo 1° semestre 2026</t>
        </is>
      </c>
      <c r="O256" s="16">
        <f>IF(ISNUMBER(M256),ROUND(M256*(1-Condizioni!$B$2),2),"")</f>
        <v/>
      </c>
      <c r="P256" s="17" t="inlineStr">
        <is>
          <t>No</t>
        </is>
      </c>
    </row>
    <row r="257">
      <c r="A257" s="14" t="inlineStr">
        <is>
          <t>Terre di Mezzo</t>
        </is>
      </c>
      <c r="B257" s="14" t="inlineStr">
        <is>
          <t>Nino &amp; Taddeo e i primi fiocchi di neve</t>
        </is>
      </c>
      <c r="C257" s="14" t="inlineStr">
        <is>
          <t>Henri Meunier, Benjamin Chaud</t>
        </is>
      </c>
      <c r="D257" s="14" t="inlineStr">
        <is>
          <t>L'Acchiappastorie – Primi lettori</t>
        </is>
      </c>
      <c r="E257" s="14" t="inlineStr">
        <is>
          <t>primi lettori</t>
        </is>
      </c>
      <c r="F257" s="14" t="inlineStr">
        <is>
          <t>Prime letture (6-8)</t>
        </is>
      </c>
      <c r="G257" s="14" t="inlineStr">
        <is>
          <t>Narrativa</t>
        </is>
      </c>
      <c r="H257" s="14" t="inlineStr"/>
      <c r="I257" s="14" t="inlineStr">
        <is>
          <t>No</t>
        </is>
      </c>
      <c r="J257" s="14" t="inlineStr">
        <is>
          <t>Collana</t>
        </is>
      </c>
      <c r="K257" s="14" t="inlineStr">
        <is>
          <t>prime letture, narrativa</t>
        </is>
      </c>
      <c r="L257" s="14" t="inlineStr">
        <is>
          <t>Catalogo Terre di Mezzo 1° semestre 2026, p. 60 (ISBN 9788861897748)</t>
        </is>
      </c>
      <c r="M257" s="16" t="n">
        <v>12</v>
      </c>
      <c r="N257" s="14" t="inlineStr">
        <is>
          <t>Catalogo Terre di Mezzo 1° semestre 2026</t>
        </is>
      </c>
      <c r="O257" s="16">
        <f>IF(ISNUMBER(M257),ROUND(M257*(1-Condizioni!$B$2),2),"")</f>
        <v/>
      </c>
      <c r="P257" s="17" t="inlineStr">
        <is>
          <t>No</t>
        </is>
      </c>
    </row>
    <row r="258">
      <c r="A258" s="14" t="inlineStr">
        <is>
          <t>Terre di Mezzo</t>
        </is>
      </c>
      <c r="B258" s="14" t="inlineStr">
        <is>
          <t>Nino &amp; Taddeo e la torta di lombrichi</t>
        </is>
      </c>
      <c r="C258" s="14" t="inlineStr">
        <is>
          <t>Henri Meunier, Benjamin Chaud</t>
        </is>
      </c>
      <c r="D258" s="14" t="inlineStr">
        <is>
          <t>L'Acchiappastorie – Primi lettori</t>
        </is>
      </c>
      <c r="E258" s="14" t="inlineStr">
        <is>
          <t>primi lettori</t>
        </is>
      </c>
      <c r="F258" s="14" t="inlineStr">
        <is>
          <t>Prime letture (6-8)</t>
        </is>
      </c>
      <c r="G258" s="14" t="inlineStr">
        <is>
          <t>Narrativa</t>
        </is>
      </c>
      <c r="H258" s="14" t="inlineStr"/>
      <c r="I258" s="14" t="inlineStr">
        <is>
          <t>No</t>
        </is>
      </c>
      <c r="J258" s="14" t="inlineStr">
        <is>
          <t>Collana</t>
        </is>
      </c>
      <c r="K258" s="14" t="inlineStr">
        <is>
          <t>prime letture, narrativa</t>
        </is>
      </c>
      <c r="L258" s="14" t="inlineStr">
        <is>
          <t>Catalogo Terre di Mezzo 1° semestre 2026, p. 60 (ISBN 9788861896536)</t>
        </is>
      </c>
      <c r="M258" s="16" t="n">
        <v>12</v>
      </c>
      <c r="N258" s="14" t="inlineStr">
        <is>
          <t>Catalogo Terre di Mezzo 1° semestre 2026</t>
        </is>
      </c>
      <c r="O258" s="16">
        <f>IF(ISNUMBER(M258),ROUND(M258*(1-Condizioni!$B$2),2),"")</f>
        <v/>
      </c>
      <c r="P258" s="17" t="inlineStr">
        <is>
          <t>No</t>
        </is>
      </c>
    </row>
    <row r="259">
      <c r="A259" s="14" t="inlineStr">
        <is>
          <t>Terre di Mezzo</t>
        </is>
      </c>
      <c r="B259" s="14" t="inlineStr">
        <is>
          <t>Nino &amp; Taddeo. lezioni di volo</t>
        </is>
      </c>
      <c r="C259" s="14" t="inlineStr">
        <is>
          <t>Henri Meunier, Benjamin Chaud</t>
        </is>
      </c>
      <c r="D259" s="14" t="inlineStr">
        <is>
          <t>L'Acchiappastorie – Primi lettori</t>
        </is>
      </c>
      <c r="E259" s="14" t="inlineStr">
        <is>
          <t>primi lettori</t>
        </is>
      </c>
      <c r="F259" s="14" t="inlineStr">
        <is>
          <t>Prime letture (6-8)</t>
        </is>
      </c>
      <c r="G259" s="14" t="inlineStr">
        <is>
          <t>Narrativa</t>
        </is>
      </c>
      <c r="H259" s="14" t="inlineStr"/>
      <c r="I259" s="14" t="inlineStr">
        <is>
          <t>No</t>
        </is>
      </c>
      <c r="J259" s="14" t="inlineStr">
        <is>
          <t>Collana</t>
        </is>
      </c>
      <c r="K259" s="14" t="inlineStr">
        <is>
          <t>prime letture, narrativa</t>
        </is>
      </c>
      <c r="L259" s="14" t="inlineStr">
        <is>
          <t>Catalogo Terre di Mezzo 1° semestre 2026, p. 60 (ISBN 9791259961440)</t>
        </is>
      </c>
      <c r="M259" s="16" t="n">
        <v>12</v>
      </c>
      <c r="N259" s="14" t="inlineStr">
        <is>
          <t>Catalogo Terre di Mezzo 1° semestre 2026</t>
        </is>
      </c>
      <c r="O259" s="16">
        <f>IF(ISNUMBER(M259),ROUND(M259*(1-Condizioni!$B$2),2),"")</f>
        <v/>
      </c>
      <c r="P259" s="17" t="inlineStr">
        <is>
          <t>No</t>
        </is>
      </c>
    </row>
    <row r="260">
      <c r="A260" s="14" t="inlineStr">
        <is>
          <t>Terre di Mezzo</t>
        </is>
      </c>
      <c r="B260" s="14" t="inlineStr">
        <is>
          <t>Nino &amp; Taddeo. un’estate in tandem</t>
        </is>
      </c>
      <c r="C260" s="14" t="inlineStr">
        <is>
          <t>Henri Meunier, Benjamin Chaud</t>
        </is>
      </c>
      <c r="D260" s="14" t="inlineStr">
        <is>
          <t>L'Acchiappastorie – Primi lettori</t>
        </is>
      </c>
      <c r="E260" s="14" t="inlineStr">
        <is>
          <t>primi lettori</t>
        </is>
      </c>
      <c r="F260" s="14" t="inlineStr">
        <is>
          <t>Prime letture (6-8)</t>
        </is>
      </c>
      <c r="G260" s="14" t="inlineStr">
        <is>
          <t>Narrativa</t>
        </is>
      </c>
      <c r="H260" s="14" t="inlineStr"/>
      <c r="I260" s="14" t="inlineStr">
        <is>
          <t>No</t>
        </is>
      </c>
      <c r="J260" s="14" t="inlineStr">
        <is>
          <t>Collana</t>
        </is>
      </c>
      <c r="K260" s="14" t="inlineStr">
        <is>
          <t>prime letture, narrativa</t>
        </is>
      </c>
      <c r="L260" s="14" t="inlineStr">
        <is>
          <t>Catalogo Terre di Mezzo 1° semestre 2026, p. 60 (ISBN 9788861897403)</t>
        </is>
      </c>
      <c r="M260" s="16" t="n">
        <v>12</v>
      </c>
      <c r="N260" s="14" t="inlineStr">
        <is>
          <t>Catalogo Terre di Mezzo 1° semestre 2026</t>
        </is>
      </c>
      <c r="O260" s="16">
        <f>IF(ISNUMBER(M260),ROUND(M260*(1-Condizioni!$B$2),2),"")</f>
        <v/>
      </c>
      <c r="P260" s="17" t="inlineStr">
        <is>
          <t>No</t>
        </is>
      </c>
    </row>
    <row r="261">
      <c r="A261" s="14" t="inlineStr">
        <is>
          <t>Terre di Mezzo</t>
        </is>
      </c>
      <c r="B261" s="14" t="inlineStr">
        <is>
          <t>Odore di brodo</t>
        </is>
      </c>
      <c r="C261" s="14" t="inlineStr">
        <is>
          <t>Cristina Brambilla, Arianna Bellucci</t>
        </is>
      </c>
      <c r="D261" s="14" t="inlineStr">
        <is>
          <t>L'Acchiappastorie – Primi lettori</t>
        </is>
      </c>
      <c r="E261" s="14" t="inlineStr">
        <is>
          <t>primi lettori</t>
        </is>
      </c>
      <c r="F261" s="14" t="inlineStr">
        <is>
          <t>Prime letture (6-8)</t>
        </is>
      </c>
      <c r="G261" s="14" t="inlineStr">
        <is>
          <t>Narrativa</t>
        </is>
      </c>
      <c r="H261" s="14" t="inlineStr"/>
      <c r="I261" s="14" t="inlineStr">
        <is>
          <t>No</t>
        </is>
      </c>
      <c r="J261" s="14" t="inlineStr">
        <is>
          <t>Collana</t>
        </is>
      </c>
      <c r="K261" s="14" t="inlineStr">
        <is>
          <t>prime letture, narrativa</t>
        </is>
      </c>
      <c r="L261" s="14" t="inlineStr">
        <is>
          <t>Catalogo Terre di Mezzo 1° semestre 2026, p. 50 (ISBN 9791259962232)</t>
        </is>
      </c>
      <c r="M261" s="16" t="n">
        <v>14</v>
      </c>
      <c r="N261" s="14" t="inlineStr">
        <is>
          <t>Catalogo Terre di Mezzo 1° semestre 2026</t>
        </is>
      </c>
      <c r="O261" s="16">
        <f>IF(ISNUMBER(M261),ROUND(M261*(1-Condizioni!$B$2),2),"")</f>
        <v/>
      </c>
      <c r="P261" s="17" t="inlineStr">
        <is>
          <t>No</t>
        </is>
      </c>
    </row>
    <row r="262">
      <c r="A262" s="14" t="inlineStr">
        <is>
          <t>Terre di Mezzo</t>
        </is>
      </c>
      <c r="B262" s="14" t="inlineStr">
        <is>
          <t>Oscar superstar e il grande splash</t>
        </is>
      </c>
      <c r="C262" s="14" t="inlineStr">
        <is>
          <t>Greg Pizzoli</t>
        </is>
      </c>
      <c r="D262" s="14" t="inlineStr">
        <is>
          <t>L'Acchiappastorie – Primi lettori</t>
        </is>
      </c>
      <c r="E262" s="14" t="inlineStr">
        <is>
          <t>primi lettori</t>
        </is>
      </c>
      <c r="F262" s="14" t="inlineStr">
        <is>
          <t>Prime letture (6-8)</t>
        </is>
      </c>
      <c r="G262" s="14" t="inlineStr">
        <is>
          <t>Narrativa</t>
        </is>
      </c>
      <c r="H262" s="14" t="inlineStr"/>
      <c r="I262" s="14" t="inlineStr">
        <is>
          <t>No</t>
        </is>
      </c>
      <c r="J262" s="14" t="inlineStr">
        <is>
          <t>Collana</t>
        </is>
      </c>
      <c r="K262" s="14" t="inlineStr">
        <is>
          <t>prime letture, narrativa</t>
        </is>
      </c>
      <c r="L262" s="14" t="inlineStr">
        <is>
          <t>Catalogo Terre di Mezzo 1° semestre 2026, p. 59 (ISBN 9788861896635)</t>
        </is>
      </c>
      <c r="M262" s="16" t="n">
        <v>12</v>
      </c>
      <c r="N262" s="14" t="inlineStr">
        <is>
          <t>Catalogo Terre di Mezzo 1° semestre 2026</t>
        </is>
      </c>
      <c r="O262" s="16">
        <f>IF(ISNUMBER(M262),ROUND(M262*(1-Condizioni!$B$2),2),"")</f>
        <v/>
      </c>
      <c r="P262" s="17" t="inlineStr">
        <is>
          <t>No</t>
        </is>
      </c>
    </row>
    <row r="263">
      <c r="A263" s="14" t="inlineStr">
        <is>
          <t>Terre di Mezzo</t>
        </is>
      </c>
      <c r="B263" s="14" t="inlineStr">
        <is>
          <t>Oscar superstar. sempre più in alto!</t>
        </is>
      </c>
      <c r="C263" s="14" t="inlineStr">
        <is>
          <t>Greg Pizzoli</t>
        </is>
      </c>
      <c r="D263" s="14" t="inlineStr">
        <is>
          <t>L'Acchiappastorie – Primi lettori</t>
        </is>
      </c>
      <c r="E263" s="14" t="inlineStr">
        <is>
          <t>primi lettori</t>
        </is>
      </c>
      <c r="F263" s="14" t="inlineStr">
        <is>
          <t>Prime letture (6-8)</t>
        </is>
      </c>
      <c r="G263" s="14" t="inlineStr">
        <is>
          <t>Narrativa</t>
        </is>
      </c>
      <c r="H263" s="14" t="inlineStr"/>
      <c r="I263" s="14" t="inlineStr">
        <is>
          <t>No</t>
        </is>
      </c>
      <c r="J263" s="14" t="inlineStr">
        <is>
          <t>Collana</t>
        </is>
      </c>
      <c r="K263" s="14" t="inlineStr">
        <is>
          <t>prime letture, narrativa</t>
        </is>
      </c>
      <c r="L263" s="14" t="inlineStr">
        <is>
          <t>Catalogo Terre di Mezzo 1° semestre 2026, p. 59 (ISBN 9788861897106)</t>
        </is>
      </c>
      <c r="M263" s="16" t="n">
        <v>12</v>
      </c>
      <c r="N263" s="14" t="inlineStr">
        <is>
          <t>Catalogo Terre di Mezzo 1° semestre 2026</t>
        </is>
      </c>
      <c r="O263" s="16">
        <f>IF(ISNUMBER(M263),ROUND(M263*(1-Condizioni!$B$2),2),"")</f>
        <v/>
      </c>
      <c r="P263" s="17" t="inlineStr">
        <is>
          <t>No</t>
        </is>
      </c>
    </row>
    <row r="264">
      <c r="A264" s="14" t="inlineStr">
        <is>
          <t>Terre di Mezzo</t>
        </is>
      </c>
      <c r="B264" s="14" t="inlineStr">
        <is>
          <t>Premio andersen 2007, grand prix de l’imaginaire 2007</t>
        </is>
      </c>
      <c r="C264" s="14" t="inlineStr">
        <is>
          <t>a tornare tra le fronde più alte per salvare coloro che ama.</t>
        </is>
      </c>
      <c r="D264" s="14" t="inlineStr">
        <is>
          <t>L'Acchiappastorie – Primi lettori</t>
        </is>
      </c>
      <c r="E264" s="14" t="inlineStr">
        <is>
          <t>primi lettori</t>
        </is>
      </c>
      <c r="F264" s="14" t="inlineStr">
        <is>
          <t>Prime letture (6-8)</t>
        </is>
      </c>
      <c r="G264" s="14" t="inlineStr">
        <is>
          <t>Narrativa</t>
        </is>
      </c>
      <c r="H264" s="14" t="inlineStr"/>
      <c r="I264" s="14" t="inlineStr">
        <is>
          <t>No</t>
        </is>
      </c>
      <c r="J264" s="14" t="inlineStr">
        <is>
          <t>Collana</t>
        </is>
      </c>
      <c r="K264" s="14" t="inlineStr">
        <is>
          <t>prime letture, narrativa</t>
        </is>
      </c>
      <c r="L264" s="14" t="inlineStr">
        <is>
          <t>Catalogo Terre di Mezzo 1° semestre 2026, p. 63 (ISBN 9791259963758)</t>
        </is>
      </c>
      <c r="M264" s="16" t="n">
        <v>18</v>
      </c>
      <c r="N264" s="14" t="inlineStr">
        <is>
          <t>Catalogo Terre di Mezzo 1° semestre 2026</t>
        </is>
      </c>
      <c r="O264" s="16">
        <f>IF(ISNUMBER(M264),ROUND(M264*(1-Condizioni!$B$2),2),"")</f>
        <v/>
      </c>
      <c r="P264" s="17" t="inlineStr">
        <is>
          <t>No</t>
        </is>
      </c>
    </row>
    <row r="265">
      <c r="A265" s="14" t="inlineStr">
        <is>
          <t>Terre di Mezzo</t>
        </is>
      </c>
      <c r="B265" s="14" t="inlineStr">
        <is>
          <t>Quando i capelli di papà andarono in vacanza</t>
        </is>
      </c>
      <c r="C265" s="14" t="inlineStr">
        <is>
          <t>Jörg Mühle</t>
        </is>
      </c>
      <c r="D265" s="14" t="inlineStr">
        <is>
          <t>L'Acchiappastorie – Primi lettori</t>
        </is>
      </c>
      <c r="E265" s="14" t="inlineStr">
        <is>
          <t>primi lettori</t>
        </is>
      </c>
      <c r="F265" s="14" t="inlineStr">
        <is>
          <t>Prime letture (6-8)</t>
        </is>
      </c>
      <c r="G265" s="14" t="inlineStr">
        <is>
          <t>Narrativa</t>
        </is>
      </c>
      <c r="H265" s="14" t="inlineStr"/>
      <c r="I265" s="14" t="inlineStr">
        <is>
          <t>No</t>
        </is>
      </c>
      <c r="J265" s="14" t="inlineStr">
        <is>
          <t>Collana</t>
        </is>
      </c>
      <c r="K265" s="14" t="inlineStr">
        <is>
          <t>prime letture, narrativa</t>
        </is>
      </c>
      <c r="L265" s="14" t="inlineStr">
        <is>
          <t>Catalogo Terre di Mezzo 1° semestre 2026, p. 52 (ISBN 9791259961075)</t>
        </is>
      </c>
      <c r="M265" s="16" t="n">
        <v>14</v>
      </c>
      <c r="N265" s="14" t="inlineStr">
        <is>
          <t>Catalogo Terre di Mezzo 1° semestre 2026</t>
        </is>
      </c>
      <c r="O265" s="16">
        <f>IF(ISNUMBER(M265),ROUND(M265*(1-Condizioni!$B$2),2),"")</f>
        <v/>
      </c>
      <c r="P265" s="17" t="inlineStr">
        <is>
          <t>No</t>
        </is>
      </c>
    </row>
    <row r="266">
      <c r="A266" s="14" t="inlineStr">
        <is>
          <t>Terre di Mezzo</t>
        </is>
      </c>
      <c r="B266" s="14" t="inlineStr">
        <is>
          <t>Ranocchia</t>
        </is>
      </c>
      <c r="C266" s="14" t="inlineStr">
        <is>
          <t>LE BAMBINE DELLA PALUDE. SCOMPIGLIO A CAMPO</t>
        </is>
      </c>
      <c r="D266" s="14" t="inlineStr">
        <is>
          <t>L'Acchiappastorie – Primi lettori</t>
        </is>
      </c>
      <c r="E266" s="14" t="inlineStr">
        <is>
          <t>primi lettori</t>
        </is>
      </c>
      <c r="F266" s="14" t="inlineStr">
        <is>
          <t>Prime letture (6-8)</t>
        </is>
      </c>
      <c r="G266" s="14" t="inlineStr">
        <is>
          <t>Narrativa</t>
        </is>
      </c>
      <c r="H266" s="14" t="inlineStr"/>
      <c r="I266" s="14" t="inlineStr">
        <is>
          <t>No</t>
        </is>
      </c>
      <c r="J266" s="14" t="inlineStr">
        <is>
          <t>Collana</t>
        </is>
      </c>
      <c r="K266" s="14" t="inlineStr">
        <is>
          <t>prime letture, narrativa</t>
        </is>
      </c>
      <c r="L266" s="14" t="inlineStr">
        <is>
          <t>Catalogo Terre di Mezzo 1° semestre 2026, p. 56 (ISBN 9788861896901)</t>
        </is>
      </c>
      <c r="M266" s="16" t="n">
        <v>12</v>
      </c>
      <c r="N266" s="14" t="inlineStr">
        <is>
          <t>Catalogo Terre di Mezzo 1° semestre 2026</t>
        </is>
      </c>
      <c r="O266" s="16">
        <f>IF(ISNUMBER(M266),ROUND(M266*(1-Condizioni!$B$2),2),"")</f>
        <v/>
      </c>
      <c r="P266" s="17" t="inlineStr">
        <is>
          <t>No</t>
        </is>
      </c>
    </row>
    <row r="267">
      <c r="A267" s="14" t="inlineStr">
        <is>
          <t>Terre di Mezzo</t>
        </is>
      </c>
      <c r="B267" s="14" t="inlineStr">
        <is>
          <t>Scomparsa</t>
        </is>
      </c>
      <c r="C267" s="14" t="inlineStr">
        <is>
          <t>ADELINA TESTAFINA E IL MISTERO DELLA VICE NONNA</t>
        </is>
      </c>
      <c r="D267" s="14" t="inlineStr">
        <is>
          <t>L'Acchiappastorie – Primi lettori</t>
        </is>
      </c>
      <c r="E267" s="14" t="inlineStr">
        <is>
          <t>primi lettori</t>
        </is>
      </c>
      <c r="F267" s="14" t="inlineStr">
        <is>
          <t>Prime letture (6-8)</t>
        </is>
      </c>
      <c r="G267" s="14" t="inlineStr">
        <is>
          <t>Narrativa</t>
        </is>
      </c>
      <c r="H267" s="14" t="inlineStr"/>
      <c r="I267" s="14" t="inlineStr">
        <is>
          <t>No</t>
        </is>
      </c>
      <c r="J267" s="14" t="inlineStr">
        <is>
          <t>Collana</t>
        </is>
      </c>
      <c r="K267" s="14" t="inlineStr">
        <is>
          <t>prime letture, narrativa</t>
        </is>
      </c>
      <c r="L267" s="14" t="inlineStr">
        <is>
          <t>Catalogo Terre di Mezzo 1° semestre 2026, p. 50 (ISBN 9788861896758)</t>
        </is>
      </c>
      <c r="M267" s="16" t="n">
        <v>12</v>
      </c>
      <c r="N267" s="14" t="inlineStr">
        <is>
          <t>Catalogo Terre di Mezzo 1° semestre 2026</t>
        </is>
      </c>
      <c r="O267" s="16">
        <f>IF(ISNUMBER(M267),ROUND(M267*(1-Condizioni!$B$2),2),"")</f>
        <v/>
      </c>
      <c r="P267" s="17" t="inlineStr">
        <is>
          <t>No</t>
        </is>
      </c>
    </row>
    <row r="268">
      <c r="A268" s="14" t="inlineStr">
        <is>
          <t>Terre di Mezzo</t>
        </is>
      </c>
      <c r="B268" s="14" t="inlineStr">
        <is>
          <t>Supergatto e il Pavone scomparso</t>
        </is>
      </c>
      <c r="C268" s="14" t="inlineStr">
        <is>
          <t>Pascal Parisot, Marc Boutavant</t>
        </is>
      </c>
      <c r="D268" s="14" t="inlineStr">
        <is>
          <t>L'Acchiappastorie – Primi lettori</t>
        </is>
      </c>
      <c r="E268" s="14" t="inlineStr">
        <is>
          <t>primi lettori</t>
        </is>
      </c>
      <c r="F268" s="14" t="inlineStr">
        <is>
          <t>Prime letture (6-8)</t>
        </is>
      </c>
      <c r="G268" s="14" t="inlineStr">
        <is>
          <t>Narrativa</t>
        </is>
      </c>
      <c r="H268" s="14" t="inlineStr"/>
      <c r="I268" s="14" t="inlineStr">
        <is>
          <t>No</t>
        </is>
      </c>
      <c r="J268" s="14" t="inlineStr">
        <is>
          <t>Collana</t>
        </is>
      </c>
      <c r="K268" s="14" t="inlineStr">
        <is>
          <t>prime letture, narrativa</t>
        </is>
      </c>
      <c r="L268" s="14" t="inlineStr">
        <is>
          <t>Catalogo Terre di Mezzo 1° semestre 2026, p. 52 (ISBN 9791259960870)</t>
        </is>
      </c>
      <c r="M268" s="16" t="n">
        <v>16</v>
      </c>
      <c r="N268" s="14" t="inlineStr">
        <is>
          <t>Catalogo Terre di Mezzo 1° semestre 2026</t>
        </is>
      </c>
      <c r="O268" s="16">
        <f>IF(ISNUMBER(M268),ROUND(M268*(1-Condizioni!$B$2),2),"")</f>
        <v/>
      </c>
      <c r="P268" s="17" t="inlineStr">
        <is>
          <t>No</t>
        </is>
      </c>
    </row>
    <row r="269">
      <c r="A269" s="14" t="inlineStr">
        <is>
          <t>Terre di Mezzo</t>
        </is>
      </c>
      <c r="B269" s="14" t="inlineStr">
        <is>
          <t>Tibia e Biagio. l’amicizia è un viaggio</t>
        </is>
      </c>
      <c r="C269" s="14" t="inlineStr">
        <is>
          <t>Ludovic Lecomte, Irène Bonacina</t>
        </is>
      </c>
      <c r="D269" s="14" t="inlineStr">
        <is>
          <t>L'Acchiappastorie – Primi lettori</t>
        </is>
      </c>
      <c r="E269" s="14" t="inlineStr">
        <is>
          <t>primi lettori</t>
        </is>
      </c>
      <c r="F269" s="14" t="inlineStr">
        <is>
          <t>Prime letture (6-8)</t>
        </is>
      </c>
      <c r="G269" s="14" t="inlineStr">
        <is>
          <t>Narrativa</t>
        </is>
      </c>
      <c r="H269" s="14" t="inlineStr"/>
      <c r="I269" s="14" t="inlineStr">
        <is>
          <t>No</t>
        </is>
      </c>
      <c r="J269" s="14" t="inlineStr">
        <is>
          <t>Collana</t>
        </is>
      </c>
      <c r="K269" s="14" t="inlineStr">
        <is>
          <t>prime letture, narrativa</t>
        </is>
      </c>
      <c r="L269" s="14" t="inlineStr">
        <is>
          <t>Catalogo Terre di Mezzo 1° semestre 2026, p. 55 (ISBN 9791259961280)</t>
        </is>
      </c>
      <c r="M269" s="16" t="n">
        <v>12</v>
      </c>
      <c r="N269" s="14" t="inlineStr">
        <is>
          <t>Catalogo Terre di Mezzo 1° semestre 2026</t>
        </is>
      </c>
      <c r="O269" s="16">
        <f>IF(ISNUMBER(M269),ROUND(M269*(1-Condizioni!$B$2),2),"")</f>
        <v/>
      </c>
      <c r="P269" s="17" t="inlineStr">
        <is>
          <t>No</t>
        </is>
      </c>
    </row>
    <row r="270">
      <c r="A270" s="14" t="inlineStr">
        <is>
          <t>Terre di Mezzo</t>
        </is>
      </c>
      <c r="B270" s="14" t="inlineStr">
        <is>
          <t>Tibia e Biagio. l’amicizia è una giostra</t>
        </is>
      </c>
      <c r="C270" s="14" t="inlineStr">
        <is>
          <t>Ludovic Lecomte, Irène Bonacina</t>
        </is>
      </c>
      <c r="D270" s="14" t="inlineStr">
        <is>
          <t>L'Acchiappastorie – Primi lettori</t>
        </is>
      </c>
      <c r="E270" s="14" t="inlineStr">
        <is>
          <t>primi lettori</t>
        </is>
      </c>
      <c r="F270" s="14" t="inlineStr">
        <is>
          <t>Prime letture (6-8)</t>
        </is>
      </c>
      <c r="G270" s="14" t="inlineStr">
        <is>
          <t>Narrativa</t>
        </is>
      </c>
      <c r="H270" s="14" t="inlineStr"/>
      <c r="I270" s="14" t="inlineStr">
        <is>
          <t>No</t>
        </is>
      </c>
      <c r="J270" s="14" t="inlineStr">
        <is>
          <t>Collana</t>
        </is>
      </c>
      <c r="K270" s="14" t="inlineStr">
        <is>
          <t>prime letture, narrativa</t>
        </is>
      </c>
      <c r="L270" s="14" t="inlineStr">
        <is>
          <t>Catalogo Terre di Mezzo 1° semestre 2026, p. 55 (ISBN 9788861897502)</t>
        </is>
      </c>
      <c r="M270" s="16" t="n">
        <v>12</v>
      </c>
      <c r="N270" s="14" t="inlineStr">
        <is>
          <t>Catalogo Terre di Mezzo 1° semestre 2026</t>
        </is>
      </c>
      <c r="O270" s="16">
        <f>IF(ISNUMBER(M270),ROUND(M270*(1-Condizioni!$B$2),2),"")</f>
        <v/>
      </c>
      <c r="P270" s="17" t="inlineStr">
        <is>
          <t>No</t>
        </is>
      </c>
    </row>
    <row r="271">
      <c r="A271" s="14" t="inlineStr">
        <is>
          <t>Terre di Mezzo</t>
        </is>
      </c>
      <c r="B271" s="14" t="inlineStr">
        <is>
          <t>Tibia e biagio. l’amicizia è servita</t>
        </is>
      </c>
      <c r="C271" s="14" t="inlineStr">
        <is>
          <t>Ludovic Lecomte, Irène Bonacina</t>
        </is>
      </c>
      <c r="D271" s="14" t="inlineStr">
        <is>
          <t>L'Acchiappastorie – Primi lettori</t>
        </is>
      </c>
      <c r="E271" s="14" t="inlineStr">
        <is>
          <t>primi lettori</t>
        </is>
      </c>
      <c r="F271" s="14" t="inlineStr">
        <is>
          <t>Prime letture (6-8)</t>
        </is>
      </c>
      <c r="G271" s="14" t="inlineStr">
        <is>
          <t>Narrativa</t>
        </is>
      </c>
      <c r="H271" s="14" t="inlineStr"/>
      <c r="I271" s="14" t="inlineStr">
        <is>
          <t>No</t>
        </is>
      </c>
      <c r="J271" s="14" t="inlineStr">
        <is>
          <t>Collana</t>
        </is>
      </c>
      <c r="K271" s="14" t="inlineStr">
        <is>
          <t>prime letture, narrativa</t>
        </is>
      </c>
      <c r="L271" s="14" t="inlineStr">
        <is>
          <t>Catalogo Terre di Mezzo 1° semestre 2026, p. 55 (ISBN 9788861897496)</t>
        </is>
      </c>
      <c r="M271" s="16" t="n">
        <v>12</v>
      </c>
      <c r="N271" s="14" t="inlineStr">
        <is>
          <t>Catalogo Terre di Mezzo 1° semestre 2026</t>
        </is>
      </c>
      <c r="O271" s="16">
        <f>IF(ISNUMBER(M271),ROUND(M271*(1-Condizioni!$B$2),2),"")</f>
        <v/>
      </c>
      <c r="P271" s="17" t="inlineStr">
        <is>
          <t>No</t>
        </is>
      </c>
    </row>
    <row r="272">
      <c r="A272" s="14" t="inlineStr">
        <is>
          <t>Terre di Mezzo</t>
        </is>
      </c>
      <c r="B272" s="14" t="inlineStr">
        <is>
          <t>Timothée de Fombelle</t>
        </is>
      </c>
      <c r="C272" s="14" t="inlineStr"/>
      <c r="D272" s="14" t="inlineStr">
        <is>
          <t>L'Acchiappastorie – Primi lettori</t>
        </is>
      </c>
      <c r="E272" s="14" t="inlineStr">
        <is>
          <t>primi lettori</t>
        </is>
      </c>
      <c r="F272" s="14" t="inlineStr">
        <is>
          <t>Prime letture (6-8)</t>
        </is>
      </c>
      <c r="G272" s="14" t="inlineStr">
        <is>
          <t>Narrativa</t>
        </is>
      </c>
      <c r="H272" s="14" t="inlineStr"/>
      <c r="I272" s="14" t="inlineStr">
        <is>
          <t>No</t>
        </is>
      </c>
      <c r="J272" s="14" t="inlineStr">
        <is>
          <t>Collana</t>
        </is>
      </c>
      <c r="K272" s="14" t="inlineStr">
        <is>
          <t>prime letture, narrativa</t>
        </is>
      </c>
      <c r="L272" s="14" t="inlineStr">
        <is>
          <t>Catalogo Terre di Mezzo 1° semestre 2026, p. 63 (ISBN 9791259963765)</t>
        </is>
      </c>
      <c r="M272" s="16" t="n">
        <v>18</v>
      </c>
      <c r="N272" s="14" t="inlineStr">
        <is>
          <t>Catalogo Terre di Mezzo 1° semestre 2026</t>
        </is>
      </c>
      <c r="O272" s="16">
        <f>IF(ISNUMBER(M272),ROUND(M272*(1-Condizioni!$B$2),2),"")</f>
        <v/>
      </c>
      <c r="P272" s="17" t="inlineStr">
        <is>
          <t>No</t>
        </is>
      </c>
    </row>
    <row r="273">
      <c r="A273" s="14" t="inlineStr">
        <is>
          <t>Terre di Mezzo</t>
        </is>
      </c>
      <c r="B273" s="14" t="inlineStr">
        <is>
          <t>Timothée de Fombelle</t>
        </is>
      </c>
      <c r="C273" s="14" t="inlineStr"/>
      <c r="D273" s="14" t="inlineStr">
        <is>
          <t>L'Acchiappastorie – Primi lettori</t>
        </is>
      </c>
      <c r="E273" s="14" t="inlineStr">
        <is>
          <t>primi lettori</t>
        </is>
      </c>
      <c r="F273" s="14" t="inlineStr">
        <is>
          <t>Prime letture (6-8)</t>
        </is>
      </c>
      <c r="G273" s="14" t="inlineStr">
        <is>
          <t>Narrativa</t>
        </is>
      </c>
      <c r="H273" s="14" t="inlineStr"/>
      <c r="I273" s="14" t="inlineStr">
        <is>
          <t>No</t>
        </is>
      </c>
      <c r="J273" s="14" t="inlineStr">
        <is>
          <t>Collana</t>
        </is>
      </c>
      <c r="K273" s="14" t="inlineStr">
        <is>
          <t>prime letture, narrativa</t>
        </is>
      </c>
      <c r="L273" s="14" t="inlineStr">
        <is>
          <t>Catalogo Terre di Mezzo 1° semestre 2026, p. 63 (ISBN 9791259963772)</t>
        </is>
      </c>
      <c r="M273" s="16" t="n">
        <v>18</v>
      </c>
      <c r="N273" s="14" t="inlineStr">
        <is>
          <t>Catalogo Terre di Mezzo 1° semestre 2026</t>
        </is>
      </c>
      <c r="O273" s="16">
        <f>IF(ISNUMBER(M273),ROUND(M273*(1-Condizioni!$B$2),2),"")</f>
        <v/>
      </c>
      <c r="P273" s="17" t="inlineStr">
        <is>
          <t>No</t>
        </is>
      </c>
    </row>
    <row r="274">
      <c r="A274" s="14" t="inlineStr">
        <is>
          <t>Terre di Mezzo</t>
        </is>
      </c>
      <c r="B274" s="14" t="inlineStr">
        <is>
          <t>Timothée de Fombelle</t>
        </is>
      </c>
      <c r="C274" s="14" t="inlineStr"/>
      <c r="D274" s="14" t="inlineStr">
        <is>
          <t>L'Acchiappastorie – Primi lettori</t>
        </is>
      </c>
      <c r="E274" s="14" t="inlineStr">
        <is>
          <t>primi lettori</t>
        </is>
      </c>
      <c r="F274" s="14" t="inlineStr">
        <is>
          <t>Prime letture (6-8)</t>
        </is>
      </c>
      <c r="G274" s="14" t="inlineStr">
        <is>
          <t>Narrativa</t>
        </is>
      </c>
      <c r="H274" s="14" t="inlineStr"/>
      <c r="I274" s="14" t="inlineStr">
        <is>
          <t>No</t>
        </is>
      </c>
      <c r="J274" s="14" t="inlineStr">
        <is>
          <t>Collana</t>
        </is>
      </c>
      <c r="K274" s="14" t="inlineStr">
        <is>
          <t>prime letture, narrativa</t>
        </is>
      </c>
      <c r="L274" s="14" t="inlineStr">
        <is>
          <t>Catalogo Terre di Mezzo 1° semestre 2026, p. 63 (ISBN 9791259963741)</t>
        </is>
      </c>
      <c r="M274" s="16" t="n">
        <v>18</v>
      </c>
      <c r="N274" s="14" t="inlineStr">
        <is>
          <t>Catalogo Terre di Mezzo 1° semestre 2026</t>
        </is>
      </c>
      <c r="O274" s="16">
        <f>IF(ISNUMBER(M274),ROUND(M274*(1-Condizioni!$B$2),2),"")</f>
        <v/>
      </c>
      <c r="P274" s="17" t="inlineStr">
        <is>
          <t>No</t>
        </is>
      </c>
    </row>
    <row r="275">
      <c r="A275" s="14" t="inlineStr">
        <is>
          <t>Terre di Mezzo</t>
        </is>
      </c>
      <c r="B275" s="14" t="inlineStr">
        <is>
          <t>Ugo e Poppy. così diversi, così amici!</t>
        </is>
      </c>
      <c r="C275" s="14" t="inlineStr">
        <is>
          <t>Matthew Cordell</t>
        </is>
      </c>
      <c r="D275" s="14" t="inlineStr">
        <is>
          <t>L'Acchiappastorie – Primi lettori</t>
        </is>
      </c>
      <c r="E275" s="14" t="inlineStr">
        <is>
          <t>primi lettori</t>
        </is>
      </c>
      <c r="F275" s="14" t="inlineStr">
        <is>
          <t>Prime letture (6-8)</t>
        </is>
      </c>
      <c r="G275" s="14" t="inlineStr">
        <is>
          <t>Narrativa</t>
        </is>
      </c>
      <c r="H275" s="14" t="inlineStr"/>
      <c r="I275" s="14" t="inlineStr">
        <is>
          <t>No</t>
        </is>
      </c>
      <c r="J275" s="14" t="inlineStr">
        <is>
          <t>Collana</t>
        </is>
      </c>
      <c r="K275" s="14" t="inlineStr">
        <is>
          <t>prime letture, narrativa</t>
        </is>
      </c>
      <c r="L275" s="14" t="inlineStr">
        <is>
          <t>Catalogo Terre di Mezzo 1° semestre 2026, p. 51 (ISBN 9791259961013)</t>
        </is>
      </c>
      <c r="M275" s="16" t="n">
        <v>14</v>
      </c>
      <c r="N275" s="14" t="inlineStr">
        <is>
          <t>Catalogo Terre di Mezzo 1° semestre 2026</t>
        </is>
      </c>
      <c r="O275" s="16">
        <f>IF(ISNUMBER(M275),ROUND(M275*(1-Condizioni!$B$2),2),"")</f>
        <v/>
      </c>
      <c r="P275" s="17" t="inlineStr">
        <is>
          <t>Sì</t>
        </is>
      </c>
    </row>
    <row r="276">
      <c r="A276" s="14" t="inlineStr">
        <is>
          <t>Terre di Mezzo</t>
        </is>
      </c>
      <c r="B276" s="14" t="inlineStr">
        <is>
          <t>Ugo e Poppy. sulle giostre senza paura!</t>
        </is>
      </c>
      <c r="C276" s="14" t="inlineStr">
        <is>
          <t>Matthew Cordell</t>
        </is>
      </c>
      <c r="D276" s="14" t="inlineStr">
        <is>
          <t>L'Acchiappastorie – Primi lettori</t>
        </is>
      </c>
      <c r="E276" s="14" t="inlineStr">
        <is>
          <t>primi lettori</t>
        </is>
      </c>
      <c r="F276" s="14" t="inlineStr">
        <is>
          <t>Prime letture (6-8)</t>
        </is>
      </c>
      <c r="G276" s="14" t="inlineStr">
        <is>
          <t>Narrativa</t>
        </is>
      </c>
      <c r="H276" s="14" t="inlineStr"/>
      <c r="I276" s="14" t="inlineStr">
        <is>
          <t>No</t>
        </is>
      </c>
      <c r="J276" s="14" t="inlineStr">
        <is>
          <t>Collana</t>
        </is>
      </c>
      <c r="K276" s="14" t="inlineStr">
        <is>
          <t>prime letture, narrativa</t>
        </is>
      </c>
      <c r="L276" s="14" t="inlineStr">
        <is>
          <t>Catalogo Terre di Mezzo 1° semestre 2026, p. 51 (ISBN 9791259961549)</t>
        </is>
      </c>
      <c r="M276" s="16" t="n">
        <v>14</v>
      </c>
      <c r="N276" s="14" t="inlineStr">
        <is>
          <t>Catalogo Terre di Mezzo 1° semestre 2026</t>
        </is>
      </c>
      <c r="O276" s="16">
        <f>IF(ISNUMBER(M276),ROUND(M276*(1-Condizioni!$B$2),2),"")</f>
        <v/>
      </c>
      <c r="P276" s="17" t="inlineStr">
        <is>
          <t>No</t>
        </is>
      </c>
    </row>
    <row r="277">
      <c r="A277" s="14" t="inlineStr">
        <is>
          <t>Terre di Mezzo</t>
        </is>
      </c>
      <c r="B277" s="14" t="inlineStr">
        <is>
          <t>Una gallina in cattive acque</t>
        </is>
      </c>
      <c r="C277" s="14" t="inlineStr">
        <is>
          <t>Guia Risari, AnnaLaura Cantone</t>
        </is>
      </c>
      <c r="D277" s="14" t="inlineStr">
        <is>
          <t>L'Acchiappastorie – Primi lettori</t>
        </is>
      </c>
      <c r="E277" s="14" t="inlineStr">
        <is>
          <t>primi lettori</t>
        </is>
      </c>
      <c r="F277" s="14" t="inlineStr">
        <is>
          <t>Prime letture (6-8)</t>
        </is>
      </c>
      <c r="G277" s="14" t="inlineStr">
        <is>
          <t>Narrativa</t>
        </is>
      </c>
      <c r="H277" s="14" t="inlineStr"/>
      <c r="I277" s="14" t="inlineStr">
        <is>
          <t>No</t>
        </is>
      </c>
      <c r="J277" s="14" t="inlineStr">
        <is>
          <t>Collana</t>
        </is>
      </c>
      <c r="K277" s="14" t="inlineStr">
        <is>
          <t>prime letture, narrativa</t>
        </is>
      </c>
      <c r="L277" s="14" t="inlineStr">
        <is>
          <t>Catalogo Terre di Mezzo 1° semestre 2026, p. 61 (ISBN 9791259961518)</t>
        </is>
      </c>
      <c r="M277" s="16" t="n">
        <v>12</v>
      </c>
      <c r="N277" s="14" t="inlineStr">
        <is>
          <t>Catalogo Terre di Mezzo 1° semestre 2026</t>
        </is>
      </c>
      <c r="O277" s="16">
        <f>IF(ISNUMBER(M277),ROUND(M277*(1-Condizioni!$B$2),2),"")</f>
        <v/>
      </c>
      <c r="P277" s="17" t="inlineStr">
        <is>
          <t>No</t>
        </is>
      </c>
    </row>
    <row r="278">
      <c r="A278" s="14" t="inlineStr">
        <is>
          <t>Terre di Mezzo</t>
        </is>
      </c>
      <c r="B278" s="14" t="inlineStr">
        <is>
          <t>Una gallina in mongolfiera</t>
        </is>
      </c>
      <c r="C278" s="14" t="inlineStr">
        <is>
          <t>Guia Risari, AnnaLaura Cantone</t>
        </is>
      </c>
      <c r="D278" s="14" t="inlineStr">
        <is>
          <t>L'Acchiappastorie – Primi lettori</t>
        </is>
      </c>
      <c r="E278" s="14" t="inlineStr">
        <is>
          <t>primi lettori</t>
        </is>
      </c>
      <c r="F278" s="14" t="inlineStr">
        <is>
          <t>Prime letture (6-8)</t>
        </is>
      </c>
      <c r="G278" s="14" t="inlineStr">
        <is>
          <t>Narrativa</t>
        </is>
      </c>
      <c r="H278" s="14" t="inlineStr"/>
      <c r="I278" s="14" t="inlineStr">
        <is>
          <t>No</t>
        </is>
      </c>
      <c r="J278" s="14" t="inlineStr">
        <is>
          <t>Collana</t>
        </is>
      </c>
      <c r="K278" s="14" t="inlineStr">
        <is>
          <t>prime letture, narrativa</t>
        </is>
      </c>
      <c r="L278" s="14" t="inlineStr">
        <is>
          <t>Catalogo Terre di Mezzo 1° semestre 2026, p. 61 (ISBN 9788861896024)</t>
        </is>
      </c>
      <c r="M278" s="16" t="n">
        <v>12</v>
      </c>
      <c r="N278" s="14" t="inlineStr">
        <is>
          <t>Catalogo Terre di Mezzo 1° semestre 2026</t>
        </is>
      </c>
      <c r="O278" s="16">
        <f>IF(ISNUMBER(M278),ROUND(M278*(1-Condizioni!$B$2),2),"")</f>
        <v/>
      </c>
      <c r="P278" s="17" t="inlineStr">
        <is>
          <t>No</t>
        </is>
      </c>
    </row>
    <row r="279">
      <c r="A279" s="14" t="inlineStr">
        <is>
          <t>Terre di Mezzo</t>
        </is>
      </c>
      <c r="B279" s="14" t="inlineStr">
        <is>
          <t>Una gallina nello zaino</t>
        </is>
      </c>
      <c r="C279" s="14" t="inlineStr">
        <is>
          <t>Guia Risari, AnnaLaura Cantone</t>
        </is>
      </c>
      <c r="D279" s="14" t="inlineStr">
        <is>
          <t>L'Acchiappastorie – Primi lettori</t>
        </is>
      </c>
      <c r="E279" s="14" t="inlineStr">
        <is>
          <t>primi lettori</t>
        </is>
      </c>
      <c r="F279" s="14" t="inlineStr">
        <is>
          <t>Prime letture (6-8)</t>
        </is>
      </c>
      <c r="G279" s="14" t="inlineStr">
        <is>
          <t>Narrativa</t>
        </is>
      </c>
      <c r="H279" s="14" t="inlineStr"/>
      <c r="I279" s="14" t="inlineStr">
        <is>
          <t>No</t>
        </is>
      </c>
      <c r="J279" s="14" t="inlineStr">
        <is>
          <t>Collana</t>
        </is>
      </c>
      <c r="K279" s="14" t="inlineStr">
        <is>
          <t>prime letture, narrativa</t>
        </is>
      </c>
      <c r="L279" s="14" t="inlineStr">
        <is>
          <t>Catalogo Terre di Mezzo 1° semestre 2026, p. 61 (ISBN 9788861895218)</t>
        </is>
      </c>
      <c r="M279" s="16" t="n">
        <v>12</v>
      </c>
      <c r="N279" s="14" t="inlineStr">
        <is>
          <t>Catalogo Terre di Mezzo 1° semestre 2026</t>
        </is>
      </c>
      <c r="O279" s="16">
        <f>IF(ISNUMBER(M279),ROUND(M279*(1-Condizioni!$B$2),2),"")</f>
        <v/>
      </c>
      <c r="P279" s="17" t="inlineStr">
        <is>
          <t>No</t>
        </is>
      </c>
    </row>
    <row r="280">
      <c r="A280" s="14" t="inlineStr">
        <is>
          <t>Terre di Mezzo</t>
        </is>
      </c>
      <c r="B280" s="14" t="inlineStr">
        <is>
          <t>Una nuvola a forma di amico</t>
        </is>
      </c>
      <c r="C280" s="14" t="inlineStr">
        <is>
          <t>Beth Ferry, Gergely Dudás</t>
        </is>
      </c>
      <c r="D280" s="14" t="inlineStr">
        <is>
          <t>L'Acchiappastorie – Primi lettori</t>
        </is>
      </c>
      <c r="E280" s="14" t="inlineStr">
        <is>
          <t>primi lettori</t>
        </is>
      </c>
      <c r="F280" s="14" t="inlineStr">
        <is>
          <t>Prime letture (6-8)</t>
        </is>
      </c>
      <c r="G280" s="14" t="inlineStr">
        <is>
          <t>Narrativa</t>
        </is>
      </c>
      <c r="H280" s="14" t="inlineStr"/>
      <c r="I280" s="14" t="inlineStr">
        <is>
          <t>No</t>
        </is>
      </c>
      <c r="J280" s="14" t="inlineStr">
        <is>
          <t>Collana</t>
        </is>
      </c>
      <c r="K280" s="14" t="inlineStr">
        <is>
          <t>prime letture, narrativa</t>
        </is>
      </c>
      <c r="L280" s="14" t="inlineStr">
        <is>
          <t>Catalogo Terre di Mezzo 1° semestre 2026, p. 62 (ISBN 9788861897816)</t>
        </is>
      </c>
      <c r="M280" s="16" t="n">
        <v>12</v>
      </c>
      <c r="N280" s="14" t="inlineStr">
        <is>
          <t>Catalogo Terre di Mezzo 1° semestre 2026</t>
        </is>
      </c>
      <c r="O280" s="16">
        <f>IF(ISNUMBER(M280),ROUND(M280*(1-Condizioni!$B$2),2),"")</f>
        <v/>
      </c>
      <c r="P280" s="17" t="inlineStr">
        <is>
          <t>No</t>
        </is>
      </c>
    </row>
    <row r="281">
      <c r="A281" s="14" t="inlineStr">
        <is>
          <t>Terre di Mezzo</t>
        </is>
      </c>
      <c r="B281" s="14" t="inlineStr">
        <is>
          <t>Un’avventura in alto mare</t>
        </is>
      </c>
      <c r="C281" s="14" t="inlineStr">
        <is>
          <t>CARLOTTA &amp; LO ZIO ELETTRICO.</t>
        </is>
      </c>
      <c r="D281" s="14" t="inlineStr">
        <is>
          <t>L'Acchiappastorie – Primi lettori</t>
        </is>
      </c>
      <c r="E281" s="14" t="inlineStr">
        <is>
          <t>primi lettori</t>
        </is>
      </c>
      <c r="F281" s="14" t="inlineStr">
        <is>
          <t>Prime letture (6-8)</t>
        </is>
      </c>
      <c r="G281" s="14" t="inlineStr">
        <is>
          <t>Narrativa</t>
        </is>
      </c>
      <c r="H281" s="14" t="inlineStr"/>
      <c r="I281" s="14" t="inlineStr">
        <is>
          <t>No</t>
        </is>
      </c>
      <c r="J281" s="14" t="inlineStr">
        <is>
          <t>Collana</t>
        </is>
      </c>
      <c r="K281" s="14" t="inlineStr">
        <is>
          <t>prime letture, narrativa</t>
        </is>
      </c>
      <c r="L281" s="14" t="inlineStr">
        <is>
          <t>Catalogo Terre di Mezzo 1° semestre 2026, p. 59 (ISBN 9788861897847)</t>
        </is>
      </c>
      <c r="M281" s="16" t="n">
        <v>12</v>
      </c>
      <c r="N281" s="14" t="inlineStr">
        <is>
          <t>Catalogo Terre di Mezzo 1° semestre 2026</t>
        </is>
      </c>
      <c r="O281" s="16">
        <f>IF(ISNUMBER(M281),ROUND(M281*(1-Condizioni!$B$2),2),"")</f>
        <v/>
      </c>
      <c r="P281" s="17" t="inlineStr">
        <is>
          <t>No</t>
        </is>
      </c>
    </row>
    <row r="282">
      <c r="A282" s="14" t="inlineStr">
        <is>
          <t>Terre di Mezzo</t>
        </is>
      </c>
      <c r="B282" s="14" t="inlineStr">
        <is>
          <t>Un’avventura rock’n’roll</t>
        </is>
      </c>
      <c r="C282" s="14" t="inlineStr">
        <is>
          <t>CARLOTTA &amp; LO ZIO ELETTRICO.</t>
        </is>
      </c>
      <c r="D282" s="14" t="inlineStr">
        <is>
          <t>L'Acchiappastorie – Primi lettori</t>
        </is>
      </c>
      <c r="E282" s="14" t="inlineStr">
        <is>
          <t>primi lettori</t>
        </is>
      </c>
      <c r="F282" s="14" t="inlineStr">
        <is>
          <t>Prime letture (6-8)</t>
        </is>
      </c>
      <c r="G282" s="14" t="inlineStr">
        <is>
          <t>Narrativa</t>
        </is>
      </c>
      <c r="H282" s="14" t="inlineStr"/>
      <c r="I282" s="14" t="inlineStr">
        <is>
          <t>No</t>
        </is>
      </c>
      <c r="J282" s="14" t="inlineStr">
        <is>
          <t>Collana</t>
        </is>
      </c>
      <c r="K282" s="14" t="inlineStr">
        <is>
          <t>prime letture, narrativa</t>
        </is>
      </c>
      <c r="L282" s="14" t="inlineStr">
        <is>
          <t>Catalogo Terre di Mezzo 1° semestre 2026, p. 59 (ISBN 9788861896680)</t>
        </is>
      </c>
      <c r="M282" s="16" t="n">
        <v>12</v>
      </c>
      <c r="N282" s="14" t="inlineStr">
        <is>
          <t>Catalogo Terre di Mezzo 1° semestre 2026</t>
        </is>
      </c>
      <c r="O282" s="16">
        <f>IF(ISNUMBER(M282),ROUND(M282*(1-Condizioni!$B$2),2),"")</f>
        <v/>
      </c>
      <c r="P282" s="17" t="inlineStr">
        <is>
          <t>No</t>
        </is>
      </c>
    </row>
    <row r="283">
      <c r="A283" s="14" t="inlineStr">
        <is>
          <t>Terre di Mezzo</t>
        </is>
      </c>
      <c r="B283" s="14" t="inlineStr">
        <is>
          <t>Victoria sogna</t>
        </is>
      </c>
      <c r="C283" s="14" t="inlineStr">
        <is>
          <t>Timothée de Fombelle, Mariachiara Di Giorgio</t>
        </is>
      </c>
      <c r="D283" s="14" t="inlineStr">
        <is>
          <t>L'Acchiappastorie – Primi lettori</t>
        </is>
      </c>
      <c r="E283" s="14" t="inlineStr">
        <is>
          <t>primi lettori</t>
        </is>
      </c>
      <c r="F283" s="14" t="inlineStr">
        <is>
          <t>Prime letture (6-8)</t>
        </is>
      </c>
      <c r="G283" s="14" t="inlineStr">
        <is>
          <t>Narrativa</t>
        </is>
      </c>
      <c r="H283" s="14" t="inlineStr"/>
      <c r="I283" s="14" t="inlineStr">
        <is>
          <t>No</t>
        </is>
      </c>
      <c r="J283" s="14" t="inlineStr">
        <is>
          <t>Collana</t>
        </is>
      </c>
      <c r="K283" s="14" t="inlineStr">
        <is>
          <t>prime letture, narrativa</t>
        </is>
      </c>
      <c r="L283" s="14" t="inlineStr">
        <is>
          <t>Catalogo Terre di Mezzo 1° semestre 2026, p. 63 (ISBN 9788861894303)</t>
        </is>
      </c>
      <c r="M283" s="16" t="n">
        <v>14</v>
      </c>
      <c r="N283" s="14" t="inlineStr">
        <is>
          <t>Catalogo Terre di Mezzo 1° semestre 2026</t>
        </is>
      </c>
      <c r="O283" s="16">
        <f>IF(ISNUMBER(M283),ROUND(M283*(1-Condizioni!$B$2),2),"")</f>
        <v/>
      </c>
      <c r="P283" s="17" t="inlineStr">
        <is>
          <t>No</t>
        </is>
      </c>
    </row>
    <row r="284">
      <c r="A284" s="14" t="inlineStr">
        <is>
          <t>Terre di Mezzo</t>
        </is>
      </c>
      <c r="B284" s="14" t="inlineStr">
        <is>
          <t>Zouk. piccola strega dal cuore grande</t>
        </is>
      </c>
      <c r="C284" s="14" t="inlineStr">
        <is>
          <t>Serge Bloch, Nicolas Hubesch</t>
        </is>
      </c>
      <c r="D284" s="14" t="inlineStr">
        <is>
          <t>L'Acchiappastorie – Primi lettori</t>
        </is>
      </c>
      <c r="E284" s="14" t="inlineStr">
        <is>
          <t>primi lettori</t>
        </is>
      </c>
      <c r="F284" s="14" t="inlineStr">
        <is>
          <t>Prime letture (6-8)</t>
        </is>
      </c>
      <c r="G284" s="14" t="inlineStr">
        <is>
          <t>Narrativa</t>
        </is>
      </c>
      <c r="H284" s="14" t="inlineStr"/>
      <c r="I284" s="14" t="inlineStr">
        <is>
          <t>No</t>
        </is>
      </c>
      <c r="J284" s="14" t="inlineStr">
        <is>
          <t>Collana</t>
        </is>
      </c>
      <c r="K284" s="14" t="inlineStr">
        <is>
          <t>prime letture, narrativa</t>
        </is>
      </c>
      <c r="L284" s="14" t="inlineStr">
        <is>
          <t>Catalogo Terre di Mezzo 1° semestre 2026, p. 49 (ISBN 9791259962539)</t>
        </is>
      </c>
      <c r="M284" s="16" t="n">
        <v>14</v>
      </c>
      <c r="N284" s="14" t="inlineStr">
        <is>
          <t>Catalogo Terre di Mezzo 1° semestre 2026</t>
        </is>
      </c>
      <c r="O284" s="16">
        <f>IF(ISNUMBER(M284),ROUND(M284*(1-Condizioni!$B$2),2),"")</f>
        <v/>
      </c>
      <c r="P284" s="17" t="inlineStr">
        <is>
          <t>No</t>
        </is>
      </c>
    </row>
    <row r="285">
      <c r="A285" s="14" t="inlineStr">
        <is>
          <t>Terre di Mezzo</t>
        </is>
      </c>
      <c r="B285" s="14" t="inlineStr">
        <is>
          <t>Zouk. piovono magie a scuola</t>
        </is>
      </c>
      <c r="C285" s="14" t="inlineStr">
        <is>
          <t>Serge Bloch, Nicolas Hubesch</t>
        </is>
      </c>
      <c r="D285" s="14" t="inlineStr">
        <is>
          <t>L'Acchiappastorie – Primi lettori</t>
        </is>
      </c>
      <c r="E285" s="14" t="inlineStr">
        <is>
          <t>primi lettori</t>
        </is>
      </c>
      <c r="F285" s="14" t="inlineStr">
        <is>
          <t>Prime letture (6-8)</t>
        </is>
      </c>
      <c r="G285" s="14" t="inlineStr">
        <is>
          <t>Narrativa</t>
        </is>
      </c>
      <c r="H285" s="14" t="inlineStr"/>
      <c r="I285" s="14" t="inlineStr">
        <is>
          <t>No</t>
        </is>
      </c>
      <c r="J285" s="14" t="inlineStr">
        <is>
          <t>Collana</t>
        </is>
      </c>
      <c r="K285" s="14" t="inlineStr">
        <is>
          <t>prime letture, narrativa</t>
        </is>
      </c>
      <c r="L285" s="14" t="inlineStr">
        <is>
          <t>Catalogo Terre di Mezzo 1° semestre 2026, p. 49 (ISBN 9791259962522)</t>
        </is>
      </c>
      <c r="M285" s="16" t="n">
        <v>14</v>
      </c>
      <c r="N285" s="14" t="inlineStr">
        <is>
          <t>Catalogo Terre di Mezzo 1° semestre 2026</t>
        </is>
      </c>
      <c r="O285" s="16">
        <f>IF(ISNUMBER(M285),ROUND(M285*(1-Condizioni!$B$2),2),"")</f>
        <v/>
      </c>
      <c r="P285" s="17" t="inlineStr">
        <is>
          <t>No</t>
        </is>
      </c>
    </row>
    <row r="286">
      <c r="A286" s="14" t="inlineStr">
        <is>
          <t>Terre di Mezzo</t>
        </is>
      </c>
      <c r="B286" s="14" t="inlineStr">
        <is>
          <t>Zouk. un sortilegio di troppo</t>
        </is>
      </c>
      <c r="C286" s="14" t="inlineStr">
        <is>
          <t>Serge Bloch, Nicolas Hubesch</t>
        </is>
      </c>
      <c r="D286" s="14" t="inlineStr">
        <is>
          <t>L'Acchiappastorie – Primi lettori</t>
        </is>
      </c>
      <c r="E286" s="14" t="inlineStr">
        <is>
          <t>primi lettori</t>
        </is>
      </c>
      <c r="F286" s="14" t="inlineStr">
        <is>
          <t>Prime letture (6-8)</t>
        </is>
      </c>
      <c r="G286" s="14" t="inlineStr">
        <is>
          <t>Narrativa</t>
        </is>
      </c>
      <c r="H286" s="14" t="inlineStr"/>
      <c r="I286" s="14" t="inlineStr">
        <is>
          <t>No</t>
        </is>
      </c>
      <c r="J286" s="14" t="inlineStr">
        <is>
          <t>Collana</t>
        </is>
      </c>
      <c r="K286" s="14" t="inlineStr">
        <is>
          <t>prime letture, narrativa</t>
        </is>
      </c>
      <c r="L286" s="14" t="inlineStr">
        <is>
          <t>Catalogo Terre di Mezzo 1° semestre 2026, p. 49 (ISBN 9791259962515)</t>
        </is>
      </c>
      <c r="M286" s="16" t="n">
        <v>14</v>
      </c>
      <c r="N286" s="14" t="inlineStr">
        <is>
          <t>Catalogo Terre di Mezzo 1° semestre 2026</t>
        </is>
      </c>
      <c r="O286" s="16">
        <f>IF(ISNUMBER(M286),ROUND(M286*(1-Condizioni!$B$2),2),"")</f>
        <v/>
      </c>
      <c r="P286" s="17" t="inlineStr">
        <is>
          <t>No</t>
        </is>
      </c>
    </row>
    <row r="287">
      <c r="A287" s="14" t="inlineStr">
        <is>
          <t>Terre di Mezzo</t>
        </is>
      </c>
      <c r="B287" s="14" t="inlineStr">
        <is>
          <t>Zouk. una magica principessa</t>
        </is>
      </c>
      <c r="C287" s="14" t="inlineStr">
        <is>
          <t>Serge Bloch, Nicolas Hubesch</t>
        </is>
      </c>
      <c r="D287" s="14" t="inlineStr">
        <is>
          <t>L'Acchiappastorie – Primi lettori</t>
        </is>
      </c>
      <c r="E287" s="14" t="inlineStr">
        <is>
          <t>primi lettori</t>
        </is>
      </c>
      <c r="F287" s="14" t="inlineStr">
        <is>
          <t>Prime letture (6-8)</t>
        </is>
      </c>
      <c r="G287" s="14" t="inlineStr">
        <is>
          <t>Narrativa</t>
        </is>
      </c>
      <c r="H287" s="14" t="inlineStr"/>
      <c r="I287" s="14" t="inlineStr">
        <is>
          <t>No</t>
        </is>
      </c>
      <c r="J287" s="14" t="inlineStr">
        <is>
          <t>Collana</t>
        </is>
      </c>
      <c r="K287" s="14" t="inlineStr">
        <is>
          <t>prime letture, narrativa</t>
        </is>
      </c>
      <c r="L287" s="14" t="inlineStr">
        <is>
          <t>Catalogo Terre di Mezzo 1° semestre 2026, p. 49 (ISBN 9791259964434)</t>
        </is>
      </c>
      <c r="M287" s="16" t="n">
        <v>14</v>
      </c>
      <c r="N287" s="14" t="inlineStr">
        <is>
          <t>Catalogo Terre di Mezzo 1° semestre 2026</t>
        </is>
      </c>
      <c r="O287" s="16">
        <f>IF(ISNUMBER(M287),ROUND(M287*(1-Condizioni!$B$2),2),"")</f>
        <v/>
      </c>
      <c r="P287" s="17" t="inlineStr">
        <is>
          <t>No</t>
        </is>
      </c>
    </row>
    <row r="288">
      <c r="A288" s="14" t="inlineStr">
        <is>
          <t>Terre di Mezzo</t>
        </is>
      </c>
      <c r="B288" s="14" t="inlineStr">
        <is>
          <t>Agenzia di viaggi Stranimondi</t>
        </is>
      </c>
      <c r="C288" s="14" t="inlineStr">
        <is>
          <t>L.D. Lapinski</t>
        </is>
      </c>
      <c r="D288" s="14" t="inlineStr">
        <is>
          <t>L'Acchiappastorie – Giovani lettori</t>
        </is>
      </c>
      <c r="E288" s="14" t="inlineStr">
        <is>
          <t>giovani lettori</t>
        </is>
      </c>
      <c r="F288" s="14" t="inlineStr">
        <is>
          <t>Scuola media (11-13)</t>
        </is>
      </c>
      <c r="G288" s="14" t="inlineStr">
        <is>
          <t>Romanzo</t>
        </is>
      </c>
      <c r="H288" s="14" t="inlineStr"/>
      <c r="I288" s="14" t="inlineStr">
        <is>
          <t>No</t>
        </is>
      </c>
      <c r="J288" s="14" t="inlineStr">
        <is>
          <t>Collana</t>
        </is>
      </c>
      <c r="K288" s="14" t="inlineStr">
        <is>
          <t>prima/seconda/terza media, romanzo, narrativa</t>
        </is>
      </c>
      <c r="L288" s="14" t="inlineStr">
        <is>
          <t>Catalogo Terre di Mezzo 1° semestre 2026, p. 67 (ISBN 9791259960856)</t>
        </is>
      </c>
      <c r="M288" s="16" t="n">
        <v>16</v>
      </c>
      <c r="N288" s="14" t="inlineStr">
        <is>
          <t>Catalogo Terre di Mezzo 1° semestre 2026</t>
        </is>
      </c>
      <c r="O288" s="16">
        <f>IF(ISNUMBER(M288),ROUND(M288*(1-Condizioni!$B$2),2),"")</f>
        <v/>
      </c>
      <c r="P288" s="17" t="inlineStr">
        <is>
          <t>No</t>
        </is>
      </c>
    </row>
    <row r="289">
      <c r="A289" s="14" t="inlineStr">
        <is>
          <t>Terre di Mezzo</t>
        </is>
      </c>
      <c r="B289" s="14" t="inlineStr">
        <is>
          <t>Ai confini dell’oceano</t>
        </is>
      </c>
      <c r="C289" s="14" t="inlineStr">
        <is>
          <t>AGENZIA DI VIAGGI STRANIMONDI.</t>
        </is>
      </c>
      <c r="D289" s="14" t="inlineStr">
        <is>
          <t>L'Acchiappastorie – Giovani lettori</t>
        </is>
      </c>
      <c r="E289" s="14" t="inlineStr">
        <is>
          <t>giovani lettori</t>
        </is>
      </c>
      <c r="F289" s="14" t="inlineStr">
        <is>
          <t>Scuola media (11-13)</t>
        </is>
      </c>
      <c r="G289" s="14" t="inlineStr">
        <is>
          <t>Romanzo</t>
        </is>
      </c>
      <c r="H289" s="14" t="inlineStr"/>
      <c r="I289" s="14" t="inlineStr">
        <is>
          <t>No</t>
        </is>
      </c>
      <c r="J289" s="14" t="inlineStr">
        <is>
          <t>Collana</t>
        </is>
      </c>
      <c r="K289" s="14" t="inlineStr">
        <is>
          <t>prima/seconda/terza media, romanzo, narrativa</t>
        </is>
      </c>
      <c r="L289" s="14" t="inlineStr">
        <is>
          <t>Catalogo Terre di Mezzo 1° semestre 2026, p. 67 (ISBN 9791259960900)</t>
        </is>
      </c>
      <c r="M289" s="16" t="n">
        <v>16</v>
      </c>
      <c r="N289" s="14" t="inlineStr">
        <is>
          <t>Catalogo Terre di Mezzo 1° semestre 2026</t>
        </is>
      </c>
      <c r="O289" s="16">
        <f>IF(ISNUMBER(M289),ROUND(M289*(1-Condizioni!$B$2),2),"")</f>
        <v/>
      </c>
      <c r="P289" s="17" t="inlineStr">
        <is>
          <t>No</t>
        </is>
      </c>
    </row>
    <row r="290">
      <c r="A290" s="14" t="inlineStr">
        <is>
          <t>Terre di Mezzo</t>
        </is>
      </c>
      <c r="B290" s="14" t="inlineStr">
        <is>
          <t>Al di là del fiume</t>
        </is>
      </c>
      <c r="C290" s="14" t="inlineStr">
        <is>
          <t>Giuseppe Ferrario</t>
        </is>
      </c>
      <c r="D290" s="14" t="inlineStr">
        <is>
          <t>L'Acchiappastorie – I Tascabili</t>
        </is>
      </c>
      <c r="E290" s="14" t="inlineStr">
        <is>
          <t>tascabili</t>
        </is>
      </c>
      <c r="F290" s="14" t="inlineStr">
        <is>
          <t>Scuola media (11-13)</t>
        </is>
      </c>
      <c r="G290" s="14" t="inlineStr">
        <is>
          <t>Narrativa</t>
        </is>
      </c>
      <c r="H290" s="14" t="inlineStr"/>
      <c r="I290" s="14" t="inlineStr">
        <is>
          <t>No</t>
        </is>
      </c>
      <c r="J290" s="14" t="inlineStr">
        <is>
          <t>Collana</t>
        </is>
      </c>
      <c r="K290" s="14" t="inlineStr">
        <is>
          <t>prima/seconda/terza media, narrativa</t>
        </is>
      </c>
      <c r="L290" s="14" t="inlineStr">
        <is>
          <t>Catalogo Terre di Mezzo 1° semestre 2026, p. 73 (ISBN 9791259961990)</t>
        </is>
      </c>
      <c r="M290" s="16" t="n">
        <v>22</v>
      </c>
      <c r="N290" s="14" t="inlineStr">
        <is>
          <t>Catalogo Terre di Mezzo 1° semestre 2026</t>
        </is>
      </c>
      <c r="O290" s="16">
        <f>IF(ISNUMBER(M290),ROUND(M290*(1-Condizioni!$B$2),2),"")</f>
        <v/>
      </c>
      <c r="P290" s="17" t="inlineStr">
        <is>
          <t>No</t>
        </is>
      </c>
    </row>
    <row r="291">
      <c r="A291" s="14" t="inlineStr">
        <is>
          <t>Terre di Mezzo</t>
        </is>
      </c>
      <c r="B291" s="14" t="inlineStr">
        <is>
          <t>Con una pistola alla tempia</t>
        </is>
      </c>
      <c r="C291" s="14" t="inlineStr">
        <is>
          <t>Francesco “Kento” Carlo</t>
        </is>
      </c>
      <c r="D291" s="14" t="inlineStr">
        <is>
          <t>L'Acchiappastorie – Giovani lettori</t>
        </is>
      </c>
      <c r="E291" s="14" t="inlineStr">
        <is>
          <t>giovani lettori</t>
        </is>
      </c>
      <c r="F291" s="14" t="inlineStr">
        <is>
          <t>Scuola media (11-13)</t>
        </is>
      </c>
      <c r="G291" s="14" t="inlineStr">
        <is>
          <t>Romanzo</t>
        </is>
      </c>
      <c r="H291" s="14" t="inlineStr"/>
      <c r="I291" s="14" t="inlineStr">
        <is>
          <t>No</t>
        </is>
      </c>
      <c r="J291" s="14" t="inlineStr">
        <is>
          <t>Collana</t>
        </is>
      </c>
      <c r="K291" s="14" t="inlineStr">
        <is>
          <t>prima/seconda/terza media, romanzo, narrativa</t>
        </is>
      </c>
      <c r="L291" s="14" t="inlineStr">
        <is>
          <t>Catalogo Terre di Mezzo 1° semestre 2026, p. 64 (ISBN 9791259962881)</t>
        </is>
      </c>
      <c r="M291" s="16" t="n">
        <v>15</v>
      </c>
      <c r="N291" s="14" t="inlineStr">
        <is>
          <t>Catalogo Terre di Mezzo 1° semestre 2026</t>
        </is>
      </c>
      <c r="O291" s="16">
        <f>IF(ISNUMBER(M291),ROUND(M291*(1-Condizioni!$B$2),2),"")</f>
        <v/>
      </c>
      <c r="P291" s="17" t="inlineStr">
        <is>
          <t>Sì</t>
        </is>
      </c>
    </row>
    <row r="292">
      <c r="A292" s="14" t="inlineStr">
        <is>
          <t>Terre di Mezzo</t>
        </is>
      </c>
      <c r="B292" s="14" t="inlineStr">
        <is>
          <t>Dalla fattoria degli orrori</t>
        </is>
      </c>
      <c r="C292" s="14" t="inlineStr">
        <is>
          <t>BILLY ZAMPACORTA E LA ROCAMBOLESCA FUGA</t>
        </is>
      </c>
      <c r="D292" s="14" t="inlineStr">
        <is>
          <t>L'Acchiappastorie – Giovani lettori</t>
        </is>
      </c>
      <c r="E292" s="14" t="inlineStr">
        <is>
          <t>giovani lettori</t>
        </is>
      </c>
      <c r="F292" s="14" t="inlineStr">
        <is>
          <t>Scuola media (11-13)</t>
        </is>
      </c>
      <c r="G292" s="14" t="inlineStr">
        <is>
          <t>Romanzo</t>
        </is>
      </c>
      <c r="H292" s="14" t="inlineStr"/>
      <c r="I292" s="14" t="inlineStr">
        <is>
          <t>No</t>
        </is>
      </c>
      <c r="J292" s="14" t="inlineStr">
        <is>
          <t>Collana</t>
        </is>
      </c>
      <c r="K292" s="14" t="inlineStr">
        <is>
          <t>prima/seconda/terza media, romanzo, narrativa</t>
        </is>
      </c>
      <c r="L292" s="14" t="inlineStr">
        <is>
          <t>Catalogo Terre di Mezzo 1° semestre 2026, p. 69 (ISBN 9788861895737)</t>
        </is>
      </c>
      <c r="M292" s="16" t="n">
        <v>14</v>
      </c>
      <c r="N292" s="14" t="inlineStr">
        <is>
          <t>Catalogo Terre di Mezzo 1° semestre 2026</t>
        </is>
      </c>
      <c r="O292" s="16">
        <f>IF(ISNUMBER(M292),ROUND(M292*(1-Condizioni!$B$2),2),"")</f>
        <v/>
      </c>
      <c r="P292" s="17" t="inlineStr">
        <is>
          <t>No</t>
        </is>
      </c>
    </row>
    <row r="293">
      <c r="A293" s="14" t="inlineStr">
        <is>
          <t>Terre di Mezzo</t>
        </is>
      </c>
      <c r="B293" s="14" t="inlineStr">
        <is>
          <t>Due gemelle troppo diverse</t>
        </is>
      </c>
      <c r="C293" s="14" t="inlineStr">
        <is>
          <t>Kathryn Siebel, Júlia Sardà</t>
        </is>
      </c>
      <c r="D293" s="14" t="inlineStr">
        <is>
          <t>L'Acchiappastorie – Giovani lettori</t>
        </is>
      </c>
      <c r="E293" s="14" t="inlineStr">
        <is>
          <t>giovani lettori</t>
        </is>
      </c>
      <c r="F293" s="14" t="inlineStr">
        <is>
          <t>Scuola media (11-13)</t>
        </is>
      </c>
      <c r="G293" s="14" t="inlineStr">
        <is>
          <t>Romanzo</t>
        </is>
      </c>
      <c r="H293" s="14" t="inlineStr"/>
      <c r="I293" s="14" t="inlineStr">
        <is>
          <t>No</t>
        </is>
      </c>
      <c r="J293" s="14" t="inlineStr">
        <is>
          <t>Collana</t>
        </is>
      </c>
      <c r="K293" s="14" t="inlineStr">
        <is>
          <t>prima/seconda/terza media, romanzo, narrativa</t>
        </is>
      </c>
      <c r="L293" s="14" t="inlineStr">
        <is>
          <t>Catalogo Terre di Mezzo 1° semestre 2026, p. 67 (ISBN 9788861896345)</t>
        </is>
      </c>
      <c r="M293" s="16" t="n">
        <v>14</v>
      </c>
      <c r="N293" s="14" t="inlineStr">
        <is>
          <t>Catalogo Terre di Mezzo 1° semestre 2026</t>
        </is>
      </c>
      <c r="O293" s="16">
        <f>IF(ISNUMBER(M293),ROUND(M293*(1-Condizioni!$B$2),2),"")</f>
        <v/>
      </c>
      <c r="P293" s="17" t="inlineStr">
        <is>
          <t>No</t>
        </is>
      </c>
    </row>
    <row r="294">
      <c r="A294" s="14" t="inlineStr">
        <is>
          <t>Terre di Mezzo</t>
        </is>
      </c>
      <c r="B294" s="14" t="inlineStr">
        <is>
          <t>Froggy</t>
        </is>
      </c>
      <c r="C294" s="14" t="inlineStr">
        <is>
          <t>Paige Walshe</t>
        </is>
      </c>
      <c r="D294" s="14" t="inlineStr">
        <is>
          <t>L'Acchiappastorie – I Tascabili</t>
        </is>
      </c>
      <c r="E294" s="14" t="inlineStr">
        <is>
          <t>tascabili</t>
        </is>
      </c>
      <c r="F294" s="14" t="inlineStr">
        <is>
          <t>Scuola media (11-13)</t>
        </is>
      </c>
      <c r="G294" s="14" t="inlineStr">
        <is>
          <t>Narrativa</t>
        </is>
      </c>
      <c r="H294" s="14" t="inlineStr"/>
      <c r="I294" s="14" t="inlineStr">
        <is>
          <t>No</t>
        </is>
      </c>
      <c r="J294" s="14" t="inlineStr">
        <is>
          <t>Collana</t>
        </is>
      </c>
      <c r="K294" s="14" t="inlineStr">
        <is>
          <t>prima/seconda/terza media, narrativa</t>
        </is>
      </c>
      <c r="L294" s="14" t="inlineStr">
        <is>
          <t>Catalogo Terre di Mezzo 1° semestre 2026, p. 73 (ISBN 9791259963536)</t>
        </is>
      </c>
      <c r="M294" s="16" t="n">
        <v>14</v>
      </c>
      <c r="N294" s="14" t="inlineStr">
        <is>
          <t>Catalogo Terre di Mezzo 1° semestre 2026</t>
        </is>
      </c>
      <c r="O294" s="16">
        <f>IF(ISNUMBER(M294),ROUND(M294*(1-Condizioni!$B$2),2),"")</f>
        <v/>
      </c>
      <c r="P294" s="17" t="inlineStr">
        <is>
          <t>No</t>
        </is>
      </c>
    </row>
    <row r="295">
      <c r="A295" s="14" t="inlineStr">
        <is>
          <t>Terre di Mezzo</t>
        </is>
      </c>
      <c r="B295" s="14" t="inlineStr">
        <is>
          <t>Gli amici di Flora Salamander</t>
        </is>
      </c>
      <c r="C295" s="14" t="inlineStr">
        <is>
          <t>Noora Kunnas, Teemu Juhani</t>
        </is>
      </c>
      <c r="D295" s="14" t="inlineStr">
        <is>
          <t>L'Acchiappastorie – Giovani lettori</t>
        </is>
      </c>
      <c r="E295" s="14" t="inlineStr">
        <is>
          <t>giovani lettori</t>
        </is>
      </c>
      <c r="F295" s="14" t="inlineStr">
        <is>
          <t>Scuola media (11-13)</t>
        </is>
      </c>
      <c r="G295" s="14" t="inlineStr">
        <is>
          <t>Romanzo</t>
        </is>
      </c>
      <c r="H295" s="14" t="inlineStr"/>
      <c r="I295" s="14" t="inlineStr">
        <is>
          <t>No</t>
        </is>
      </c>
      <c r="J295" s="14" t="inlineStr">
        <is>
          <t>Collana</t>
        </is>
      </c>
      <c r="K295" s="14" t="inlineStr">
        <is>
          <t>prima/seconda/terza media, romanzo, narrativa</t>
        </is>
      </c>
      <c r="L295" s="14" t="inlineStr">
        <is>
          <t>Catalogo Terre di Mezzo 1° semestre 2026, p. 68 (ISBN 9791259960764)</t>
        </is>
      </c>
      <c r="M295" s="16" t="n">
        <v>12.9</v>
      </c>
      <c r="N295" s="14" t="inlineStr">
        <is>
          <t>Catalogo Terre di Mezzo 1° semestre 2026</t>
        </is>
      </c>
      <c r="O295" s="16">
        <f>IF(ISNUMBER(M295),ROUND(M295*(1-Condizioni!$B$2),2),"")</f>
        <v/>
      </c>
      <c r="P295" s="17" t="inlineStr">
        <is>
          <t>No</t>
        </is>
      </c>
    </row>
    <row r="296">
      <c r="A296" s="14" t="inlineStr">
        <is>
          <t>Terre di Mezzo</t>
        </is>
      </c>
      <c r="B296" s="14" t="inlineStr">
        <is>
          <t>Gli s.t.r.a.m.b.i. (società segreta)</t>
        </is>
      </c>
      <c r="C296" s="14" t="inlineStr">
        <is>
          <t>Pedro Mañas, Julia Cejas</t>
        </is>
      </c>
      <c r="D296" s="14" t="inlineStr">
        <is>
          <t>L'Acchiappastorie – Giovani lettori</t>
        </is>
      </c>
      <c r="E296" s="14" t="inlineStr">
        <is>
          <t>giovani lettori</t>
        </is>
      </c>
      <c r="F296" s="14" t="inlineStr">
        <is>
          <t>Scuola media (11-13)</t>
        </is>
      </c>
      <c r="G296" s="14" t="inlineStr">
        <is>
          <t>Romanzo</t>
        </is>
      </c>
      <c r="H296" s="14" t="inlineStr"/>
      <c r="I296" s="14" t="inlineStr">
        <is>
          <t>No</t>
        </is>
      </c>
      <c r="J296" s="14" t="inlineStr">
        <is>
          <t>Collana</t>
        </is>
      </c>
      <c r="K296" s="14" t="inlineStr">
        <is>
          <t>prima/seconda/terza media, romanzo, narrativa</t>
        </is>
      </c>
      <c r="L296" s="14" t="inlineStr">
        <is>
          <t>Catalogo Terre di Mezzo 1° semestre 2026, p. 69 (ISBN 9791259960849)</t>
        </is>
      </c>
      <c r="M296" s="16" t="n">
        <v>14</v>
      </c>
      <c r="N296" s="14" t="inlineStr">
        <is>
          <t>Catalogo Terre di Mezzo 1° semestre 2026</t>
        </is>
      </c>
      <c r="O296" s="16">
        <f>IF(ISNUMBER(M296),ROUND(M296*(1-Condizioni!$B$2),2),"")</f>
        <v/>
      </c>
      <c r="P296" s="17" t="inlineStr">
        <is>
          <t>No</t>
        </is>
      </c>
    </row>
    <row r="297">
      <c r="A297" s="14" t="inlineStr">
        <is>
          <t>Terre di Mezzo</t>
        </is>
      </c>
      <c r="B297" s="14" t="inlineStr">
        <is>
          <t>I combinadisastri</t>
        </is>
      </c>
      <c r="C297" s="14" t="inlineStr">
        <is>
          <t>Rico Hop, Bas Schel</t>
        </is>
      </c>
      <c r="D297" s="14" t="inlineStr">
        <is>
          <t>L'Acchiappastorie – Giovani lettori</t>
        </is>
      </c>
      <c r="E297" s="14" t="inlineStr">
        <is>
          <t>giovani lettori</t>
        </is>
      </c>
      <c r="F297" s="14" t="inlineStr">
        <is>
          <t>Scuola media (11-13)</t>
        </is>
      </c>
      <c r="G297" s="14" t="inlineStr">
        <is>
          <t>Romanzo</t>
        </is>
      </c>
      <c r="H297" s="14" t="inlineStr"/>
      <c r="I297" s="14" t="inlineStr">
        <is>
          <t>No</t>
        </is>
      </c>
      <c r="J297" s="14" t="inlineStr">
        <is>
          <t>Collana</t>
        </is>
      </c>
      <c r="K297" s="14" t="inlineStr">
        <is>
          <t>prima/seconda/terza media, romanzo, narrativa</t>
        </is>
      </c>
      <c r="L297" s="14" t="inlineStr">
        <is>
          <t>Catalogo Terre di Mezzo 1° semestre 2026, p. 68 (ISBN 9791259960979)</t>
        </is>
      </c>
      <c r="M297" s="16" t="n">
        <v>16</v>
      </c>
      <c r="N297" s="14" t="inlineStr">
        <is>
          <t>Catalogo Terre di Mezzo 1° semestre 2026</t>
        </is>
      </c>
      <c r="O297" s="16">
        <f>IF(ISNUMBER(M297),ROUND(M297*(1-Condizioni!$B$2),2),"")</f>
        <v/>
      </c>
      <c r="P297" s="17" t="inlineStr">
        <is>
          <t>No</t>
        </is>
      </c>
    </row>
    <row r="298">
      <c r="A298" s="14" t="inlineStr">
        <is>
          <t>Terre di Mezzo</t>
        </is>
      </c>
      <c r="B298" s="14" t="inlineStr">
        <is>
          <t>I dieci giorni dello scolapasta</t>
        </is>
      </c>
      <c r="C298" s="14" t="inlineStr">
        <is>
          <t>Daniele Movarelli, Angelo Mozzillo, Alice Coppini</t>
        </is>
      </c>
      <c r="D298" s="14" t="inlineStr">
        <is>
          <t>L'Acchiappastorie – I Tascabili</t>
        </is>
      </c>
      <c r="E298" s="14" t="inlineStr">
        <is>
          <t>tascabili</t>
        </is>
      </c>
      <c r="F298" s="14" t="inlineStr">
        <is>
          <t>Scuola media (11-13)</t>
        </is>
      </c>
      <c r="G298" s="14" t="inlineStr">
        <is>
          <t>Narrativa</t>
        </is>
      </c>
      <c r="H298" s="14" t="inlineStr"/>
      <c r="I298" s="14" t="inlineStr">
        <is>
          <t>No</t>
        </is>
      </c>
      <c r="J298" s="14" t="inlineStr">
        <is>
          <t>Collana</t>
        </is>
      </c>
      <c r="K298" s="14" t="inlineStr">
        <is>
          <t>prima/seconda/terza media, narrativa</t>
        </is>
      </c>
      <c r="L298" s="14" t="inlineStr">
        <is>
          <t>Catalogo Terre di Mezzo 1° semestre 2026, p. 71 (ISBN 9791259964052)</t>
        </is>
      </c>
      <c r="M298" s="16" t="n">
        <v>11</v>
      </c>
      <c r="N298" s="14" t="inlineStr">
        <is>
          <t>Catalogo Terre di Mezzo 1° semestre 2026</t>
        </is>
      </c>
      <c r="O298" s="16">
        <f>IF(ISNUMBER(M298),ROUND(M298*(1-Condizioni!$B$2),2),"")</f>
        <v/>
      </c>
      <c r="P298" s="17" t="inlineStr">
        <is>
          <t>No</t>
        </is>
      </c>
    </row>
    <row r="299">
      <c r="A299" s="14" t="inlineStr">
        <is>
          <t>Terre di Mezzo</t>
        </is>
      </c>
      <c r="B299" s="14" t="inlineStr">
        <is>
          <t>Il Faro alla fine del mondo</t>
        </is>
      </c>
      <c r="C299" s="14" t="inlineStr">
        <is>
          <t>Amy Sparks</t>
        </is>
      </c>
      <c r="D299" s="14" t="inlineStr">
        <is>
          <t>L'Acchiappastorie – Giovani lettori</t>
        </is>
      </c>
      <c r="E299" s="14" t="inlineStr">
        <is>
          <t>giovani lettori</t>
        </is>
      </c>
      <c r="F299" s="14" t="inlineStr">
        <is>
          <t>Scuola media (11-13)</t>
        </is>
      </c>
      <c r="G299" s="14" t="inlineStr">
        <is>
          <t>Romanzo</t>
        </is>
      </c>
      <c r="H299" s="14" t="inlineStr"/>
      <c r="I299" s="14" t="inlineStr">
        <is>
          <t>No</t>
        </is>
      </c>
      <c r="J299" s="14" t="inlineStr">
        <is>
          <t>Collana</t>
        </is>
      </c>
      <c r="K299" s="14" t="inlineStr">
        <is>
          <t>prima/seconda/terza media, romanzo, narrativa</t>
        </is>
      </c>
      <c r="L299" s="14" t="inlineStr">
        <is>
          <t>Catalogo Terre di Mezzo 1° semestre 2026, p. 66 (ISBN 9791259962706)</t>
        </is>
      </c>
      <c r="M299" s="16" t="n">
        <v>14</v>
      </c>
      <c r="N299" s="14" t="inlineStr">
        <is>
          <t>Catalogo Terre di Mezzo 1° semestre 2026</t>
        </is>
      </c>
      <c r="O299" s="16">
        <f>IF(ISNUMBER(M299),ROUND(M299*(1-Condizioni!$B$2),2),"")</f>
        <v/>
      </c>
      <c r="P299" s="17" t="inlineStr">
        <is>
          <t>No</t>
        </is>
      </c>
    </row>
    <row r="300">
      <c r="A300" s="14" t="inlineStr">
        <is>
          <t>Terre di Mezzo</t>
        </is>
      </c>
      <c r="B300" s="14" t="inlineStr">
        <is>
          <t>Il Primo gatto nello spazio e la zuppa avvelenata</t>
        </is>
      </c>
      <c r="C300" s="14" t="inlineStr">
        <is>
          <t>Mac Barnett, Shawn Harris</t>
        </is>
      </c>
      <c r="D300" s="14" t="inlineStr">
        <is>
          <t>L'Acchiappastorie – I Tascabili</t>
        </is>
      </c>
      <c r="E300" s="14" t="inlineStr">
        <is>
          <t>tascabili</t>
        </is>
      </c>
      <c r="F300" s="14" t="inlineStr">
        <is>
          <t>Scuola media (11-13)</t>
        </is>
      </c>
      <c r="G300" s="14" t="inlineStr">
        <is>
          <t>Narrativa</t>
        </is>
      </c>
      <c r="H300" s="14" t="inlineStr"/>
      <c r="I300" s="14" t="inlineStr">
        <is>
          <t>No</t>
        </is>
      </c>
      <c r="J300" s="14" t="inlineStr">
        <is>
          <t>Collana</t>
        </is>
      </c>
      <c r="K300" s="14" t="inlineStr">
        <is>
          <t>prima/seconda/terza media, narrativa</t>
        </is>
      </c>
      <c r="L300" s="14" t="inlineStr">
        <is>
          <t>Catalogo Terre di Mezzo 1° semestre 2026, p. 74 (ISBN 9791259963727)</t>
        </is>
      </c>
      <c r="M300" s="16" t="n">
        <v>18</v>
      </c>
      <c r="N300" s="14" t="inlineStr">
        <is>
          <t>Catalogo Terre di Mezzo 1° semestre 2026</t>
        </is>
      </c>
      <c r="O300" s="16">
        <f>IF(ISNUMBER(M300),ROUND(M300*(1-Condizioni!$B$2),2),"")</f>
        <v/>
      </c>
      <c r="P300" s="17" t="inlineStr">
        <is>
          <t>No</t>
        </is>
      </c>
    </row>
    <row r="301">
      <c r="A301" s="14" t="inlineStr">
        <is>
          <t>Terre di Mezzo</t>
        </is>
      </c>
      <c r="B301" s="14" t="inlineStr">
        <is>
          <t>Il Primo gatto nello spazio mangia la pizza!</t>
        </is>
      </c>
      <c r="C301" s="14" t="inlineStr">
        <is>
          <t>Mac Barnett, Shawn Harris</t>
        </is>
      </c>
      <c r="D301" s="14" t="inlineStr">
        <is>
          <t>L'Acchiappastorie – I Tascabili</t>
        </is>
      </c>
      <c r="E301" s="14" t="inlineStr">
        <is>
          <t>tascabili</t>
        </is>
      </c>
      <c r="F301" s="14" t="inlineStr">
        <is>
          <t>Scuola media (11-13)</t>
        </is>
      </c>
      <c r="G301" s="14" t="inlineStr">
        <is>
          <t>Narrativa</t>
        </is>
      </c>
      <c r="H301" s="14" t="inlineStr"/>
      <c r="I301" s="14" t="inlineStr">
        <is>
          <t>No</t>
        </is>
      </c>
      <c r="J301" s="14" t="inlineStr">
        <is>
          <t>Collana</t>
        </is>
      </c>
      <c r="K301" s="14" t="inlineStr">
        <is>
          <t>prima/seconda/terza media, narrativa</t>
        </is>
      </c>
      <c r="L301" s="14" t="inlineStr">
        <is>
          <t>Catalogo Terre di Mezzo 1° semestre 2026, p. 74 (ISBN 9791259962591)</t>
        </is>
      </c>
      <c r="M301" s="16" t="n">
        <v>18</v>
      </c>
      <c r="N301" s="14" t="inlineStr">
        <is>
          <t>Catalogo Terre di Mezzo 1° semestre 2026</t>
        </is>
      </c>
      <c r="O301" s="16">
        <f>IF(ISNUMBER(M301),ROUND(M301*(1-Condizioni!$B$2),2),"")</f>
        <v/>
      </c>
      <c r="P301" s="17" t="inlineStr">
        <is>
          <t>No</t>
        </is>
      </c>
    </row>
    <row r="302">
      <c r="A302" s="14" t="inlineStr">
        <is>
          <t>Terre di Mezzo</t>
        </is>
      </c>
      <c r="B302" s="14" t="inlineStr">
        <is>
          <t>Il bosco dei ragazzi senza colore</t>
        </is>
      </c>
      <c r="C302" s="14" t="inlineStr">
        <is>
          <t>Samuel J. Halpin, Hannah Peck</t>
        </is>
      </c>
      <c r="D302" s="14" t="inlineStr">
        <is>
          <t>L'Acchiappastorie – I Tascabili</t>
        </is>
      </c>
      <c r="E302" s="14" t="inlineStr">
        <is>
          <t>tascabili</t>
        </is>
      </c>
      <c r="F302" s="14" t="inlineStr">
        <is>
          <t>Scuola media (11-13)</t>
        </is>
      </c>
      <c r="G302" s="14" t="inlineStr">
        <is>
          <t>Narrativa</t>
        </is>
      </c>
      <c r="H302" s="14" t="inlineStr"/>
      <c r="I302" s="14" t="inlineStr">
        <is>
          <t>No</t>
        </is>
      </c>
      <c r="J302" s="14" t="inlineStr">
        <is>
          <t>Collana</t>
        </is>
      </c>
      <c r="K302" s="14" t="inlineStr">
        <is>
          <t>prima/seconda/terza media, narrativa</t>
        </is>
      </c>
      <c r="L302" s="14" t="inlineStr">
        <is>
          <t>Catalogo Terre di Mezzo 1° semestre 2026, p. 71 (ISBN 9791259961600)</t>
        </is>
      </c>
      <c r="M302" s="16" t="n">
        <v>11</v>
      </c>
      <c r="N302" s="14" t="inlineStr">
        <is>
          <t>Catalogo Terre di Mezzo 1° semestre 2026</t>
        </is>
      </c>
      <c r="O302" s="16">
        <f>IF(ISNUMBER(M302),ROUND(M302*(1-Condizioni!$B$2),2),"")</f>
        <v/>
      </c>
      <c r="P302" s="17" t="inlineStr">
        <is>
          <t>No</t>
        </is>
      </c>
    </row>
    <row r="303">
      <c r="A303" s="14" t="inlineStr">
        <is>
          <t>Terre di Mezzo</t>
        </is>
      </c>
      <c r="B303" s="14" t="inlineStr">
        <is>
          <t>Il bosco dei ragazzi senza colore</t>
        </is>
      </c>
      <c r="C303" s="14" t="inlineStr">
        <is>
          <t>Samuel J. Halpin, Hannah Peck</t>
        </is>
      </c>
      <c r="D303" s="14" t="inlineStr">
        <is>
          <t>L'Acchiappastorie – I Tascabili</t>
        </is>
      </c>
      <c r="E303" s="14" t="inlineStr">
        <is>
          <t>tascabili</t>
        </is>
      </c>
      <c r="F303" s="14" t="inlineStr">
        <is>
          <t>Scuola media (11-13)</t>
        </is>
      </c>
      <c r="G303" s="14" t="inlineStr">
        <is>
          <t>Narrativa</t>
        </is>
      </c>
      <c r="H303" s="14" t="inlineStr"/>
      <c r="I303" s="14" t="inlineStr">
        <is>
          <t>No</t>
        </is>
      </c>
      <c r="J303" s="14" t="inlineStr">
        <is>
          <t>Collana</t>
        </is>
      </c>
      <c r="K303" s="14" t="inlineStr">
        <is>
          <t>prima/seconda/terza media, narrativa</t>
        </is>
      </c>
      <c r="L303" s="14" t="inlineStr">
        <is>
          <t>Catalogo Terre di Mezzo 1° semestre 2026, p. 71 (ISBN 9788861897601)</t>
        </is>
      </c>
      <c r="M303" s="16" t="n">
        <v>11</v>
      </c>
      <c r="N303" s="14" t="inlineStr">
        <is>
          <t>Catalogo Terre di Mezzo 1° semestre 2026</t>
        </is>
      </c>
      <c r="O303" s="16">
        <f>IF(ISNUMBER(M303),ROUND(M303*(1-Condizioni!$B$2),2),"")</f>
        <v/>
      </c>
      <c r="P303" s="17" t="inlineStr">
        <is>
          <t>No</t>
        </is>
      </c>
    </row>
    <row r="304">
      <c r="A304" s="14" t="inlineStr">
        <is>
          <t>Terre di Mezzo</t>
        </is>
      </c>
      <c r="B304" s="14" t="inlineStr">
        <is>
          <t>Il crimine impossibile</t>
        </is>
      </c>
      <c r="C304" s="14" t="inlineStr">
        <is>
          <t>NOME IN CODICE MAC B.</t>
        </is>
      </c>
      <c r="D304" s="14" t="inlineStr">
        <is>
          <t>L'Acchiappastorie – I Tascabili</t>
        </is>
      </c>
      <c r="E304" s="14" t="inlineStr">
        <is>
          <t>tascabili</t>
        </is>
      </c>
      <c r="F304" s="14" t="inlineStr">
        <is>
          <t>Scuola media (11-13)</t>
        </is>
      </c>
      <c r="G304" s="14" t="inlineStr">
        <is>
          <t>Narrativa</t>
        </is>
      </c>
      <c r="H304" s="14" t="inlineStr"/>
      <c r="I304" s="14" t="inlineStr">
        <is>
          <t>No</t>
        </is>
      </c>
      <c r="J304" s="14" t="inlineStr">
        <is>
          <t>Collana</t>
        </is>
      </c>
      <c r="K304" s="14" t="inlineStr">
        <is>
          <t>prima/seconda/terza media, narrativa</t>
        </is>
      </c>
      <c r="L304" s="14" t="inlineStr">
        <is>
          <t>Catalogo Terre di Mezzo 1° semestre 2026, p. 72 (ISBN 9791259963390)</t>
        </is>
      </c>
      <c r="M304" s="16" t="n">
        <v>11</v>
      </c>
      <c r="N304" s="14" t="inlineStr">
        <is>
          <t>Catalogo Terre di Mezzo 1° semestre 2026</t>
        </is>
      </c>
      <c r="O304" s="16">
        <f>IF(ISNUMBER(M304),ROUND(M304*(1-Condizioni!$B$2),2),"")</f>
        <v/>
      </c>
      <c r="P304" s="17" t="inlineStr">
        <is>
          <t>No</t>
        </is>
      </c>
    </row>
    <row r="305">
      <c r="A305" s="14" t="inlineStr">
        <is>
          <t>Terre di Mezzo</t>
        </is>
      </c>
      <c r="B305" s="14" t="inlineStr">
        <is>
          <t>Il ministero delle Soluzioni</t>
        </is>
      </c>
      <c r="C305" s="14" t="inlineStr">
        <is>
          <t>Sanne Rooseboom, Mark Janssen</t>
        </is>
      </c>
      <c r="D305" s="14" t="inlineStr">
        <is>
          <t>L'Acchiappastorie – Giovani lettori</t>
        </is>
      </c>
      <c r="E305" s="14" t="inlineStr">
        <is>
          <t>giovani lettori</t>
        </is>
      </c>
      <c r="F305" s="14" t="inlineStr">
        <is>
          <t>Scuola media (11-13)</t>
        </is>
      </c>
      <c r="G305" s="14" t="inlineStr">
        <is>
          <t>Romanzo</t>
        </is>
      </c>
      <c r="H305" s="14" t="inlineStr"/>
      <c r="I305" s="14" t="inlineStr">
        <is>
          <t>No</t>
        </is>
      </c>
      <c r="J305" s="14" t="inlineStr">
        <is>
          <t>Collana</t>
        </is>
      </c>
      <c r="K305" s="14" t="inlineStr">
        <is>
          <t>prima/seconda/terza media, romanzo, narrativa</t>
        </is>
      </c>
      <c r="L305" s="14" t="inlineStr">
        <is>
          <t>Catalogo Terre di Mezzo 1° semestre 2026, p. 68 (ISBN 9791259960733)</t>
        </is>
      </c>
      <c r="M305" s="16" t="n">
        <v>14</v>
      </c>
      <c r="N305" s="14" t="inlineStr">
        <is>
          <t>Catalogo Terre di Mezzo 1° semestre 2026</t>
        </is>
      </c>
      <c r="O305" s="16">
        <f>IF(ISNUMBER(M305),ROUND(M305*(1-Condizioni!$B$2),2),"")</f>
        <v/>
      </c>
      <c r="P305" s="17" t="inlineStr">
        <is>
          <t>Sì</t>
        </is>
      </c>
    </row>
    <row r="306">
      <c r="A306" s="14" t="inlineStr">
        <is>
          <t>Terre di Mezzo</t>
        </is>
      </c>
      <c r="B306" s="14" t="inlineStr">
        <is>
          <t>Il mistero dei corvi scomparsi</t>
        </is>
      </c>
      <c r="C306" s="14" t="inlineStr">
        <is>
          <t>NOME IN CODICE MAC B.</t>
        </is>
      </c>
      <c r="D306" s="14" t="inlineStr">
        <is>
          <t>L'Acchiappastorie – I Tascabili</t>
        </is>
      </c>
      <c r="E306" s="14" t="inlineStr">
        <is>
          <t>tascabili</t>
        </is>
      </c>
      <c r="F306" s="14" t="inlineStr">
        <is>
          <t>Scuola media (11-13)</t>
        </is>
      </c>
      <c r="G306" s="14" t="inlineStr">
        <is>
          <t>Narrativa</t>
        </is>
      </c>
      <c r="H306" s="14" t="inlineStr"/>
      <c r="I306" s="14" t="inlineStr">
        <is>
          <t>No</t>
        </is>
      </c>
      <c r="J306" s="14" t="inlineStr">
        <is>
          <t>Collana</t>
        </is>
      </c>
      <c r="K306" s="14" t="inlineStr">
        <is>
          <t>prima/seconda/terza media, narrativa</t>
        </is>
      </c>
      <c r="L306" s="14" t="inlineStr">
        <is>
          <t>Catalogo Terre di Mezzo 1° semestre 2026, p. 72 (ISBN 9791259963406)</t>
        </is>
      </c>
      <c r="M306" s="16" t="n">
        <v>11</v>
      </c>
      <c r="N306" s="14" t="inlineStr">
        <is>
          <t>Catalogo Terre di Mezzo 1° semestre 2026</t>
        </is>
      </c>
      <c r="O306" s="16">
        <f>IF(ISNUMBER(M306),ROUND(M306*(1-Condizioni!$B$2),2),"")</f>
        <v/>
      </c>
      <c r="P306" s="17" t="inlineStr">
        <is>
          <t>No</t>
        </is>
      </c>
    </row>
    <row r="307">
      <c r="A307" s="14" t="inlineStr">
        <is>
          <t>Terre di Mezzo</t>
        </is>
      </c>
      <c r="B307" s="14" t="inlineStr">
        <is>
          <t>Il sapore dei desideri</t>
        </is>
      </c>
      <c r="C307" s="14" t="inlineStr">
        <is>
          <t>Sally Gardner, Nick Maland</t>
        </is>
      </c>
      <c r="D307" s="14" t="inlineStr">
        <is>
          <t>L'Acchiappastorie – Giovani lettori</t>
        </is>
      </c>
      <c r="E307" s="14" t="inlineStr">
        <is>
          <t>giovani lettori</t>
        </is>
      </c>
      <c r="F307" s="14" t="inlineStr">
        <is>
          <t>Scuola media (11-13)</t>
        </is>
      </c>
      <c r="G307" s="14" t="inlineStr">
        <is>
          <t>Romanzo</t>
        </is>
      </c>
      <c r="H307" s="14" t="inlineStr"/>
      <c r="I307" s="14" t="inlineStr">
        <is>
          <t>No</t>
        </is>
      </c>
      <c r="J307" s="14" t="inlineStr">
        <is>
          <t>Collana</t>
        </is>
      </c>
      <c r="K307" s="14" t="inlineStr">
        <is>
          <t>prima/seconda/terza media, romanzo, narrativa</t>
        </is>
      </c>
      <c r="L307" s="14" t="inlineStr">
        <is>
          <t>Catalogo Terre di Mezzo 1° semestre 2026, p. 69 (ISBN 9788861897014)</t>
        </is>
      </c>
      <c r="M307" s="16" t="n">
        <v>11</v>
      </c>
      <c r="N307" s="14" t="inlineStr">
        <is>
          <t>Catalogo Terre di Mezzo 1° semestre 2026</t>
        </is>
      </c>
      <c r="O307" s="16">
        <f>IF(ISNUMBER(M307),ROUND(M307*(1-Condizioni!$B$2),2),"")</f>
        <v/>
      </c>
      <c r="P307" s="17" t="inlineStr">
        <is>
          <t>No</t>
        </is>
      </c>
    </row>
    <row r="308">
      <c r="A308" s="14" t="inlineStr">
        <is>
          <t>Terre di Mezzo</t>
        </is>
      </c>
      <c r="B308" s="14" t="inlineStr">
        <is>
          <t>Il sapore dei desideri</t>
        </is>
      </c>
      <c r="C308" s="14" t="inlineStr">
        <is>
          <t>Sally Gardner, Nick Maland</t>
        </is>
      </c>
      <c r="D308" s="14" t="inlineStr">
        <is>
          <t>L'Acchiappastorie – I Tascabili</t>
        </is>
      </c>
      <c r="E308" s="14" t="inlineStr">
        <is>
          <t>tascabili</t>
        </is>
      </c>
      <c r="F308" s="14" t="inlineStr">
        <is>
          <t>Scuola media (11-13)</t>
        </is>
      </c>
      <c r="G308" s="14" t="inlineStr">
        <is>
          <t>Narrativa</t>
        </is>
      </c>
      <c r="H308" s="14" t="inlineStr"/>
      <c r="I308" s="14" t="inlineStr">
        <is>
          <t>No</t>
        </is>
      </c>
      <c r="J308" s="14" t="inlineStr">
        <is>
          <t>Collana</t>
        </is>
      </c>
      <c r="K308" s="14" t="inlineStr">
        <is>
          <t>prima/seconda/terza media, narrativa</t>
        </is>
      </c>
      <c r="L308" s="14" t="inlineStr">
        <is>
          <t>Catalogo Terre di Mezzo 1° semestre 2026, p. 71 (ISBN 9791259962225)</t>
        </is>
      </c>
      <c r="M308" s="16" t="n">
        <v>11</v>
      </c>
      <c r="N308" s="14" t="inlineStr">
        <is>
          <t>Catalogo Terre di Mezzo 1° semestre 2026</t>
        </is>
      </c>
      <c r="O308" s="16">
        <f>IF(ISNUMBER(M308),ROUND(M308*(1-Condizioni!$B$2),2),"")</f>
        <v/>
      </c>
      <c r="P308" s="17" t="inlineStr">
        <is>
          <t>No</t>
        </is>
      </c>
    </row>
    <row r="309">
      <c r="A309" s="14" t="inlineStr">
        <is>
          <t>Terre di Mezzo</t>
        </is>
      </c>
      <c r="B309" s="14" t="inlineStr">
        <is>
          <t>Il segreto della Creatura</t>
        </is>
      </c>
      <c r="C309" s="14" t="inlineStr">
        <is>
          <t>Giorgia Guarienti, Mariachiara Di Giorgio</t>
        </is>
      </c>
      <c r="D309" s="14" t="inlineStr">
        <is>
          <t>L'Acchiappastorie – Giovani lettori</t>
        </is>
      </c>
      <c r="E309" s="14" t="inlineStr">
        <is>
          <t>giovani lettori</t>
        </is>
      </c>
      <c r="F309" s="14" t="inlineStr">
        <is>
          <t>Scuola media (11-13)</t>
        </is>
      </c>
      <c r="G309" s="14" t="inlineStr">
        <is>
          <t>Romanzo</t>
        </is>
      </c>
      <c r="H309" s="14" t="inlineStr"/>
      <c r="I309" s="14" t="inlineStr">
        <is>
          <t>No</t>
        </is>
      </c>
      <c r="J309" s="14" t="inlineStr">
        <is>
          <t>Collana</t>
        </is>
      </c>
      <c r="K309" s="14" t="inlineStr">
        <is>
          <t>prima/seconda/terza media, romanzo, narrativa</t>
        </is>
      </c>
      <c r="L309" s="14" t="inlineStr">
        <is>
          <t>Catalogo Terre di Mezzo 1° semestre 2026, p. 66 (ISBN 9791259961105)</t>
        </is>
      </c>
      <c r="M309" s="16" t="n">
        <v>14</v>
      </c>
      <c r="N309" s="14" t="inlineStr">
        <is>
          <t>Catalogo Terre di Mezzo 1° semestre 2026</t>
        </is>
      </c>
      <c r="O309" s="16">
        <f>IF(ISNUMBER(M309),ROUND(M309*(1-Condizioni!$B$2),2),"")</f>
        <v/>
      </c>
      <c r="P309" s="17" t="inlineStr">
        <is>
          <t>No</t>
        </is>
      </c>
    </row>
    <row r="310">
      <c r="A310" s="14" t="inlineStr">
        <is>
          <t>Terre di Mezzo</t>
        </is>
      </c>
      <c r="B310" s="14" t="inlineStr">
        <is>
          <t>Il segreto di Ella</t>
        </is>
      </c>
      <c r="C310" s="14" t="inlineStr">
        <is>
          <t>Cath Howe</t>
        </is>
      </c>
      <c r="D310" s="14" t="inlineStr">
        <is>
          <t>L'Acchiappastorie – I Tascabili</t>
        </is>
      </c>
      <c r="E310" s="14" t="inlineStr">
        <is>
          <t>tascabili</t>
        </is>
      </c>
      <c r="F310" s="14" t="inlineStr">
        <is>
          <t>Scuola media (11-13)</t>
        </is>
      </c>
      <c r="G310" s="14" t="inlineStr">
        <is>
          <t>Narrativa</t>
        </is>
      </c>
      <c r="H310" s="14" t="inlineStr"/>
      <c r="I310" s="14" t="inlineStr">
        <is>
          <t>No</t>
        </is>
      </c>
      <c r="J310" s="14" t="inlineStr">
        <is>
          <t>Collana</t>
        </is>
      </c>
      <c r="K310" s="14" t="inlineStr">
        <is>
          <t>prima/seconda/terza media, narrativa</t>
        </is>
      </c>
      <c r="L310" s="14" t="inlineStr">
        <is>
          <t>Catalogo Terre di Mezzo 1° semestre 2026, p. 71 (ISBN 9791259962218)</t>
        </is>
      </c>
      <c r="M310" s="16" t="n">
        <v>11</v>
      </c>
      <c r="N310" s="14" t="inlineStr">
        <is>
          <t>Catalogo Terre di Mezzo 1° semestre 2026</t>
        </is>
      </c>
      <c r="O310" s="16">
        <f>IF(ISNUMBER(M310),ROUND(M310*(1-Condizioni!$B$2),2),"")</f>
        <v/>
      </c>
      <c r="P310" s="17" t="inlineStr">
        <is>
          <t>Sì</t>
        </is>
      </c>
    </row>
    <row r="311">
      <c r="A311" s="14" t="inlineStr">
        <is>
          <t>Terre di Mezzo</t>
        </is>
      </c>
      <c r="B311" s="14" t="inlineStr">
        <is>
          <t>In missione per la regina</t>
        </is>
      </c>
      <c r="C311" s="14" t="inlineStr">
        <is>
          <t>NOME IN CODICE MAC B.</t>
        </is>
      </c>
      <c r="D311" s="14" t="inlineStr">
        <is>
          <t>L'Acchiappastorie – I Tascabili</t>
        </is>
      </c>
      <c r="E311" s="14" t="inlineStr">
        <is>
          <t>tascabili</t>
        </is>
      </c>
      <c r="F311" s="14" t="inlineStr">
        <is>
          <t>Scuola media (11-13)</t>
        </is>
      </c>
      <c r="G311" s="14" t="inlineStr">
        <is>
          <t>Narrativa</t>
        </is>
      </c>
      <c r="H311" s="14" t="inlineStr"/>
      <c r="I311" s="14" t="inlineStr">
        <is>
          <t>No</t>
        </is>
      </c>
      <c r="J311" s="14" t="inlineStr">
        <is>
          <t>Collana</t>
        </is>
      </c>
      <c r="K311" s="14" t="inlineStr">
        <is>
          <t>prima/seconda/terza media, narrativa</t>
        </is>
      </c>
      <c r="L311" s="14" t="inlineStr">
        <is>
          <t>Catalogo Terre di Mezzo 1° semestre 2026, p. 72 (ISBN 9791259963383)</t>
        </is>
      </c>
      <c r="M311" s="16" t="n">
        <v>11</v>
      </c>
      <c r="N311" s="14" t="inlineStr">
        <is>
          <t>Catalogo Terre di Mezzo 1° semestre 2026</t>
        </is>
      </c>
      <c r="O311" s="16">
        <f>IF(ISNUMBER(M311),ROUND(M311*(1-Condizioni!$B$2),2),"")</f>
        <v/>
      </c>
      <c r="P311" s="17" t="inlineStr">
        <is>
          <t>No</t>
        </is>
      </c>
    </row>
    <row r="312">
      <c r="A312" s="14" t="inlineStr">
        <is>
          <t>Terre di Mezzo</t>
        </is>
      </c>
      <c r="B312" s="14" t="inlineStr">
        <is>
          <t>In nome di Chris</t>
        </is>
      </c>
      <c r="C312" s="14" t="inlineStr">
        <is>
          <t>Claudine Desmarteau</t>
        </is>
      </c>
      <c r="D312" s="14" t="inlineStr">
        <is>
          <t>L'Acchiappastorie – Giovani lettori</t>
        </is>
      </c>
      <c r="E312" s="14" t="inlineStr">
        <is>
          <t>giovani lettori</t>
        </is>
      </c>
      <c r="F312" s="14" t="inlineStr">
        <is>
          <t>Scuola media (11-13)</t>
        </is>
      </c>
      <c r="G312" s="14" t="inlineStr">
        <is>
          <t>Romanzo</t>
        </is>
      </c>
      <c r="H312" s="14" t="inlineStr"/>
      <c r="I312" s="14" t="inlineStr">
        <is>
          <t>No</t>
        </is>
      </c>
      <c r="J312" s="14" t="inlineStr">
        <is>
          <t>Collana</t>
        </is>
      </c>
      <c r="K312" s="14" t="inlineStr">
        <is>
          <t>prima/seconda/terza media, romanzo, narrativa</t>
        </is>
      </c>
      <c r="L312" s="14" t="inlineStr">
        <is>
          <t>Catalogo Terre di Mezzo 1° semestre 2026, p. 65 (ISBN 9791259962737)</t>
        </is>
      </c>
      <c r="M312" s="16" t="n">
        <v>16</v>
      </c>
      <c r="N312" s="14" t="inlineStr">
        <is>
          <t>Catalogo Terre di Mezzo 1° semestre 2026</t>
        </is>
      </c>
      <c r="O312" s="16">
        <f>IF(ISNUMBER(M312),ROUND(M312*(1-Condizioni!$B$2),2),"")</f>
        <v/>
      </c>
      <c r="P312" s="17" t="inlineStr">
        <is>
          <t>No</t>
        </is>
      </c>
    </row>
    <row r="313">
      <c r="A313" s="14" t="inlineStr">
        <is>
          <t>Terre di Mezzo</t>
        </is>
      </c>
      <c r="B313" s="14" t="inlineStr">
        <is>
          <t>Jane negli abissi</t>
        </is>
      </c>
      <c r="C313" s="14" t="inlineStr">
        <is>
          <t>Vera Brosgol</t>
        </is>
      </c>
      <c r="D313" s="14" t="inlineStr">
        <is>
          <t>L'Acchiappastorie – I Tascabili</t>
        </is>
      </c>
      <c r="E313" s="14" t="inlineStr">
        <is>
          <t>tascabili</t>
        </is>
      </c>
      <c r="F313" s="14" t="inlineStr">
        <is>
          <t>Scuola media (11-13)</t>
        </is>
      </c>
      <c r="G313" s="14" t="inlineStr">
        <is>
          <t>Narrativa</t>
        </is>
      </c>
      <c r="H313" s="14" t="inlineStr"/>
      <c r="I313" s="14" t="inlineStr">
        <is>
          <t>No</t>
        </is>
      </c>
      <c r="J313" s="14" t="inlineStr">
        <is>
          <t>Collana</t>
        </is>
      </c>
      <c r="K313" s="14" t="inlineStr">
        <is>
          <t>prima/seconda/terza media, narrativa</t>
        </is>
      </c>
      <c r="L313" s="14" t="inlineStr">
        <is>
          <t>Catalogo Terre di Mezzo 1° semestre 2026, p. 73 (ISBN 9791259964236)</t>
        </is>
      </c>
      <c r="M313" s="16" t="n">
        <v>19</v>
      </c>
      <c r="N313" s="14" t="inlineStr">
        <is>
          <t>Catalogo Terre di Mezzo 1° semestre 2026</t>
        </is>
      </c>
      <c r="O313" s="16">
        <f>IF(ISNUMBER(M313),ROUND(M313*(1-Condizioni!$B$2),2),"")</f>
        <v/>
      </c>
      <c r="P313" s="17" t="inlineStr">
        <is>
          <t>Sì</t>
        </is>
      </c>
    </row>
    <row r="314">
      <c r="A314" s="14" t="inlineStr">
        <is>
          <t>Terre di Mezzo</t>
        </is>
      </c>
      <c r="B314" s="14" t="inlineStr">
        <is>
          <t>La Torre alla fine del tempo</t>
        </is>
      </c>
      <c r="C314" s="14" t="inlineStr">
        <is>
          <t>Amy Sparkes</t>
        </is>
      </c>
      <c r="D314" s="14" t="inlineStr">
        <is>
          <t>L'Acchiappastorie – Giovani lettori</t>
        </is>
      </c>
      <c r="E314" s="14" t="inlineStr">
        <is>
          <t>giovani lettori</t>
        </is>
      </c>
      <c r="F314" s="14" t="inlineStr">
        <is>
          <t>Scuola media (11-13)</t>
        </is>
      </c>
      <c r="G314" s="14" t="inlineStr">
        <is>
          <t>Romanzo</t>
        </is>
      </c>
      <c r="H314" s="14" t="inlineStr"/>
      <c r="I314" s="14" t="inlineStr">
        <is>
          <t>No</t>
        </is>
      </c>
      <c r="J314" s="14" t="inlineStr">
        <is>
          <t>Collana</t>
        </is>
      </c>
      <c r="K314" s="14" t="inlineStr">
        <is>
          <t>prima/seconda/terza media, romanzo, narrativa</t>
        </is>
      </c>
      <c r="L314" s="14" t="inlineStr">
        <is>
          <t>Catalogo Terre di Mezzo 1° semestre 2026, p. 66 (ISBN 9791259960245)</t>
        </is>
      </c>
      <c r="M314" s="16" t="n">
        <v>14</v>
      </c>
      <c r="N314" s="14" t="inlineStr">
        <is>
          <t>Catalogo Terre di Mezzo 1° semestre 2026</t>
        </is>
      </c>
      <c r="O314" s="16">
        <f>IF(ISNUMBER(M314),ROUND(M314*(1-Condizioni!$B$2),2),"")</f>
        <v/>
      </c>
      <c r="P314" s="17" t="inlineStr">
        <is>
          <t>No</t>
        </is>
      </c>
    </row>
    <row r="315">
      <c r="A315" s="14" t="inlineStr">
        <is>
          <t>Terre di Mezzo</t>
        </is>
      </c>
      <c r="B315" s="14" t="inlineStr">
        <is>
          <t>La bicicletta dei sogni</t>
        </is>
      </c>
      <c r="C315" s="14" t="inlineStr">
        <is>
          <t>Nina Dashevskaya</t>
        </is>
      </c>
      <c r="D315" s="14" t="inlineStr">
        <is>
          <t>L'Acchiappastorie – Giovani lettori</t>
        </is>
      </c>
      <c r="E315" s="14" t="inlineStr">
        <is>
          <t>giovani lettori</t>
        </is>
      </c>
      <c r="F315" s="14" t="inlineStr">
        <is>
          <t>Scuola media (11-13)</t>
        </is>
      </c>
      <c r="G315" s="14" t="inlineStr">
        <is>
          <t>Romanzo</t>
        </is>
      </c>
      <c r="H315" s="14" t="inlineStr"/>
      <c r="I315" s="14" t="inlineStr">
        <is>
          <t>No</t>
        </is>
      </c>
      <c r="J315" s="14" t="inlineStr">
        <is>
          <t>Collana</t>
        </is>
      </c>
      <c r="K315" s="14" t="inlineStr">
        <is>
          <t>prima/seconda/terza media, romanzo, narrativa</t>
        </is>
      </c>
      <c r="L315" s="14" t="inlineStr">
        <is>
          <t>Catalogo Terre di Mezzo 1° semestre 2026, p. 67 (ISBN 9791259962065)</t>
        </is>
      </c>
      <c r="M315" s="16" t="n">
        <v>14</v>
      </c>
      <c r="N315" s="14" t="inlineStr">
        <is>
          <t>Catalogo Terre di Mezzo 1° semestre 2026</t>
        </is>
      </c>
      <c r="O315" s="16">
        <f>IF(ISNUMBER(M315),ROUND(M315*(1-Condizioni!$B$2),2),"")</f>
        <v/>
      </c>
      <c r="P315" s="17" t="inlineStr">
        <is>
          <t>No</t>
        </is>
      </c>
    </row>
    <row r="316">
      <c r="A316" s="14" t="inlineStr">
        <is>
          <t>Terre di Mezzo</t>
        </is>
      </c>
      <c r="B316" s="14" t="inlineStr">
        <is>
          <t>La casa ai confini della magia</t>
        </is>
      </c>
      <c r="C316" s="14" t="inlineStr">
        <is>
          <t>Amy Sparkes</t>
        </is>
      </c>
      <c r="D316" s="14" t="inlineStr">
        <is>
          <t>L'Acchiappastorie – Giovani lettori</t>
        </is>
      </c>
      <c r="E316" s="14" t="inlineStr">
        <is>
          <t>giovani lettori</t>
        </is>
      </c>
      <c r="F316" s="14" t="inlineStr">
        <is>
          <t>Scuola media (11-13)</t>
        </is>
      </c>
      <c r="G316" s="14" t="inlineStr">
        <is>
          <t>Romanzo</t>
        </is>
      </c>
      <c r="H316" s="14" t="inlineStr"/>
      <c r="I316" s="14" t="inlineStr">
        <is>
          <t>No</t>
        </is>
      </c>
      <c r="J316" s="14" t="inlineStr">
        <is>
          <t>Collana</t>
        </is>
      </c>
      <c r="K316" s="14" t="inlineStr">
        <is>
          <t>prima/seconda/terza media, romanzo, narrativa</t>
        </is>
      </c>
      <c r="L316" s="14" t="inlineStr">
        <is>
          <t>Catalogo Terre di Mezzo 1° semestre 2026, p. 66 (ISBN 9788861896406)</t>
        </is>
      </c>
      <c r="M316" s="16" t="n">
        <v>14</v>
      </c>
      <c r="N316" s="14" t="inlineStr">
        <is>
          <t>Catalogo Terre di Mezzo 1° semestre 2026</t>
        </is>
      </c>
      <c r="O316" s="16">
        <f>IF(ISNUMBER(M316),ROUND(M316*(1-Condizioni!$B$2),2),"")</f>
        <v/>
      </c>
      <c r="P316" s="17" t="inlineStr">
        <is>
          <t>No</t>
        </is>
      </c>
    </row>
    <row r="317">
      <c r="A317" s="14" t="inlineStr">
        <is>
          <t>Terre di Mezzo</t>
        </is>
      </c>
      <c r="B317" s="14" t="inlineStr">
        <is>
          <t>La gara dei cavallucci</t>
        </is>
      </c>
      <c r="C317" s="14" t="inlineStr">
        <is>
          <t>Sally Gardner, Nick Maland</t>
        </is>
      </c>
      <c r="D317" s="14" t="inlineStr">
        <is>
          <t>L'Acchiappastorie – Giovani lettori</t>
        </is>
      </c>
      <c r="E317" s="14" t="inlineStr">
        <is>
          <t>giovani lettori</t>
        </is>
      </c>
      <c r="F317" s="14" t="inlineStr">
        <is>
          <t>Scuola media (11-13)</t>
        </is>
      </c>
      <c r="G317" s="14" t="inlineStr">
        <is>
          <t>Romanzo</t>
        </is>
      </c>
      <c r="H317" s="14" t="inlineStr"/>
      <c r="I317" s="14" t="inlineStr">
        <is>
          <t>No</t>
        </is>
      </c>
      <c r="J317" s="14" t="inlineStr">
        <is>
          <t>Collana</t>
        </is>
      </c>
      <c r="K317" s="14" t="inlineStr">
        <is>
          <t>prima/seconda/terza media, romanzo, narrativa</t>
        </is>
      </c>
      <c r="L317" s="14" t="inlineStr">
        <is>
          <t>Catalogo Terre di Mezzo 1° semestre 2026, p. 69 (ISBN 9788861897076)</t>
        </is>
      </c>
      <c r="M317" s="16" t="n">
        <v>14</v>
      </c>
      <c r="N317" s="14" t="inlineStr">
        <is>
          <t>Catalogo Terre di Mezzo 1° semestre 2026</t>
        </is>
      </c>
      <c r="O317" s="16">
        <f>IF(ISNUMBER(M317),ROUND(M317*(1-Condizioni!$B$2),2),"")</f>
        <v/>
      </c>
      <c r="P317" s="17" t="inlineStr">
        <is>
          <t>No</t>
        </is>
      </c>
    </row>
    <row r="318">
      <c r="A318" s="14" t="inlineStr">
        <is>
          <t>Terre di Mezzo</t>
        </is>
      </c>
      <c r="B318" s="14" t="inlineStr">
        <is>
          <t>La libreria in fondo all’oltre</t>
        </is>
      </c>
      <c r="C318" s="14" t="inlineStr">
        <is>
          <t>Amy Sparkes</t>
        </is>
      </c>
      <c r="D318" s="14" t="inlineStr">
        <is>
          <t>L'Acchiappastorie – Giovani lettori</t>
        </is>
      </c>
      <c r="E318" s="14" t="inlineStr">
        <is>
          <t>giovani lettori</t>
        </is>
      </c>
      <c r="F318" s="14" t="inlineStr">
        <is>
          <t>Scuola media (11-13)</t>
        </is>
      </c>
      <c r="G318" s="14" t="inlineStr">
        <is>
          <t>Romanzo</t>
        </is>
      </c>
      <c r="H318" s="14" t="inlineStr"/>
      <c r="I318" s="14" t="inlineStr">
        <is>
          <t>No</t>
        </is>
      </c>
      <c r="J318" s="14" t="inlineStr">
        <is>
          <t>Collana</t>
        </is>
      </c>
      <c r="K318" s="14" t="inlineStr">
        <is>
          <t>prima/seconda/terza media, romanzo, narrativa</t>
        </is>
      </c>
      <c r="L318" s="14" t="inlineStr">
        <is>
          <t>Catalogo Terre di Mezzo 1° semestre 2026, p. 66 (ISBN 9791259960580)</t>
        </is>
      </c>
      <c r="M318" s="16" t="n">
        <v>14</v>
      </c>
      <c r="N318" s="14" t="inlineStr">
        <is>
          <t>Catalogo Terre di Mezzo 1° semestre 2026</t>
        </is>
      </c>
      <c r="O318" s="16">
        <f>IF(ISNUMBER(M318),ROUND(M318*(1-Condizioni!$B$2),2),"")</f>
        <v/>
      </c>
      <c r="P318" s="17" t="inlineStr">
        <is>
          <t>No</t>
        </is>
      </c>
    </row>
    <row r="319">
      <c r="A319" s="14" t="inlineStr">
        <is>
          <t>Terre di Mezzo</t>
        </is>
      </c>
      <c r="B319" s="14" t="inlineStr">
        <is>
          <t>La porta segreta</t>
        </is>
      </c>
      <c r="C319" s="14" t="inlineStr">
        <is>
          <t>Mac Barnett</t>
        </is>
      </c>
      <c r="D319" s="14" t="inlineStr">
        <is>
          <t>L'Acchiappastorie – I Tascabili</t>
        </is>
      </c>
      <c r="E319" s="14" t="inlineStr">
        <is>
          <t>tascabili</t>
        </is>
      </c>
      <c r="F319" s="14" t="inlineStr">
        <is>
          <t>Scuola media (11-13)</t>
        </is>
      </c>
      <c r="G319" s="14" t="inlineStr">
        <is>
          <t>Narrativa</t>
        </is>
      </c>
      <c r="H319" s="14" t="inlineStr"/>
      <c r="I319" s="14" t="inlineStr">
        <is>
          <t>No</t>
        </is>
      </c>
      <c r="J319" s="14" t="inlineStr">
        <is>
          <t>Collana</t>
        </is>
      </c>
      <c r="K319" s="14" t="inlineStr">
        <is>
          <t>prima/seconda/terza media, narrativa</t>
        </is>
      </c>
      <c r="L319" s="14" t="inlineStr">
        <is>
          <t>Catalogo Terre di Mezzo 1° semestre 2026, p. 75 (ISBN 9791259962119)</t>
        </is>
      </c>
      <c r="M319" s="16" t="n">
        <v>16</v>
      </c>
      <c r="N319" s="14" t="inlineStr">
        <is>
          <t>Catalogo Terre di Mezzo 1° semestre 2026</t>
        </is>
      </c>
      <c r="O319" s="16">
        <f>IF(ISNUMBER(M319),ROUND(M319*(1-Condizioni!$B$2),2),"")</f>
        <v/>
      </c>
      <c r="P319" s="17" t="inlineStr">
        <is>
          <t>No</t>
        </is>
      </c>
    </row>
    <row r="320">
      <c r="A320" s="14" t="inlineStr">
        <is>
          <t>Terre di Mezzo</t>
        </is>
      </c>
      <c r="B320" s="14" t="inlineStr">
        <is>
          <t>La vita segreta di Rebecca Paradise</t>
        </is>
      </c>
      <c r="C320" s="14" t="inlineStr">
        <is>
          <t>Pedro Mañas, Bea Tormo</t>
        </is>
      </c>
      <c r="D320" s="14" t="inlineStr">
        <is>
          <t>L'Acchiappastorie – Giovani lettori</t>
        </is>
      </c>
      <c r="E320" s="14" t="inlineStr">
        <is>
          <t>giovani lettori</t>
        </is>
      </c>
      <c r="F320" s="14" t="inlineStr">
        <is>
          <t>Scuola media (11-13)</t>
        </is>
      </c>
      <c r="G320" s="14" t="inlineStr">
        <is>
          <t>Romanzo</t>
        </is>
      </c>
      <c r="H320" s="14" t="inlineStr"/>
      <c r="I320" s="14" t="inlineStr">
        <is>
          <t>No</t>
        </is>
      </c>
      <c r="J320" s="14" t="inlineStr">
        <is>
          <t>Collana</t>
        </is>
      </c>
      <c r="K320" s="14" t="inlineStr">
        <is>
          <t>prima/seconda/terza media, romanzo, narrativa</t>
        </is>
      </c>
      <c r="L320" s="14" t="inlineStr">
        <is>
          <t>Catalogo Terre di Mezzo 1° semestre 2026, p. 68 (ISBN 9788861897632)</t>
        </is>
      </c>
      <c r="M320" s="16" t="n">
        <v>14</v>
      </c>
      <c r="N320" s="14" t="inlineStr">
        <is>
          <t>Catalogo Terre di Mezzo 1° semestre 2026</t>
        </is>
      </c>
      <c r="O320" s="16">
        <f>IF(ISNUMBER(M320),ROUND(M320*(1-Condizioni!$B$2),2),"")</f>
        <v/>
      </c>
      <c r="P320" s="17" t="inlineStr">
        <is>
          <t>No</t>
        </is>
      </c>
    </row>
    <row r="321">
      <c r="A321" s="14" t="inlineStr">
        <is>
          <t>Terre di Mezzo</t>
        </is>
      </c>
      <c r="B321" s="14" t="inlineStr">
        <is>
          <t>Le stelle secondo Clara</t>
        </is>
      </c>
      <c r="C321" s="14" t="inlineStr">
        <is>
          <t>Rachelle Delaney</t>
        </is>
      </c>
      <c r="D321" s="14" t="inlineStr">
        <is>
          <t>L'Acchiappastorie – Giovani lettori</t>
        </is>
      </c>
      <c r="E321" s="14" t="inlineStr">
        <is>
          <t>giovani lettori</t>
        </is>
      </c>
      <c r="F321" s="14" t="inlineStr">
        <is>
          <t>Scuola media (11-13)</t>
        </is>
      </c>
      <c r="G321" s="14" t="inlineStr">
        <is>
          <t>Romanzo</t>
        </is>
      </c>
      <c r="H321" s="14" t="inlineStr"/>
      <c r="I321" s="14" t="inlineStr">
        <is>
          <t>No</t>
        </is>
      </c>
      <c r="J321" s="14" t="inlineStr">
        <is>
          <t>Collana</t>
        </is>
      </c>
      <c r="K321" s="14" t="inlineStr">
        <is>
          <t>prima/seconda/terza media, romanzo, narrativa</t>
        </is>
      </c>
      <c r="L321" s="14" t="inlineStr">
        <is>
          <t>Catalogo Terre di Mezzo 1° semestre 2026, p. 66 (ISBN 9791259960672)</t>
        </is>
      </c>
      <c r="M321" s="16" t="n">
        <v>14</v>
      </c>
      <c r="N321" s="14" t="inlineStr">
        <is>
          <t>Catalogo Terre di Mezzo 1° semestre 2026</t>
        </is>
      </c>
      <c r="O321" s="16">
        <f>IF(ISNUMBER(M321),ROUND(M321*(1-Condizioni!$B$2),2),"")</f>
        <v/>
      </c>
      <c r="P321" s="17" t="inlineStr">
        <is>
          <t>No</t>
        </is>
      </c>
    </row>
    <row r="322">
      <c r="A322" s="14" t="inlineStr">
        <is>
          <t>Terre di Mezzo</t>
        </is>
      </c>
      <c r="B322" s="14" t="inlineStr">
        <is>
          <t>Lena e il segreto del sottomarino dimenticato</t>
        </is>
      </c>
      <c r="C322" s="14" t="inlineStr">
        <is>
          <t>Sanne Rooseboom</t>
        </is>
      </c>
      <c r="D322" s="14" t="inlineStr">
        <is>
          <t>L'Acchiappastorie – Giovani lettori</t>
        </is>
      </c>
      <c r="E322" s="14" t="inlineStr">
        <is>
          <t>giovani lettori</t>
        </is>
      </c>
      <c r="F322" s="14" t="inlineStr">
        <is>
          <t>Scuola media (11-13)</t>
        </is>
      </c>
      <c r="G322" s="14" t="inlineStr">
        <is>
          <t>Romanzo</t>
        </is>
      </c>
      <c r="H322" s="14" t="inlineStr"/>
      <c r="I322" s="14" t="inlineStr">
        <is>
          <t>No</t>
        </is>
      </c>
      <c r="J322" s="14" t="inlineStr">
        <is>
          <t>Collana</t>
        </is>
      </c>
      <c r="K322" s="14" t="inlineStr">
        <is>
          <t>prima/seconda/terza media, romanzo, narrativa</t>
        </is>
      </c>
      <c r="L322" s="14" t="inlineStr">
        <is>
          <t>Catalogo Terre di Mezzo 1° semestre 2026, p. 65 (ISBN 9791259962690)</t>
        </is>
      </c>
      <c r="M322" s="16" t="n">
        <v>16</v>
      </c>
      <c r="N322" s="14" t="inlineStr">
        <is>
          <t>Catalogo Terre di Mezzo 1° semestre 2026</t>
        </is>
      </c>
      <c r="O322" s="16">
        <f>IF(ISNUMBER(M322),ROUND(M322*(1-Condizioni!$B$2),2),"")</f>
        <v/>
      </c>
      <c r="P322" s="17" t="inlineStr">
        <is>
          <t>No</t>
        </is>
      </c>
    </row>
    <row r="323">
      <c r="A323" s="14" t="inlineStr">
        <is>
          <t>Terre di Mezzo</t>
        </is>
      </c>
      <c r="B323" s="14" t="inlineStr">
        <is>
          <t>L’amore sconosciuto</t>
        </is>
      </c>
      <c r="C323" s="14" t="inlineStr">
        <is>
          <t>Rebecca Stead</t>
        </is>
      </c>
      <c r="D323" s="14" t="inlineStr">
        <is>
          <t>L'Acchiappastorie – I Tascabili</t>
        </is>
      </c>
      <c r="E323" s="14" t="inlineStr">
        <is>
          <t>tascabili</t>
        </is>
      </c>
      <c r="F323" s="14" t="inlineStr">
        <is>
          <t>Scuola media (11-13)</t>
        </is>
      </c>
      <c r="G323" s="14" t="inlineStr">
        <is>
          <t>Narrativa</t>
        </is>
      </c>
      <c r="H323" s="14" t="inlineStr"/>
      <c r="I323" s="14" t="inlineStr">
        <is>
          <t>No</t>
        </is>
      </c>
      <c r="J323" s="14" t="inlineStr">
        <is>
          <t>Collana</t>
        </is>
      </c>
      <c r="K323" s="14" t="inlineStr">
        <is>
          <t>prima/seconda/terza media, narrativa</t>
        </is>
      </c>
      <c r="L323" s="14" t="inlineStr">
        <is>
          <t>Catalogo Terre di Mezzo 1° semestre 2026, p. 71 (ISBN 9791259961570)</t>
        </is>
      </c>
      <c r="M323" s="16" t="n">
        <v>11</v>
      </c>
      <c r="N323" s="14" t="inlineStr">
        <is>
          <t>Catalogo Terre di Mezzo 1° semestre 2026</t>
        </is>
      </c>
      <c r="O323" s="16">
        <f>IF(ISNUMBER(M323),ROUND(M323*(1-Condizioni!$B$2),2),"")</f>
        <v/>
      </c>
      <c r="P323" s="17" t="inlineStr">
        <is>
          <t>No</t>
        </is>
      </c>
    </row>
    <row r="324">
      <c r="A324" s="14" t="inlineStr">
        <is>
          <t>Terre di Mezzo</t>
        </is>
      </c>
      <c r="B324" s="14" t="inlineStr">
        <is>
          <t>L’amore sconosciuto</t>
        </is>
      </c>
      <c r="C324" s="14" t="inlineStr">
        <is>
          <t>Rebecca Stead</t>
        </is>
      </c>
      <c r="D324" s="14" t="inlineStr">
        <is>
          <t>L'Acchiappastorie – I Tascabili</t>
        </is>
      </c>
      <c r="E324" s="14" t="inlineStr">
        <is>
          <t>tascabili</t>
        </is>
      </c>
      <c r="F324" s="14" t="inlineStr">
        <is>
          <t>Scuola media (11-13)</t>
        </is>
      </c>
      <c r="G324" s="14" t="inlineStr">
        <is>
          <t>Narrativa</t>
        </is>
      </c>
      <c r="H324" s="14" t="inlineStr"/>
      <c r="I324" s="14" t="inlineStr">
        <is>
          <t>No</t>
        </is>
      </c>
      <c r="J324" s="14" t="inlineStr">
        <is>
          <t>Collana</t>
        </is>
      </c>
      <c r="K324" s="14" t="inlineStr">
        <is>
          <t>prima/seconda/terza media, narrativa</t>
        </is>
      </c>
      <c r="L324" s="14" t="inlineStr">
        <is>
          <t>Catalogo Terre di Mezzo 1° semestre 2026, p. 71 (ISBN 9788861895171)</t>
        </is>
      </c>
      <c r="M324" s="16" t="n">
        <v>11</v>
      </c>
      <c r="N324" s="14" t="inlineStr">
        <is>
          <t>Catalogo Terre di Mezzo 1° semestre 2026</t>
        </is>
      </c>
      <c r="O324" s="16">
        <f>IF(ISNUMBER(M324),ROUND(M324*(1-Condizioni!$B$2),2),"")</f>
        <v/>
      </c>
      <c r="P324" s="17" t="inlineStr">
        <is>
          <t>No</t>
        </is>
      </c>
    </row>
    <row r="325">
      <c r="A325" s="14" t="inlineStr">
        <is>
          <t>Terre di Mezzo</t>
        </is>
      </c>
      <c r="B325" s="14" t="inlineStr">
        <is>
          <t>L’unica via d’uscita</t>
        </is>
      </c>
      <c r="C325" s="14" t="inlineStr">
        <is>
          <t>Oskar Kroon</t>
        </is>
      </c>
      <c r="D325" s="14" t="inlineStr">
        <is>
          <t>L'Acchiappastorie – Giovani lettori</t>
        </is>
      </c>
      <c r="E325" s="14" t="inlineStr">
        <is>
          <t>giovani lettori</t>
        </is>
      </c>
      <c r="F325" s="14" t="inlineStr">
        <is>
          <t>Scuola media (11-13)</t>
        </is>
      </c>
      <c r="G325" s="14" t="inlineStr">
        <is>
          <t>Romanzo</t>
        </is>
      </c>
      <c r="H325" s="14" t="inlineStr"/>
      <c r="I325" s="14" t="inlineStr">
        <is>
          <t>No</t>
        </is>
      </c>
      <c r="J325" s="14" t="inlineStr">
        <is>
          <t>Collana</t>
        </is>
      </c>
      <c r="K325" s="14" t="inlineStr">
        <is>
          <t>prima/seconda/terza media, romanzo, narrativa</t>
        </is>
      </c>
      <c r="L325" s="14" t="inlineStr">
        <is>
          <t>Catalogo Terre di Mezzo 1° semestre 2026, p. 65 (ISBN 9791259962409)</t>
        </is>
      </c>
      <c r="M325" s="16" t="n">
        <v>14</v>
      </c>
      <c r="N325" s="14" t="inlineStr">
        <is>
          <t>Catalogo Terre di Mezzo 1° semestre 2026</t>
        </is>
      </c>
      <c r="O325" s="16">
        <f>IF(ISNUMBER(M325),ROUND(M325*(1-Condizioni!$B$2),2),"")</f>
        <v/>
      </c>
      <c r="P325" s="17" t="inlineStr">
        <is>
          <t>No</t>
        </is>
      </c>
    </row>
    <row r="326">
      <c r="A326" s="14" t="inlineStr">
        <is>
          <t>Terre di Mezzo</t>
        </is>
      </c>
      <c r="B326" s="14" t="inlineStr">
        <is>
          <t>Mitica Astrid</t>
        </is>
      </c>
      <c r="C326" s="14" t="inlineStr">
        <is>
          <t>Fabrice Parme</t>
        </is>
      </c>
      <c r="D326" s="14" t="inlineStr">
        <is>
          <t>L'Acchiappastorie – I Tascabili</t>
        </is>
      </c>
      <c r="E326" s="14" t="inlineStr">
        <is>
          <t>tascabili</t>
        </is>
      </c>
      <c r="F326" s="14" t="inlineStr">
        <is>
          <t>Scuola media (11-13)</t>
        </is>
      </c>
      <c r="G326" s="14" t="inlineStr">
        <is>
          <t>Narrativa</t>
        </is>
      </c>
      <c r="H326" s="14" t="inlineStr"/>
      <c r="I326" s="14" t="inlineStr">
        <is>
          <t>No</t>
        </is>
      </c>
      <c r="J326" s="14" t="inlineStr">
        <is>
          <t>Collana</t>
        </is>
      </c>
      <c r="K326" s="14" t="inlineStr">
        <is>
          <t>prima/seconda/terza media, narrativa</t>
        </is>
      </c>
      <c r="L326" s="14" t="inlineStr">
        <is>
          <t>Catalogo Terre di Mezzo 1° semestre 2026, p. 74 (ISBN 9791259962034)</t>
        </is>
      </c>
      <c r="M326" s="16" t="n">
        <v>14</v>
      </c>
      <c r="N326" s="14" t="inlineStr">
        <is>
          <t>Catalogo Terre di Mezzo 1° semestre 2026</t>
        </is>
      </c>
      <c r="O326" s="16">
        <f>IF(ISNUMBER(M326),ROUND(M326*(1-Condizioni!$B$2),2),"")</f>
        <v/>
      </c>
      <c r="P326" s="17" t="inlineStr">
        <is>
          <t>No</t>
        </is>
      </c>
    </row>
    <row r="327">
      <c r="A327" s="14" t="inlineStr">
        <is>
          <t>Terre di Mezzo</t>
        </is>
      </c>
      <c r="B327" s="14" t="inlineStr">
        <is>
          <t>Mitica Astrid</t>
        </is>
      </c>
      <c r="C327" s="14" t="inlineStr">
        <is>
          <t>Fabrice Parme</t>
        </is>
      </c>
      <c r="D327" s="14" t="inlineStr">
        <is>
          <t>L'Acchiappastorie – I Tascabili</t>
        </is>
      </c>
      <c r="E327" s="14" t="inlineStr">
        <is>
          <t>tascabili</t>
        </is>
      </c>
      <c r="F327" s="14" t="inlineStr">
        <is>
          <t>Scuola media (11-13)</t>
        </is>
      </c>
      <c r="G327" s="14" t="inlineStr">
        <is>
          <t>Narrativa</t>
        </is>
      </c>
      <c r="H327" s="14" t="inlineStr"/>
      <c r="I327" s="14" t="inlineStr">
        <is>
          <t>No</t>
        </is>
      </c>
      <c r="J327" s="14" t="inlineStr">
        <is>
          <t>Collana</t>
        </is>
      </c>
      <c r="K327" s="14" t="inlineStr">
        <is>
          <t>prima/seconda/terza media, narrativa</t>
        </is>
      </c>
      <c r="L327" s="14" t="inlineStr">
        <is>
          <t>Catalogo Terre di Mezzo 1° semestre 2026, p. 74 (ISBN 9791259962041)</t>
        </is>
      </c>
      <c r="M327" s="16" t="n">
        <v>14</v>
      </c>
      <c r="N327" s="14" t="inlineStr">
        <is>
          <t>Catalogo Terre di Mezzo 1° semestre 2026</t>
        </is>
      </c>
      <c r="O327" s="16">
        <f>IF(ISNUMBER(M327),ROUND(M327*(1-Condizioni!$B$2),2),"")</f>
        <v/>
      </c>
      <c r="P327" s="17" t="inlineStr">
        <is>
          <t>No</t>
        </is>
      </c>
    </row>
    <row r="328">
      <c r="A328" s="14" t="inlineStr">
        <is>
          <t>Terre di Mezzo</t>
        </is>
      </c>
      <c r="B328" s="14" t="inlineStr">
        <is>
          <t>Niente paura little wood!</t>
        </is>
      </c>
      <c r="C328" s="14" t="inlineStr">
        <is>
          <t>Jason Reynolds</t>
        </is>
      </c>
      <c r="D328" s="14" t="inlineStr">
        <is>
          <t>L'Acchiappastorie – I Tascabili</t>
        </is>
      </c>
      <c r="E328" s="14" t="inlineStr">
        <is>
          <t>tascabili</t>
        </is>
      </c>
      <c r="F328" s="14" t="inlineStr">
        <is>
          <t>Scuola media (11-13)</t>
        </is>
      </c>
      <c r="G328" s="14" t="inlineStr">
        <is>
          <t>Narrativa</t>
        </is>
      </c>
      <c r="H328" s="14" t="inlineStr"/>
      <c r="I328" s="14" t="inlineStr">
        <is>
          <t>No</t>
        </is>
      </c>
      <c r="J328" s="14" t="inlineStr">
        <is>
          <t>Collana</t>
        </is>
      </c>
      <c r="K328" s="14" t="inlineStr">
        <is>
          <t>prima/seconda/terza media, narrativa</t>
        </is>
      </c>
      <c r="L328" s="14" t="inlineStr">
        <is>
          <t>Catalogo Terre di Mezzo 1° semestre 2026, p. 72 (ISBN 9791259961587)</t>
        </is>
      </c>
      <c r="M328" s="16" t="n">
        <v>11</v>
      </c>
      <c r="N328" s="14" t="inlineStr">
        <is>
          <t>Catalogo Terre di Mezzo 1° semestre 2026</t>
        </is>
      </c>
      <c r="O328" s="16">
        <f>IF(ISNUMBER(M328),ROUND(M328*(1-Condizioni!$B$2),2),"")</f>
        <v/>
      </c>
      <c r="P328" s="17" t="inlineStr">
        <is>
          <t>No</t>
        </is>
      </c>
    </row>
    <row r="329">
      <c r="A329" s="14" t="inlineStr">
        <is>
          <t>Terre di Mezzo</t>
        </is>
      </c>
      <c r="B329" s="14" t="inlineStr">
        <is>
          <t>Niente paura little wood!</t>
        </is>
      </c>
      <c r="C329" s="14" t="inlineStr">
        <is>
          <t>Jason Reynolds</t>
        </is>
      </c>
      <c r="D329" s="14" t="inlineStr">
        <is>
          <t>L'Acchiappastorie – I Tascabili</t>
        </is>
      </c>
      <c r="E329" s="14" t="inlineStr">
        <is>
          <t>tascabili</t>
        </is>
      </c>
      <c r="F329" s="14" t="inlineStr">
        <is>
          <t>Scuola media (11-13)</t>
        </is>
      </c>
      <c r="G329" s="14" t="inlineStr">
        <is>
          <t>Narrativa</t>
        </is>
      </c>
      <c r="H329" s="14" t="inlineStr"/>
      <c r="I329" s="14" t="inlineStr">
        <is>
          <t>No</t>
        </is>
      </c>
      <c r="J329" s="14" t="inlineStr">
        <is>
          <t>Collana</t>
        </is>
      </c>
      <c r="K329" s="14" t="inlineStr">
        <is>
          <t>prima/seconda/terza media, narrativa</t>
        </is>
      </c>
      <c r="L329" s="14" t="inlineStr">
        <is>
          <t>Catalogo Terre di Mezzo 1° semestre 2026, p. 72 (ISBN 9788861894655)</t>
        </is>
      </c>
      <c r="M329" s="16" t="n">
        <v>11</v>
      </c>
      <c r="N329" s="14" t="inlineStr">
        <is>
          <t>Catalogo Terre di Mezzo 1° semestre 2026</t>
        </is>
      </c>
      <c r="O329" s="16">
        <f>IF(ISNUMBER(M329),ROUND(M329*(1-Condizioni!$B$2),2),"")</f>
        <v/>
      </c>
      <c r="P329" s="17" t="inlineStr">
        <is>
          <t>No</t>
        </is>
      </c>
    </row>
    <row r="330">
      <c r="A330" s="14" t="inlineStr">
        <is>
          <t>Terre di Mezzo</t>
        </is>
      </c>
      <c r="B330" s="14" t="inlineStr">
        <is>
          <t>Olga e la creatura senza nome</t>
        </is>
      </c>
      <c r="C330" s="14" t="inlineStr">
        <is>
          <t>Elise Gravel</t>
        </is>
      </c>
      <c r="D330" s="14" t="inlineStr">
        <is>
          <t>L'Acchiappastorie – Giovani lettori</t>
        </is>
      </c>
      <c r="E330" s="14" t="inlineStr">
        <is>
          <t>giovani lettori</t>
        </is>
      </c>
      <c r="F330" s="14" t="inlineStr">
        <is>
          <t>Scuola media (11-13)</t>
        </is>
      </c>
      <c r="G330" s="14" t="inlineStr">
        <is>
          <t>Romanzo</t>
        </is>
      </c>
      <c r="H330" s="14" t="inlineStr"/>
      <c r="I330" s="14" t="inlineStr">
        <is>
          <t>No</t>
        </is>
      </c>
      <c r="J330" s="14" t="inlineStr">
        <is>
          <t>Collana</t>
        </is>
      </c>
      <c r="K330" s="14" t="inlineStr">
        <is>
          <t>prima/seconda/terza media, romanzo, narrativa</t>
        </is>
      </c>
      <c r="L330" s="14" t="inlineStr">
        <is>
          <t>Catalogo Terre di Mezzo 1° semestre 2026, p. 70 (ISBN 9788861895195)</t>
        </is>
      </c>
      <c r="M330" s="16" t="n">
        <v>14</v>
      </c>
      <c r="N330" s="14" t="inlineStr">
        <is>
          <t>Catalogo Terre di Mezzo 1° semestre 2026</t>
        </is>
      </c>
      <c r="O330" s="16">
        <f>IF(ISNUMBER(M330),ROUND(M330*(1-Condizioni!$B$2),2),"")</f>
        <v/>
      </c>
      <c r="P330" s="17" t="inlineStr">
        <is>
          <t>No</t>
        </is>
      </c>
    </row>
    <row r="331">
      <c r="A331" s="14" t="inlineStr">
        <is>
          <t>Terre di Mezzo</t>
        </is>
      </c>
      <c r="B331" s="14" t="inlineStr">
        <is>
          <t>Olga va in orbita! (forse)</t>
        </is>
      </c>
      <c r="C331" s="14" t="inlineStr">
        <is>
          <t>Elise Gravel</t>
        </is>
      </c>
      <c r="D331" s="14" t="inlineStr">
        <is>
          <t>L'Acchiappastorie – Giovani lettori</t>
        </is>
      </c>
      <c r="E331" s="14" t="inlineStr">
        <is>
          <t>giovani lettori</t>
        </is>
      </c>
      <c r="F331" s="14" t="inlineStr">
        <is>
          <t>Scuola media (11-13)</t>
        </is>
      </c>
      <c r="G331" s="14" t="inlineStr">
        <is>
          <t>Romanzo</t>
        </is>
      </c>
      <c r="H331" s="14" t="inlineStr"/>
      <c r="I331" s="14" t="inlineStr">
        <is>
          <t>No</t>
        </is>
      </c>
      <c r="J331" s="14" t="inlineStr">
        <is>
          <t>Collana</t>
        </is>
      </c>
      <c r="K331" s="14" t="inlineStr">
        <is>
          <t>prima/seconda/terza media, romanzo, narrativa</t>
        </is>
      </c>
      <c r="L331" s="14" t="inlineStr">
        <is>
          <t>Catalogo Terre di Mezzo 1° semestre 2026, p. 70 (ISBN 9788861896079)</t>
        </is>
      </c>
      <c r="M331" s="16" t="n">
        <v>14</v>
      </c>
      <c r="N331" s="14" t="inlineStr">
        <is>
          <t>Catalogo Terre di Mezzo 1° semestre 2026</t>
        </is>
      </c>
      <c r="O331" s="16">
        <f>IF(ISNUMBER(M331),ROUND(M331*(1-Condizioni!$B$2),2),"")</f>
        <v/>
      </c>
      <c r="P331" s="17" t="inlineStr">
        <is>
          <t>No</t>
        </is>
      </c>
    </row>
    <row r="332">
      <c r="A332" s="14" t="inlineStr">
        <is>
          <t>Terre di Mezzo</t>
        </is>
      </c>
      <c r="B332" s="14" t="inlineStr">
        <is>
          <t>Olga. cuccioli fuori controllo!</t>
        </is>
      </c>
      <c r="C332" s="14" t="inlineStr">
        <is>
          <t>Elise Gravel</t>
        </is>
      </c>
      <c r="D332" s="14" t="inlineStr">
        <is>
          <t>L'Acchiappastorie – Giovani lettori</t>
        </is>
      </c>
      <c r="E332" s="14" t="inlineStr">
        <is>
          <t>giovani lettori</t>
        </is>
      </c>
      <c r="F332" s="14" t="inlineStr">
        <is>
          <t>Scuola media (11-13)</t>
        </is>
      </c>
      <c r="G332" s="14" t="inlineStr">
        <is>
          <t>Romanzo</t>
        </is>
      </c>
      <c r="H332" s="14" t="inlineStr"/>
      <c r="I332" s="14" t="inlineStr">
        <is>
          <t>No</t>
        </is>
      </c>
      <c r="J332" s="14" t="inlineStr">
        <is>
          <t>Collana</t>
        </is>
      </c>
      <c r="K332" s="14" t="inlineStr">
        <is>
          <t>prima/seconda/terza media, romanzo, narrativa</t>
        </is>
      </c>
      <c r="L332" s="14" t="inlineStr">
        <is>
          <t>Catalogo Terre di Mezzo 1° semestre 2026, p. 70 (ISBN 9788861896727)</t>
        </is>
      </c>
      <c r="M332" s="16" t="n">
        <v>14</v>
      </c>
      <c r="N332" s="14" t="inlineStr">
        <is>
          <t>Catalogo Terre di Mezzo 1° semestre 2026</t>
        </is>
      </c>
      <c r="O332" s="16">
        <f>IF(ISNUMBER(M332),ROUND(M332*(1-Condizioni!$B$2),2),"")</f>
        <v/>
      </c>
      <c r="P332" s="17" t="inlineStr">
        <is>
          <t>No</t>
        </is>
      </c>
    </row>
    <row r="333">
      <c r="A333" s="14" t="inlineStr">
        <is>
          <t>Terre di Mezzo</t>
        </is>
      </c>
      <c r="B333" s="14" t="inlineStr">
        <is>
          <t>Olivia e il grido della foresta</t>
        </is>
      </c>
      <c r="C333" s="14" t="inlineStr">
        <is>
          <t>Laure Monloubou</t>
        </is>
      </c>
      <c r="D333" s="14" t="inlineStr">
        <is>
          <t>L'Acchiappastorie – Giovani lettori</t>
        </is>
      </c>
      <c r="E333" s="14" t="inlineStr">
        <is>
          <t>giovani lettori</t>
        </is>
      </c>
      <c r="F333" s="14" t="inlineStr">
        <is>
          <t>Scuola media (11-13)</t>
        </is>
      </c>
      <c r="G333" s="14" t="inlineStr">
        <is>
          <t>Romanzo</t>
        </is>
      </c>
      <c r="H333" s="14" t="inlineStr"/>
      <c r="I333" s="14" t="inlineStr">
        <is>
          <t>No</t>
        </is>
      </c>
      <c r="J333" s="14" t="inlineStr">
        <is>
          <t>Collana</t>
        </is>
      </c>
      <c r="K333" s="14" t="inlineStr">
        <is>
          <t>prima/seconda/terza media, romanzo, narrativa</t>
        </is>
      </c>
      <c r="L333" s="14" t="inlineStr">
        <is>
          <t>Catalogo Terre di Mezzo 1° semestre 2026, p. 70 (ISBN 9791259960450)</t>
        </is>
      </c>
      <c r="M333" s="16" t="n">
        <v>12.9</v>
      </c>
      <c r="N333" s="14" t="inlineStr">
        <is>
          <t>Catalogo Terre di Mezzo 1° semestre 2026</t>
        </is>
      </c>
      <c r="O333" s="16">
        <f>IF(ISNUMBER(M333),ROUND(M333*(1-Condizioni!$B$2),2),"")</f>
        <v/>
      </c>
      <c r="P333" s="17" t="inlineStr">
        <is>
          <t>No</t>
        </is>
      </c>
    </row>
    <row r="334">
      <c r="A334" s="14" t="inlineStr">
        <is>
          <t>Terre di Mezzo</t>
        </is>
      </c>
      <c r="B334" s="14" t="inlineStr">
        <is>
          <t>Prendimi se cado</t>
        </is>
      </c>
      <c r="C334" s="14" t="inlineStr">
        <is>
          <t>Barry Jonsberg</t>
        </is>
      </c>
      <c r="D334" s="14" t="inlineStr">
        <is>
          <t>L'Acchiappastorie – Giovani lettori</t>
        </is>
      </c>
      <c r="E334" s="14" t="inlineStr">
        <is>
          <t>giovani lettori</t>
        </is>
      </c>
      <c r="F334" s="14" t="inlineStr">
        <is>
          <t>Scuola media (11-13)</t>
        </is>
      </c>
      <c r="G334" s="14" t="inlineStr">
        <is>
          <t>Romanzo</t>
        </is>
      </c>
      <c r="H334" s="14" t="inlineStr"/>
      <c r="I334" s="14" t="inlineStr">
        <is>
          <t>No</t>
        </is>
      </c>
      <c r="J334" s="14" t="inlineStr">
        <is>
          <t>Collana</t>
        </is>
      </c>
      <c r="K334" s="14" t="inlineStr">
        <is>
          <t>prima/seconda/terza media, romanzo, narrativa</t>
        </is>
      </c>
      <c r="L334" s="14" t="inlineStr">
        <is>
          <t>Catalogo Terre di Mezzo 1° semestre 2026, p. 65 (ISBN 9791259962331)</t>
        </is>
      </c>
      <c r="M334" s="16" t="n">
        <v>16</v>
      </c>
      <c r="N334" s="14" t="inlineStr">
        <is>
          <t>Catalogo Terre di Mezzo 1° semestre 2026</t>
        </is>
      </c>
      <c r="O334" s="16">
        <f>IF(ISNUMBER(M334),ROUND(M334*(1-Condizioni!$B$2),2),"")</f>
        <v/>
      </c>
      <c r="P334" s="17" t="inlineStr">
        <is>
          <t>No</t>
        </is>
      </c>
    </row>
    <row r="335">
      <c r="A335" s="14" t="inlineStr">
        <is>
          <t>Terre di Mezzo</t>
        </is>
      </c>
      <c r="B335" s="14" t="inlineStr">
        <is>
          <t>Provaci ancora, Selma!</t>
        </is>
      </c>
      <c r="C335" s="14" t="inlineStr">
        <is>
          <t>Kjersti Synneva Moen</t>
        </is>
      </c>
      <c r="D335" s="14" t="inlineStr">
        <is>
          <t>L'Acchiappastorie – I Tascabili</t>
        </is>
      </c>
      <c r="E335" s="14" t="inlineStr">
        <is>
          <t>tascabili</t>
        </is>
      </c>
      <c r="F335" s="14" t="inlineStr">
        <is>
          <t>Scuola media (11-13)</t>
        </is>
      </c>
      <c r="G335" s="14" t="inlineStr">
        <is>
          <t>Narrativa</t>
        </is>
      </c>
      <c r="H335" s="14" t="inlineStr"/>
      <c r="I335" s="14" t="inlineStr">
        <is>
          <t>No</t>
        </is>
      </c>
      <c r="J335" s="14" t="inlineStr">
        <is>
          <t>Collana</t>
        </is>
      </c>
      <c r="K335" s="14" t="inlineStr">
        <is>
          <t>prima/seconda/terza media, narrativa</t>
        </is>
      </c>
      <c r="L335" s="14" t="inlineStr">
        <is>
          <t>Catalogo Terre di Mezzo 1° semestre 2026, p. 73 (ISBN 9791259964403)</t>
        </is>
      </c>
      <c r="M335" s="16" t="n">
        <v>18</v>
      </c>
      <c r="N335" s="14" t="inlineStr">
        <is>
          <t>Catalogo Terre di Mezzo 1° semestre 2026</t>
        </is>
      </c>
      <c r="O335" s="16">
        <f>IF(ISNUMBER(M335),ROUND(M335*(1-Condizioni!$B$2),2),"")</f>
        <v/>
      </c>
      <c r="P335" s="17" t="inlineStr">
        <is>
          <t>Sì</t>
        </is>
      </c>
    </row>
    <row r="336">
      <c r="A336" s="14" t="inlineStr">
        <is>
          <t>Terre di Mezzo</t>
        </is>
      </c>
      <c r="B336" s="14" t="inlineStr">
        <is>
          <t>Se incontri una strega a mezzanotte</t>
        </is>
      </c>
      <c r="C336" s="14" t="inlineStr">
        <is>
          <t>Pascal Ruter</t>
        </is>
      </c>
      <c r="D336" s="14" t="inlineStr">
        <is>
          <t>L'Acchiappastorie – Giovani lettori</t>
        </is>
      </c>
      <c r="E336" s="14" t="inlineStr">
        <is>
          <t>giovani lettori</t>
        </is>
      </c>
      <c r="F336" s="14" t="inlineStr">
        <is>
          <t>Scuola media (11-13)</t>
        </is>
      </c>
      <c r="G336" s="14" t="inlineStr">
        <is>
          <t>Romanzo</t>
        </is>
      </c>
      <c r="H336" s="14" t="inlineStr"/>
      <c r="I336" s="14" t="inlineStr">
        <is>
          <t>No</t>
        </is>
      </c>
      <c r="J336" s="14" t="inlineStr">
        <is>
          <t>Collana</t>
        </is>
      </c>
      <c r="K336" s="14" t="inlineStr">
        <is>
          <t>prima/seconda/terza media, romanzo, narrativa</t>
        </is>
      </c>
      <c r="L336" s="14" t="inlineStr">
        <is>
          <t>Catalogo Terre di Mezzo 1° semestre 2026, p. 67 (ISBN 9791259961488)</t>
        </is>
      </c>
      <c r="M336" s="16" t="n">
        <v>14</v>
      </c>
      <c r="N336" s="14" t="inlineStr">
        <is>
          <t>Catalogo Terre di Mezzo 1° semestre 2026</t>
        </is>
      </c>
      <c r="O336" s="16">
        <f>IF(ISNUMBER(M336),ROUND(M336*(1-Condizioni!$B$2),2),"")</f>
        <v/>
      </c>
      <c r="P336" s="17" t="inlineStr">
        <is>
          <t>No</t>
        </is>
      </c>
    </row>
    <row r="337">
      <c r="A337" s="14" t="inlineStr">
        <is>
          <t>Terre di Mezzo</t>
        </is>
      </c>
      <c r="B337" s="14" t="inlineStr">
        <is>
          <t>Si pregano i signori fantasmi di non urlare</t>
        </is>
      </c>
      <c r="C337" s="14" t="inlineStr">
        <is>
          <t>Angelo Mozzillo, Marianna Balducci</t>
        </is>
      </c>
      <c r="D337" s="14" t="inlineStr">
        <is>
          <t>L'Acchiappastorie – Giovani lettori</t>
        </is>
      </c>
      <c r="E337" s="14" t="inlineStr">
        <is>
          <t>giovani lettori</t>
        </is>
      </c>
      <c r="F337" s="14" t="inlineStr">
        <is>
          <t>Scuola media (11-13)</t>
        </is>
      </c>
      <c r="G337" s="14" t="inlineStr">
        <is>
          <t>Romanzo</t>
        </is>
      </c>
      <c r="H337" s="14" t="inlineStr"/>
      <c r="I337" s="14" t="inlineStr">
        <is>
          <t>No</t>
        </is>
      </c>
      <c r="J337" s="14" t="inlineStr">
        <is>
          <t>Collana</t>
        </is>
      </c>
      <c r="K337" s="14" t="inlineStr">
        <is>
          <t>prima/seconda/terza media, romanzo, narrativa</t>
        </is>
      </c>
      <c r="L337" s="14" t="inlineStr">
        <is>
          <t>Catalogo Terre di Mezzo 1° semestre 2026, p. 64 (ISBN 9791259963451)</t>
        </is>
      </c>
      <c r="M337" s="16" t="n">
        <v>15</v>
      </c>
      <c r="N337" s="14" t="inlineStr">
        <is>
          <t>Catalogo Terre di Mezzo 1° semestre 2026</t>
        </is>
      </c>
      <c r="O337" s="16">
        <f>IF(ISNUMBER(M337),ROUND(M337*(1-Condizioni!$B$2),2),"")</f>
        <v/>
      </c>
      <c r="P337" s="17" t="inlineStr">
        <is>
          <t>No</t>
        </is>
      </c>
    </row>
    <row r="338">
      <c r="A338" s="14" t="inlineStr">
        <is>
          <t>Terre di Mezzo</t>
        </is>
      </c>
      <c r="B338" s="14" t="inlineStr">
        <is>
          <t>Si pregano i signori fantasmi di non urlare</t>
        </is>
      </c>
      <c r="C338" s="14" t="inlineStr">
        <is>
          <t>Angelo Mozzillo, Marianna Balducci</t>
        </is>
      </c>
      <c r="D338" s="14" t="inlineStr">
        <is>
          <t>L'Acchiappastorie – Giovani lettori</t>
        </is>
      </c>
      <c r="E338" s="14" t="inlineStr">
        <is>
          <t>giovani lettori</t>
        </is>
      </c>
      <c r="F338" s="14" t="inlineStr">
        <is>
          <t>Scuola media (11-13)</t>
        </is>
      </c>
      <c r="G338" s="14" t="inlineStr">
        <is>
          <t>Romanzo</t>
        </is>
      </c>
      <c r="H338" s="14" t="inlineStr"/>
      <c r="I338" s="14" t="inlineStr">
        <is>
          <t>No</t>
        </is>
      </c>
      <c r="J338" s="14" t="inlineStr">
        <is>
          <t>Collana</t>
        </is>
      </c>
      <c r="K338" s="14" t="inlineStr">
        <is>
          <t>prima/seconda/terza media, romanzo, narrativa</t>
        </is>
      </c>
      <c r="L338" s="14" t="inlineStr">
        <is>
          <t>Catalogo Terre di Mezzo 1° semestre 2026, p. 64 (ISBN 9791259963529)</t>
        </is>
      </c>
      <c r="M338" s="16" t="n">
        <v>15</v>
      </c>
      <c r="N338" s="14" t="inlineStr">
        <is>
          <t>Catalogo Terre di Mezzo 1° semestre 2026</t>
        </is>
      </c>
      <c r="O338" s="16">
        <f>IF(ISNUMBER(M338),ROUND(M338*(1-Condizioni!$B$2),2),"")</f>
        <v/>
      </c>
      <c r="P338" s="17" t="inlineStr">
        <is>
          <t>No</t>
        </is>
      </c>
    </row>
    <row r="339">
      <c r="A339" s="14" t="inlineStr">
        <is>
          <t>Terre di Mezzo</t>
        </is>
      </c>
      <c r="B339" s="14" t="inlineStr">
        <is>
          <t>Si pregano i signori fantasmi di non urlare</t>
        </is>
      </c>
      <c r="C339" s="14" t="inlineStr">
        <is>
          <t>Angelo Mozzillo, Marianna Balducci</t>
        </is>
      </c>
      <c r="D339" s="14" t="inlineStr">
        <is>
          <t>L'Acchiappastorie – Giovani lettori</t>
        </is>
      </c>
      <c r="E339" s="14" t="inlineStr">
        <is>
          <t>giovani lettori</t>
        </is>
      </c>
      <c r="F339" s="14" t="inlineStr">
        <is>
          <t>Scuola media (11-13)</t>
        </is>
      </c>
      <c r="G339" s="14" t="inlineStr">
        <is>
          <t>Romanzo</t>
        </is>
      </c>
      <c r="H339" s="14" t="inlineStr"/>
      <c r="I339" s="14" t="inlineStr">
        <is>
          <t>No</t>
        </is>
      </c>
      <c r="J339" s="14" t="inlineStr">
        <is>
          <t>Collana</t>
        </is>
      </c>
      <c r="K339" s="14" t="inlineStr">
        <is>
          <t>prima/seconda/terza media, romanzo, narrativa</t>
        </is>
      </c>
      <c r="L339" s="14" t="inlineStr">
        <is>
          <t>Catalogo Terre di Mezzo 1° semestre 2026, p. 64 (ISBN 9791259961921)</t>
        </is>
      </c>
      <c r="M339" s="16" t="n">
        <v>15</v>
      </c>
      <c r="N339" s="14" t="inlineStr">
        <is>
          <t>Catalogo Terre di Mezzo 1° semestre 2026</t>
        </is>
      </c>
      <c r="O339" s="16">
        <f>IF(ISNUMBER(M339),ROUND(M339*(1-Condizioni!$B$2),2),"")</f>
        <v/>
      </c>
      <c r="P339" s="17" t="inlineStr">
        <is>
          <t>No</t>
        </is>
      </c>
    </row>
    <row r="340">
      <c r="A340" s="14" t="inlineStr">
        <is>
          <t>Terre di Mezzo</t>
        </is>
      </c>
      <c r="B340" s="14" t="inlineStr">
        <is>
          <t>Si pregano i signori fantasmi di non urlare</t>
        </is>
      </c>
      <c r="C340" s="14" t="inlineStr">
        <is>
          <t>Angelo Mozzillo, Marianna Balducci</t>
        </is>
      </c>
      <c r="D340" s="14" t="inlineStr">
        <is>
          <t>L'Acchiappastorie – Giovani lettori</t>
        </is>
      </c>
      <c r="E340" s="14" t="inlineStr">
        <is>
          <t>giovani lettori</t>
        </is>
      </c>
      <c r="F340" s="14" t="inlineStr">
        <is>
          <t>Scuola media (11-13)</t>
        </is>
      </c>
      <c r="G340" s="14" t="inlineStr">
        <is>
          <t>Romanzo</t>
        </is>
      </c>
      <c r="H340" s="14" t="inlineStr"/>
      <c r="I340" s="14" t="inlineStr">
        <is>
          <t>No</t>
        </is>
      </c>
      <c r="J340" s="14" t="inlineStr">
        <is>
          <t>Collana</t>
        </is>
      </c>
      <c r="K340" s="14" t="inlineStr">
        <is>
          <t>prima/seconda/terza media, romanzo, narrativa</t>
        </is>
      </c>
      <c r="L340" s="14" t="inlineStr">
        <is>
          <t>Catalogo Terre di Mezzo 1° semestre 2026, p. 64 (ISBN 9791259961914)</t>
        </is>
      </c>
      <c r="M340" s="16" t="n">
        <v>15</v>
      </c>
      <c r="N340" s="14" t="inlineStr">
        <is>
          <t>Catalogo Terre di Mezzo 1° semestre 2026</t>
        </is>
      </c>
      <c r="O340" s="16">
        <f>IF(ISNUMBER(M340),ROUND(M340*(1-Condizioni!$B$2),2),"")</f>
        <v/>
      </c>
      <c r="P340" s="17" t="inlineStr">
        <is>
          <t>No</t>
        </is>
      </c>
    </row>
    <row r="341">
      <c r="A341" s="14" t="inlineStr">
        <is>
          <t>Terre di Mezzo</t>
        </is>
      </c>
      <c r="B341" s="14" t="inlineStr">
        <is>
          <t>Sotto la stessa luna</t>
        </is>
      </c>
      <c r="C341" s="14" t="inlineStr">
        <is>
          <t>Lara Schützsack</t>
        </is>
      </c>
      <c r="D341" s="14" t="inlineStr">
        <is>
          <t>L'Acchiappastorie – Giovani lettori</t>
        </is>
      </c>
      <c r="E341" s="14" t="inlineStr">
        <is>
          <t>giovani lettori</t>
        </is>
      </c>
      <c r="F341" s="14" t="inlineStr">
        <is>
          <t>Scuola media (11-13)</t>
        </is>
      </c>
      <c r="G341" s="14" t="inlineStr">
        <is>
          <t>Romanzo</t>
        </is>
      </c>
      <c r="H341" s="14" t="inlineStr"/>
      <c r="I341" s="14" t="inlineStr">
        <is>
          <t>No</t>
        </is>
      </c>
      <c r="J341" s="14" t="inlineStr">
        <is>
          <t>Collana</t>
        </is>
      </c>
      <c r="K341" s="14" t="inlineStr">
        <is>
          <t>prima/seconda/terza media, romanzo, narrativa</t>
        </is>
      </c>
      <c r="L341" s="14" t="inlineStr">
        <is>
          <t>Catalogo Terre di Mezzo 1° semestre 2026, p. 67 (ISBN 9791259961891)</t>
        </is>
      </c>
      <c r="M341" s="16" t="n">
        <v>14</v>
      </c>
      <c r="N341" s="14" t="inlineStr">
        <is>
          <t>Catalogo Terre di Mezzo 1° semestre 2026</t>
        </is>
      </c>
      <c r="O341" s="16">
        <f>IF(ISNUMBER(M341),ROUND(M341*(1-Condizioni!$B$2),2),"")</f>
        <v/>
      </c>
      <c r="P341" s="17" t="inlineStr">
        <is>
          <t>Sì</t>
        </is>
      </c>
    </row>
    <row r="342">
      <c r="A342" s="14" t="inlineStr">
        <is>
          <t>Terre di Mezzo</t>
        </is>
      </c>
      <c r="B342" s="14" t="inlineStr">
        <is>
          <t>Sulla porta del mondo</t>
        </is>
      </c>
      <c r="C342" s="14" t="inlineStr">
        <is>
          <t>Luigi Dal Cin, Cristiano Lissoni</t>
        </is>
      </c>
      <c r="D342" s="14" t="inlineStr">
        <is>
          <t>L'Acchiappastorie – Giovani lettori</t>
        </is>
      </c>
      <c r="E342" s="14" t="inlineStr">
        <is>
          <t>giovani lettori</t>
        </is>
      </c>
      <c r="F342" s="14" t="inlineStr">
        <is>
          <t>Scuola media (11-13)</t>
        </is>
      </c>
      <c r="G342" s="14" t="inlineStr">
        <is>
          <t>Romanzo</t>
        </is>
      </c>
      <c r="H342" s="14" t="inlineStr"/>
      <c r="I342" s="14" t="inlineStr">
        <is>
          <t>No</t>
        </is>
      </c>
      <c r="J342" s="14" t="inlineStr">
        <is>
          <t>Collana</t>
        </is>
      </c>
      <c r="K342" s="14" t="inlineStr">
        <is>
          <t>prima/seconda/terza media, romanzo, narrativa</t>
        </is>
      </c>
      <c r="L342" s="14" t="inlineStr">
        <is>
          <t>Catalogo Terre di Mezzo 1° semestre 2026, p. 65 (ISBN 9791259962256)</t>
        </is>
      </c>
      <c r="M342" s="16" t="n">
        <v>15</v>
      </c>
      <c r="N342" s="14" t="inlineStr">
        <is>
          <t>Catalogo Terre di Mezzo 1° semestre 2026</t>
        </is>
      </c>
      <c r="O342" s="16">
        <f>IF(ISNUMBER(M342),ROUND(M342*(1-Condizioni!$B$2),2),"")</f>
        <v/>
      </c>
      <c r="P342" s="17" t="inlineStr">
        <is>
          <t>Sì</t>
        </is>
      </c>
    </row>
    <row r="343">
      <c r="A343" s="14" t="inlineStr">
        <is>
          <t>Terre di Mezzo</t>
        </is>
      </c>
      <c r="B343" s="14" t="inlineStr">
        <is>
          <t>Theo &amp; Teseo nel labirinto</t>
        </is>
      </c>
      <c r="C343" s="14" t="inlineStr">
        <is>
          <t>Joseph Coelho</t>
        </is>
      </c>
      <c r="D343" s="14" t="inlineStr">
        <is>
          <t>L'Acchiappastorie – Giovani lettori</t>
        </is>
      </c>
      <c r="E343" s="14" t="inlineStr">
        <is>
          <t>giovani lettori</t>
        </is>
      </c>
      <c r="F343" s="14" t="inlineStr">
        <is>
          <t>Scuola media (11-13)</t>
        </is>
      </c>
      <c r="G343" s="14" t="inlineStr">
        <is>
          <t>Romanzo</t>
        </is>
      </c>
      <c r="H343" s="14" t="inlineStr"/>
      <c r="I343" s="14" t="inlineStr">
        <is>
          <t>No</t>
        </is>
      </c>
      <c r="J343" s="14" t="inlineStr">
        <is>
          <t>Collana</t>
        </is>
      </c>
      <c r="K343" s="14" t="inlineStr">
        <is>
          <t>prima/seconda/terza media, romanzo, narrativa</t>
        </is>
      </c>
      <c r="L343" s="14" t="inlineStr">
        <is>
          <t>Catalogo Terre di Mezzo 1° semestre 2026, p. 65 (ISBN 9791259963055)</t>
        </is>
      </c>
      <c r="M343" s="16" t="n">
        <v>16</v>
      </c>
      <c r="N343" s="14" t="inlineStr">
        <is>
          <t>Catalogo Terre di Mezzo 1° semestre 2026</t>
        </is>
      </c>
      <c r="O343" s="16">
        <f>IF(ISNUMBER(M343),ROUND(M343*(1-Condizioni!$B$2),2),"")</f>
        <v/>
      </c>
      <c r="P343" s="17" t="inlineStr">
        <is>
          <t>No</t>
        </is>
      </c>
    </row>
    <row r="344">
      <c r="A344" s="14" t="inlineStr">
        <is>
          <t>Terre di Mezzo</t>
        </is>
      </c>
      <c r="B344" s="14" t="inlineStr">
        <is>
          <t>Un mare di draghi</t>
        </is>
      </c>
      <c r="C344" s="14" t="inlineStr">
        <is>
          <t>Sally Gardner, Nick Maland</t>
        </is>
      </c>
      <c r="D344" s="14" t="inlineStr">
        <is>
          <t>L'Acchiappastorie – Giovani lettori</t>
        </is>
      </c>
      <c r="E344" s="14" t="inlineStr">
        <is>
          <t>giovani lettori</t>
        </is>
      </c>
      <c r="F344" s="14" t="inlineStr">
        <is>
          <t>Scuola media (11-13)</t>
        </is>
      </c>
      <c r="G344" s="14" t="inlineStr">
        <is>
          <t>Romanzo</t>
        </is>
      </c>
      <c r="H344" s="14" t="inlineStr"/>
      <c r="I344" s="14" t="inlineStr">
        <is>
          <t>No</t>
        </is>
      </c>
      <c r="J344" s="14" t="inlineStr">
        <is>
          <t>Collana</t>
        </is>
      </c>
      <c r="K344" s="14" t="inlineStr">
        <is>
          <t>prima/seconda/terza media, romanzo, narrativa</t>
        </is>
      </c>
      <c r="L344" s="14" t="inlineStr">
        <is>
          <t>Catalogo Terre di Mezzo 1° semestre 2026, p. 69 (ISBN 9788861897069)</t>
        </is>
      </c>
      <c r="M344" s="16" t="n">
        <v>14</v>
      </c>
      <c r="N344" s="14" t="inlineStr">
        <is>
          <t>Catalogo Terre di Mezzo 1° semestre 2026</t>
        </is>
      </c>
      <c r="O344" s="16">
        <f>IF(ISNUMBER(M344),ROUND(M344*(1-Condizioni!$B$2),2),"")</f>
        <v/>
      </c>
      <c r="P344" s="17" t="inlineStr">
        <is>
          <t>No</t>
        </is>
      </c>
    </row>
    <row r="345">
      <c r="A345" s="14" t="inlineStr">
        <is>
          <t>Terre di Mezzo</t>
        </is>
      </c>
      <c r="B345" s="14" t="inlineStr">
        <is>
          <t>Una sirena sempre con me</t>
        </is>
      </c>
      <c r="C345" s="14" t="inlineStr">
        <is>
          <t>Florence Medina, Kim Consigny</t>
        </is>
      </c>
      <c r="D345" s="14" t="inlineStr">
        <is>
          <t>L'Acchiappastorie – Giovani lettori</t>
        </is>
      </c>
      <c r="E345" s="14" t="inlineStr">
        <is>
          <t>giovani lettori</t>
        </is>
      </c>
      <c r="F345" s="14" t="inlineStr">
        <is>
          <t>Scuola media (11-13)</t>
        </is>
      </c>
      <c r="G345" s="14" t="inlineStr">
        <is>
          <t>Romanzo</t>
        </is>
      </c>
      <c r="H345" s="14" t="inlineStr"/>
      <c r="I345" s="14" t="inlineStr">
        <is>
          <t>No</t>
        </is>
      </c>
      <c r="J345" s="14" t="inlineStr">
        <is>
          <t>Collana</t>
        </is>
      </c>
      <c r="K345" s="14" t="inlineStr">
        <is>
          <t>prima/seconda/terza media, romanzo, narrativa</t>
        </is>
      </c>
      <c r="L345" s="14" t="inlineStr">
        <is>
          <t>Catalogo Terre di Mezzo 1° semestre 2026, p. 68 (ISBN 9791259960917)</t>
        </is>
      </c>
      <c r="M345" s="16" t="n">
        <v>14</v>
      </c>
      <c r="N345" s="14" t="inlineStr">
        <is>
          <t>Catalogo Terre di Mezzo 1° semestre 2026</t>
        </is>
      </c>
      <c r="O345" s="16">
        <f>IF(ISNUMBER(M345),ROUND(M345*(1-Condizioni!$B$2),2),"")</f>
        <v/>
      </c>
      <c r="P345" s="17" t="inlineStr">
        <is>
          <t>No</t>
        </is>
      </c>
    </row>
    <row r="346">
      <c r="A346" s="14" t="inlineStr">
        <is>
          <t>Terre di Mezzo</t>
        </is>
      </c>
      <c r="B346" s="14" t="inlineStr">
        <is>
          <t>Violetta urlavento</t>
        </is>
      </c>
      <c r="C346" s="14" t="inlineStr">
        <is>
          <t>Paul Martin, Jean-Baptiste Bourgois</t>
        </is>
      </c>
      <c r="D346" s="14" t="inlineStr">
        <is>
          <t>L'Acchiappastorie – Giovani lettori</t>
        </is>
      </c>
      <c r="E346" s="14" t="inlineStr">
        <is>
          <t>giovani lettori</t>
        </is>
      </c>
      <c r="F346" s="14" t="inlineStr">
        <is>
          <t>Scuola media (11-13)</t>
        </is>
      </c>
      <c r="G346" s="14" t="inlineStr">
        <is>
          <t>Romanzo</t>
        </is>
      </c>
      <c r="H346" s="14" t="inlineStr"/>
      <c r="I346" s="14" t="inlineStr">
        <is>
          <t>No</t>
        </is>
      </c>
      <c r="J346" s="14" t="inlineStr">
        <is>
          <t>Collana</t>
        </is>
      </c>
      <c r="K346" s="14" t="inlineStr">
        <is>
          <t>prima/seconda/terza media, romanzo, narrativa</t>
        </is>
      </c>
      <c r="L346" s="14" t="inlineStr">
        <is>
          <t>Catalogo Terre di Mezzo 1° semestre 2026, p. 68 (ISBN 9788861896192)</t>
        </is>
      </c>
      <c r="M346" s="16" t="n">
        <v>16</v>
      </c>
      <c r="N346" s="14" t="inlineStr">
        <is>
          <t>Catalogo Terre di Mezzo 1° semestre 2026</t>
        </is>
      </c>
      <c r="O346" s="16">
        <f>IF(ISNUMBER(M346),ROUND(M346*(1-Condizioni!$B$2),2),"")</f>
        <v/>
      </c>
      <c r="P346" s="17" t="inlineStr">
        <is>
          <t>No</t>
        </is>
      </c>
    </row>
    <row r="347">
      <c r="A347" s="14" t="inlineStr">
        <is>
          <t>Terre di Mezzo</t>
        </is>
      </c>
      <c r="B347" s="14" t="inlineStr">
        <is>
          <t>Corpo a corpo</t>
        </is>
      </c>
      <c r="C347" s="14" t="inlineStr">
        <is>
          <t>Giovanni “Gioz” Scarduelli</t>
        </is>
      </c>
      <c r="D347" s="14" t="inlineStr">
        <is>
          <t>L'Acchiappastorie – Collana Slanci</t>
        </is>
      </c>
      <c r="E347" s="14" t="inlineStr">
        <is>
          <t>Young Adult</t>
        </is>
      </c>
      <c r="F347" s="14" t="inlineStr">
        <is>
          <t>Adolescenza (14+)</t>
        </is>
      </c>
      <c r="G347" s="14" t="inlineStr">
        <is>
          <t>Romanzo</t>
        </is>
      </c>
      <c r="H347" s="14" t="inlineStr"/>
      <c r="I347" s="14" t="inlineStr">
        <is>
          <t>No</t>
        </is>
      </c>
      <c r="J347" s="14" t="inlineStr">
        <is>
          <t>Collana</t>
        </is>
      </c>
      <c r="K347" s="14" t="inlineStr">
        <is>
          <t>adolescenza, romanzo, narrativa</t>
        </is>
      </c>
      <c r="L347" s="14" t="inlineStr">
        <is>
          <t>Catalogo Terre di Mezzo 1° semestre 2026, p. 76 (ISBN 9791259962935)</t>
        </is>
      </c>
      <c r="M347" s="16" t="n">
        <v>17</v>
      </c>
      <c r="N347" s="14" t="inlineStr">
        <is>
          <t>Catalogo Terre di Mezzo 1° semestre 2026</t>
        </is>
      </c>
      <c r="O347" s="16">
        <f>IF(ISNUMBER(M347),ROUND(M347*(1-Condizioni!$B$2),2),"")</f>
        <v/>
      </c>
      <c r="P347" s="17" t="inlineStr">
        <is>
          <t>Sì</t>
        </is>
      </c>
    </row>
    <row r="348">
      <c r="A348" s="14" t="inlineStr">
        <is>
          <t>Terre di Mezzo</t>
        </is>
      </c>
      <c r="B348" s="14" t="inlineStr">
        <is>
          <t>E così bruciamo</t>
        </is>
      </c>
      <c r="C348" s="14" t="inlineStr">
        <is>
          <t>Lisa Balavoine</t>
        </is>
      </c>
      <c r="D348" s="14" t="inlineStr">
        <is>
          <t>L'Acchiappastorie – Collana Slanci</t>
        </is>
      </c>
      <c r="E348" s="14" t="inlineStr">
        <is>
          <t>Young Adult</t>
        </is>
      </c>
      <c r="F348" s="14" t="inlineStr">
        <is>
          <t>Adolescenza (14+)</t>
        </is>
      </c>
      <c r="G348" s="14" t="inlineStr">
        <is>
          <t>Romanzo</t>
        </is>
      </c>
      <c r="H348" s="14" t="inlineStr"/>
      <c r="I348" s="14" t="inlineStr">
        <is>
          <t>No</t>
        </is>
      </c>
      <c r="J348" s="14" t="inlineStr">
        <is>
          <t>Collana</t>
        </is>
      </c>
      <c r="K348" s="14" t="inlineStr">
        <is>
          <t>adolescenza, romanzo, narrativa</t>
        </is>
      </c>
      <c r="L348" s="14" t="inlineStr">
        <is>
          <t>Catalogo Terre di Mezzo 1° semestre 2026, p. 77 (ISBN 9791259962874)</t>
        </is>
      </c>
      <c r="M348" s="16" t="n">
        <v>15</v>
      </c>
      <c r="N348" s="14" t="inlineStr">
        <is>
          <t>Catalogo Terre di Mezzo 1° semestre 2026</t>
        </is>
      </c>
      <c r="O348" s="16">
        <f>IF(ISNUMBER(M348),ROUND(M348*(1-Condizioni!$B$2),2),"")</f>
        <v/>
      </c>
      <c r="P348" s="17" t="inlineStr">
        <is>
          <t>No</t>
        </is>
      </c>
    </row>
    <row r="349">
      <c r="A349" s="14" t="inlineStr">
        <is>
          <t>Terre di Mezzo</t>
        </is>
      </c>
      <c r="B349" s="14" t="inlineStr">
        <is>
          <t>Little bang</t>
        </is>
      </c>
      <c r="C349" s="14" t="inlineStr">
        <is>
          <t>Kelly McCaughrain</t>
        </is>
      </c>
      <c r="D349" s="14" t="inlineStr">
        <is>
          <t>L'Acchiappastorie – Collana Slanci</t>
        </is>
      </c>
      <c r="E349" s="14" t="inlineStr">
        <is>
          <t>Young Adult</t>
        </is>
      </c>
      <c r="F349" s="14" t="inlineStr">
        <is>
          <t>Adolescenza (14+)</t>
        </is>
      </c>
      <c r="G349" s="14" t="inlineStr">
        <is>
          <t>Romanzo</t>
        </is>
      </c>
      <c r="H349" s="14" t="inlineStr"/>
      <c r="I349" s="14" t="inlineStr">
        <is>
          <t>No</t>
        </is>
      </c>
      <c r="J349" s="14" t="inlineStr">
        <is>
          <t>Collana</t>
        </is>
      </c>
      <c r="K349" s="14" t="inlineStr">
        <is>
          <t>adolescenza, romanzo, narrativa</t>
        </is>
      </c>
      <c r="L349" s="14" t="inlineStr">
        <is>
          <t>Catalogo Terre di Mezzo 1° semestre 2026, p. 76 (ISBN 9791259962928)</t>
        </is>
      </c>
      <c r="M349" s="16" t="n">
        <v>15</v>
      </c>
      <c r="N349" s="14" t="inlineStr">
        <is>
          <t>Catalogo Terre di Mezzo 1° semestre 2026</t>
        </is>
      </c>
      <c r="O349" s="16">
        <f>IF(ISNUMBER(M349),ROUND(M349*(1-Condizioni!$B$2),2),"")</f>
        <v/>
      </c>
      <c r="P349" s="17" t="inlineStr">
        <is>
          <t>No</t>
        </is>
      </c>
    </row>
    <row r="350">
      <c r="A350" s="14" t="inlineStr">
        <is>
          <t>Terre di Mezzo</t>
        </is>
      </c>
      <c r="B350" s="14" t="inlineStr">
        <is>
          <t>L’eterno ritorno di Clara hart</t>
        </is>
      </c>
      <c r="C350" s="14" t="inlineStr">
        <is>
          <t>Louise Finch</t>
        </is>
      </c>
      <c r="D350" s="14" t="inlineStr">
        <is>
          <t>L'Acchiappastorie – Collana Slanci</t>
        </is>
      </c>
      <c r="E350" s="14" t="inlineStr">
        <is>
          <t>Young Adult</t>
        </is>
      </c>
      <c r="F350" s="14" t="inlineStr">
        <is>
          <t>Adolescenza (14+)</t>
        </is>
      </c>
      <c r="G350" s="14" t="inlineStr">
        <is>
          <t>Romanzo</t>
        </is>
      </c>
      <c r="H350" s="14" t="inlineStr"/>
      <c r="I350" s="14" t="inlineStr">
        <is>
          <t>No</t>
        </is>
      </c>
      <c r="J350" s="14" t="inlineStr">
        <is>
          <t>Collana</t>
        </is>
      </c>
      <c r="K350" s="14" t="inlineStr">
        <is>
          <t>adolescenza, romanzo, narrativa</t>
        </is>
      </c>
      <c r="L350" s="14" t="inlineStr">
        <is>
          <t>Catalogo Terre di Mezzo 1° semestre 2026, p. 77 (ISBN 9791259961983)</t>
        </is>
      </c>
      <c r="M350" s="16" t="n">
        <v>15</v>
      </c>
      <c r="N350" s="14" t="inlineStr">
        <is>
          <t>Catalogo Terre di Mezzo 1° semestre 2026</t>
        </is>
      </c>
      <c r="O350" s="16">
        <f>IF(ISNUMBER(M350),ROUND(M350*(1-Condizioni!$B$2),2),"")</f>
        <v/>
      </c>
      <c r="P350" s="17" t="inlineStr">
        <is>
          <t>Sì</t>
        </is>
      </c>
    </row>
    <row r="351">
      <c r="A351" s="14" t="inlineStr">
        <is>
          <t>Terre di Mezzo</t>
        </is>
      </c>
      <c r="B351" s="14" t="inlineStr">
        <is>
          <t>Out of the blue. dal cielo all’improvviso</t>
        </is>
      </c>
      <c r="C351" s="14" t="inlineStr">
        <is>
          <t>Sophie Cameron</t>
        </is>
      </c>
      <c r="D351" s="14" t="inlineStr">
        <is>
          <t>L'Acchiappastorie – Collana Slanci</t>
        </is>
      </c>
      <c r="E351" s="14" t="inlineStr">
        <is>
          <t>Young Adult</t>
        </is>
      </c>
      <c r="F351" s="14" t="inlineStr">
        <is>
          <t>Adolescenza (14+)</t>
        </is>
      </c>
      <c r="G351" s="14" t="inlineStr">
        <is>
          <t>Romanzo</t>
        </is>
      </c>
      <c r="H351" s="14" t="inlineStr"/>
      <c r="I351" s="14" t="inlineStr">
        <is>
          <t>No</t>
        </is>
      </c>
      <c r="J351" s="14" t="inlineStr">
        <is>
          <t>Collana</t>
        </is>
      </c>
      <c r="K351" s="14" t="inlineStr">
        <is>
          <t>adolescenza, romanzo, narrativa</t>
        </is>
      </c>
      <c r="L351" s="14" t="inlineStr">
        <is>
          <t>Catalogo Terre di Mezzo 1° semestre 2026, p. 76 (ISBN 9791259962980)</t>
        </is>
      </c>
      <c r="M351" s="16" t="n">
        <v>16</v>
      </c>
      <c r="N351" s="14" t="inlineStr">
        <is>
          <t>Catalogo Terre di Mezzo 1° semestre 2026</t>
        </is>
      </c>
      <c r="O351" s="16">
        <f>IF(ISNUMBER(M351),ROUND(M351*(1-Condizioni!$B$2),2),"")</f>
        <v/>
      </c>
      <c r="P351" s="17" t="inlineStr">
        <is>
          <t>Sì</t>
        </is>
      </c>
    </row>
    <row r="352">
      <c r="A352" s="14" t="inlineStr">
        <is>
          <t>Terre di Mezzo</t>
        </is>
      </c>
      <c r="B352" s="14" t="inlineStr">
        <is>
          <t>Poi prenderemo New York</t>
        </is>
      </c>
      <c r="C352" s="14" t="inlineStr">
        <is>
          <t>Ellen Strömberg</t>
        </is>
      </c>
      <c r="D352" s="14" t="inlineStr">
        <is>
          <t>L'Acchiappastorie – Collana Slanci</t>
        </is>
      </c>
      <c r="E352" s="14" t="inlineStr">
        <is>
          <t>Young Adult</t>
        </is>
      </c>
      <c r="F352" s="14" t="inlineStr">
        <is>
          <t>Adolescenza (14+)</t>
        </is>
      </c>
      <c r="G352" s="14" t="inlineStr">
        <is>
          <t>Romanzo</t>
        </is>
      </c>
      <c r="H352" s="14" t="inlineStr"/>
      <c r="I352" s="14" t="inlineStr">
        <is>
          <t>No</t>
        </is>
      </c>
      <c r="J352" s="14" t="inlineStr">
        <is>
          <t>Collana</t>
        </is>
      </c>
      <c r="K352" s="14" t="inlineStr">
        <is>
          <t>adolescenza, romanzo, narrativa</t>
        </is>
      </c>
      <c r="L352" s="14" t="inlineStr">
        <is>
          <t>Catalogo Terre di Mezzo 1° semestre 2026, p. 77 (ISBN 9791259961457)</t>
        </is>
      </c>
      <c r="M352" s="16" t="n">
        <v>15</v>
      </c>
      <c r="N352" s="14" t="inlineStr">
        <is>
          <t>Catalogo Terre di Mezzo 1° semestre 2026</t>
        </is>
      </c>
      <c r="O352" s="16">
        <f>IF(ISNUMBER(M352),ROUND(M352*(1-Condizioni!$B$2),2),"")</f>
        <v/>
      </c>
      <c r="P352" s="17" t="inlineStr">
        <is>
          <t>Sì</t>
        </is>
      </c>
    </row>
    <row r="353">
      <c r="A353" s="14" t="inlineStr">
        <is>
          <t>Terre di Mezzo</t>
        </is>
      </c>
      <c r="B353" s="14" t="inlineStr">
        <is>
          <t>Proprio prima che</t>
        </is>
      </c>
      <c r="C353" s="14" t="inlineStr">
        <is>
          <t>Joanne Richoux</t>
        </is>
      </c>
      <c r="D353" s="14" t="inlineStr">
        <is>
          <t>L'Acchiappastorie – Collana Slanci</t>
        </is>
      </c>
      <c r="E353" s="14" t="inlineStr">
        <is>
          <t>Young Adult</t>
        </is>
      </c>
      <c r="F353" s="14" t="inlineStr">
        <is>
          <t>Adolescenza (14+)</t>
        </is>
      </c>
      <c r="G353" s="14" t="inlineStr">
        <is>
          <t>Romanzo</t>
        </is>
      </c>
      <c r="H353" s="14" t="inlineStr"/>
      <c r="I353" s="14" t="inlineStr">
        <is>
          <t>No</t>
        </is>
      </c>
      <c r="J353" s="14" t="inlineStr">
        <is>
          <t>Collana</t>
        </is>
      </c>
      <c r="K353" s="14" t="inlineStr">
        <is>
          <t>adolescenza, romanzo, narrativa</t>
        </is>
      </c>
      <c r="L353" s="14" t="inlineStr">
        <is>
          <t>Catalogo Terre di Mezzo 1° semestre 2026, p. 76 (ISBN 9791259962911)</t>
        </is>
      </c>
      <c r="M353" s="16" t="n">
        <v>15</v>
      </c>
      <c r="N353" s="14" t="inlineStr">
        <is>
          <t>Catalogo Terre di Mezzo 1° semestre 2026</t>
        </is>
      </c>
      <c r="O353" s="16">
        <f>IF(ISNUMBER(M353),ROUND(M353*(1-Condizioni!$B$2),2),"")</f>
        <v/>
      </c>
      <c r="P353" s="17" t="inlineStr">
        <is>
          <t>No</t>
        </is>
      </c>
    </row>
    <row r="354">
      <c r="A354" s="14" t="inlineStr">
        <is>
          <t>Terre di Mezzo</t>
        </is>
      </c>
      <c r="B354" s="14" t="inlineStr">
        <is>
          <t>Se punti alla luna</t>
        </is>
      </c>
      <c r="C354" s="14" t="inlineStr">
        <is>
          <t>Marie Vareille</t>
        </is>
      </c>
      <c r="D354" s="14" t="inlineStr">
        <is>
          <t>L'Acchiappastorie – Collana Slanci</t>
        </is>
      </c>
      <c r="E354" s="14" t="inlineStr">
        <is>
          <t>Young Adult</t>
        </is>
      </c>
      <c r="F354" s="14" t="inlineStr">
        <is>
          <t>Adolescenza (14+)</t>
        </is>
      </c>
      <c r="G354" s="14" t="inlineStr">
        <is>
          <t>Romanzo</t>
        </is>
      </c>
      <c r="H354" s="14" t="inlineStr"/>
      <c r="I354" s="14" t="inlineStr">
        <is>
          <t>No</t>
        </is>
      </c>
      <c r="J354" s="14" t="inlineStr">
        <is>
          <t>Collana</t>
        </is>
      </c>
      <c r="K354" s="14" t="inlineStr">
        <is>
          <t>adolescenza, romanzo, narrativa</t>
        </is>
      </c>
      <c r="L354" s="14" t="inlineStr">
        <is>
          <t>Catalogo Terre di Mezzo 1° semestre 2026, p. 77 (ISBN 9791259961396)</t>
        </is>
      </c>
      <c r="M354" s="16" t="n">
        <v>15</v>
      </c>
      <c r="N354" s="14" t="inlineStr">
        <is>
          <t>Catalogo Terre di Mezzo 1° semestre 2026</t>
        </is>
      </c>
      <c r="O354" s="16">
        <f>IF(ISNUMBER(M354),ROUND(M354*(1-Condizioni!$B$2),2),"")</f>
        <v/>
      </c>
      <c r="P354" s="17" t="inlineStr">
        <is>
          <t>No</t>
        </is>
      </c>
    </row>
    <row r="355">
      <c r="A355" s="14" t="inlineStr">
        <is>
          <t>Terre di Mezzo</t>
        </is>
      </c>
      <c r="B355" s="14" t="inlineStr">
        <is>
          <t>Un ragazzo è quasi niente</t>
        </is>
      </c>
      <c r="C355" s="14" t="inlineStr">
        <is>
          <t>Lisa Balavoine</t>
        </is>
      </c>
      <c r="D355" s="14" t="inlineStr">
        <is>
          <t>L'Acchiappastorie – Collana Slanci</t>
        </is>
      </c>
      <c r="E355" s="14" t="inlineStr">
        <is>
          <t>Young Adult</t>
        </is>
      </c>
      <c r="F355" s="14" t="inlineStr">
        <is>
          <t>Adolescenza (14+)</t>
        </is>
      </c>
      <c r="G355" s="14" t="inlineStr">
        <is>
          <t>Romanzo</t>
        </is>
      </c>
      <c r="H355" s="14" t="inlineStr"/>
      <c r="I355" s="14" t="inlineStr">
        <is>
          <t>No</t>
        </is>
      </c>
      <c r="J355" s="14" t="inlineStr">
        <is>
          <t>Collana</t>
        </is>
      </c>
      <c r="K355" s="14" t="inlineStr">
        <is>
          <t>adolescenza, romanzo, narrativa</t>
        </is>
      </c>
      <c r="L355" s="14" t="inlineStr">
        <is>
          <t>Catalogo Terre di Mezzo 1° semestre 2026, p. 77 (ISBN 9791259960696)</t>
        </is>
      </c>
      <c r="M355" s="16" t="n">
        <v>15</v>
      </c>
      <c r="N355" s="14" t="inlineStr">
        <is>
          <t>Catalogo Terre di Mezzo 1° semestre 2026</t>
        </is>
      </c>
      <c r="O355" s="16">
        <f>IF(ISNUMBER(M355),ROUND(M355*(1-Condizioni!$B$2),2),"")</f>
        <v/>
      </c>
      <c r="P355" s="17" t="inlineStr">
        <is>
          <t>Sì</t>
        </is>
      </c>
    </row>
    <row r="356">
      <c r="A356" s="14" t="inlineStr">
        <is>
          <t>Terre di Mezzo</t>
        </is>
      </c>
      <c r="B356" s="14" t="inlineStr">
        <is>
          <t>Concerto per alberi</t>
        </is>
      </c>
      <c r="C356" s="14" t="inlineStr">
        <is>
          <t>Laëtitia Devernay</t>
        </is>
      </c>
      <c r="D356" s="14" t="inlineStr">
        <is>
          <t>L'Acchiappastorie – Silent book</t>
        </is>
      </c>
      <c r="E356" s="14" t="inlineStr">
        <is>
          <t>per tutte le età</t>
        </is>
      </c>
      <c r="F356" s="14" t="inlineStr">
        <is>
          <t>n.d. / tutte le età</t>
        </is>
      </c>
      <c r="G356" s="14" t="inlineStr">
        <is>
          <t>Silent book</t>
        </is>
      </c>
      <c r="H356" s="14" t="inlineStr"/>
      <c r="I356" s="14" t="inlineStr">
        <is>
          <t>No</t>
        </is>
      </c>
      <c r="J356" s="14" t="inlineStr">
        <is>
          <t>Collana</t>
        </is>
      </c>
      <c r="K356" s="14" t="inlineStr"/>
      <c r="L356" s="14" t="inlineStr">
        <is>
          <t>Catalogo Terre di Mezzo 1° semestre 2026, p. 39 (ISBN 9791259963024)</t>
        </is>
      </c>
      <c r="M356" s="16" t="n">
        <v>20</v>
      </c>
      <c r="N356" s="14" t="inlineStr">
        <is>
          <t>Catalogo Terre di Mezzo 1° semestre 2026</t>
        </is>
      </c>
      <c r="O356" s="16">
        <f>IF(ISNUMBER(M356),ROUND(M356*(1-Condizioni!$B$2),2),"")</f>
        <v/>
      </c>
      <c r="P356" s="17" t="inlineStr">
        <is>
          <t>No</t>
        </is>
      </c>
    </row>
    <row r="357">
      <c r="A357" s="14" t="inlineStr">
        <is>
          <t>Terre di Mezzo</t>
        </is>
      </c>
      <c r="B357" s="14" t="inlineStr">
        <is>
          <t>Due passi tra le fiabe</t>
        </is>
      </c>
      <c r="C357" s="14" t="inlineStr">
        <is>
          <t>Helen Mortimer, Lars van de Goor, Gabriella Barouch</t>
        </is>
      </c>
      <c r="D357" s="14" t="inlineStr">
        <is>
          <t>L'Acchiappastorie – Albi per tutte le età</t>
        </is>
      </c>
      <c r="E357" s="14" t="inlineStr">
        <is>
          <t>per tutte le età</t>
        </is>
      </c>
      <c r="F357" s="14" t="inlineStr">
        <is>
          <t>n.d. / tutte le età</t>
        </is>
      </c>
      <c r="G357" s="14" t="inlineStr">
        <is>
          <t>Albo illustrato</t>
        </is>
      </c>
      <c r="H357" s="14" t="inlineStr"/>
      <c r="I357" s="14" t="inlineStr">
        <is>
          <t>No</t>
        </is>
      </c>
      <c r="J357" s="14" t="inlineStr">
        <is>
          <t>Collana</t>
        </is>
      </c>
      <c r="K357" s="14" t="inlineStr"/>
      <c r="L357" s="14" t="inlineStr">
        <is>
          <t>Catalogo Terre di Mezzo 1° semestre 2026, p. 44 (ISBN 9791259963789)</t>
        </is>
      </c>
      <c r="M357" s="16" t="n">
        <v>20</v>
      </c>
      <c r="N357" s="14" t="inlineStr">
        <is>
          <t>Catalogo Terre di Mezzo 1° semestre 2026</t>
        </is>
      </c>
      <c r="O357" s="16">
        <f>IF(ISNUMBER(M357),ROUND(M357*(1-Condizioni!$B$2),2),"")</f>
        <v/>
      </c>
      <c r="P357" s="17" t="inlineStr">
        <is>
          <t>No</t>
        </is>
      </c>
    </row>
    <row r="358">
      <c r="A358" s="14" t="inlineStr">
        <is>
          <t>Terre di Mezzo</t>
        </is>
      </c>
      <c r="B358" s="14" t="inlineStr">
        <is>
          <t>Esprimi un desiderio</t>
        </is>
      </c>
      <c r="C358" s="14" t="inlineStr">
        <is>
          <t>Christoph Niemann</t>
        </is>
      </c>
      <c r="D358" s="14" t="inlineStr">
        <is>
          <t>L'Acchiappastorie – Silent book</t>
        </is>
      </c>
      <c r="E358" s="14" t="inlineStr">
        <is>
          <t>per tutte le età</t>
        </is>
      </c>
      <c r="F358" s="14" t="inlineStr">
        <is>
          <t>n.d. / tutte le età</t>
        </is>
      </c>
      <c r="G358" s="14" t="inlineStr">
        <is>
          <t>Silent book</t>
        </is>
      </c>
      <c r="H358" s="14" t="inlineStr"/>
      <c r="I358" s="14" t="inlineStr">
        <is>
          <t>No</t>
        </is>
      </c>
      <c r="J358" s="14" t="inlineStr">
        <is>
          <t>Collana</t>
        </is>
      </c>
      <c r="K358" s="14" t="inlineStr"/>
      <c r="L358" s="14" t="inlineStr">
        <is>
          <t>Catalogo Terre di Mezzo 1° semestre 2026, p. 41 (ISBN 9791259960344)</t>
        </is>
      </c>
      <c r="M358" s="16" t="n">
        <v>15</v>
      </c>
      <c r="N358" s="14" t="inlineStr">
        <is>
          <t>Catalogo Terre di Mezzo 1° semestre 2026</t>
        </is>
      </c>
      <c r="O358" s="16">
        <f>IF(ISNUMBER(M358),ROUND(M358*(1-Condizioni!$B$2),2),"")</f>
        <v/>
      </c>
      <c r="P358" s="17" t="inlineStr">
        <is>
          <t>No</t>
        </is>
      </c>
    </row>
    <row r="359">
      <c r="A359" s="14" t="inlineStr">
        <is>
          <t>Terre di Mezzo</t>
        </is>
      </c>
      <c r="B359" s="14" t="inlineStr">
        <is>
          <t>Favole</t>
        </is>
      </c>
      <c r="C359" s="14" t="inlineStr">
        <is>
          <t>Jean de La Fontaine, Rébecca Dautremer</t>
        </is>
      </c>
      <c r="D359" s="14" t="inlineStr">
        <is>
          <t>L'Acchiappastorie – Albi per tutte le età</t>
        </is>
      </c>
      <c r="E359" s="14" t="inlineStr">
        <is>
          <t>per tutte le età</t>
        </is>
      </c>
      <c r="F359" s="14" t="inlineStr">
        <is>
          <t>n.d. / tutte le età</t>
        </is>
      </c>
      <c r="G359" s="14" t="inlineStr">
        <is>
          <t>Albo illustrato</t>
        </is>
      </c>
      <c r="H359" s="14" t="inlineStr"/>
      <c r="I359" s="14" t="inlineStr">
        <is>
          <t>No</t>
        </is>
      </c>
      <c r="J359" s="14" t="inlineStr">
        <is>
          <t>Collana</t>
        </is>
      </c>
      <c r="K359" s="14" t="inlineStr"/>
      <c r="L359" s="14" t="inlineStr">
        <is>
          <t>Catalogo Terre di Mezzo 1° semestre 2026, p. 47 (ISBN 9791259960863)</t>
        </is>
      </c>
      <c r="M359" s="16" t="n">
        <v>20</v>
      </c>
      <c r="N359" s="14" t="inlineStr">
        <is>
          <t>Catalogo Terre di Mezzo 1° semestre 2026</t>
        </is>
      </c>
      <c r="O359" s="16">
        <f>IF(ISNUMBER(M359),ROUND(M359*(1-Condizioni!$B$2),2),"")</f>
        <v/>
      </c>
      <c r="P359" s="17" t="inlineStr">
        <is>
          <t>No</t>
        </is>
      </c>
    </row>
    <row r="360">
      <c r="A360" s="14" t="inlineStr">
        <is>
          <t>Terre di Mezzo</t>
        </is>
      </c>
      <c r="B360" s="14" t="inlineStr">
        <is>
          <t>Fiabe</t>
        </is>
      </c>
      <c r="C360" s="14" t="inlineStr">
        <is>
          <t>Hans Christian Andersen, Quentin Gréban</t>
        </is>
      </c>
      <c r="D360" s="14" t="inlineStr">
        <is>
          <t>L'Acchiappastorie – Albi per tutte le età</t>
        </is>
      </c>
      <c r="E360" s="14" t="inlineStr">
        <is>
          <t>per tutte le età</t>
        </is>
      </c>
      <c r="F360" s="14" t="inlineStr">
        <is>
          <t>n.d. / tutte le età</t>
        </is>
      </c>
      <c r="G360" s="14" t="inlineStr">
        <is>
          <t>Albo illustrato</t>
        </is>
      </c>
      <c r="H360" s="14" t="inlineStr"/>
      <c r="I360" s="14" t="inlineStr">
        <is>
          <t>No</t>
        </is>
      </c>
      <c r="J360" s="14" t="inlineStr">
        <is>
          <t>Collana</t>
        </is>
      </c>
      <c r="K360" s="14" t="inlineStr"/>
      <c r="L360" s="14" t="inlineStr">
        <is>
          <t>Catalogo Terre di Mezzo 1° semestre 2026, p. 45 (ISBN 9788861897762)</t>
        </is>
      </c>
      <c r="M360" s="16" t="n">
        <v>18</v>
      </c>
      <c r="N360" s="14" t="inlineStr">
        <is>
          <t>Catalogo Terre di Mezzo 1° semestre 2026</t>
        </is>
      </c>
      <c r="O360" s="16">
        <f>IF(ISNUMBER(M360),ROUND(M360*(1-Condizioni!$B$2),2),"")</f>
        <v/>
      </c>
      <c r="P360" s="17" t="inlineStr">
        <is>
          <t>No</t>
        </is>
      </c>
    </row>
    <row r="361">
      <c r="A361" s="14" t="inlineStr">
        <is>
          <t>Terre di Mezzo</t>
        </is>
      </c>
      <c r="B361" s="14" t="inlineStr">
        <is>
          <t>Fratelli</t>
        </is>
      </c>
      <c r="C361" s="14" t="inlineStr">
        <is>
          <t>Marie Le Cuziat, Hua Ling Xu</t>
        </is>
      </c>
      <c r="D361" s="14" t="inlineStr">
        <is>
          <t>L'Acchiappastorie – Albi per tutte le età</t>
        </is>
      </c>
      <c r="E361" s="14" t="inlineStr">
        <is>
          <t>per tutte le età</t>
        </is>
      </c>
      <c r="F361" s="14" t="inlineStr">
        <is>
          <t>3-6 anni</t>
        </is>
      </c>
      <c r="G361" s="14" t="inlineStr">
        <is>
          <t>Albo illustrato</t>
        </is>
      </c>
      <c r="H361" s="14" t="inlineStr"/>
      <c r="I361" s="14" t="inlineStr">
        <is>
          <t>No</t>
        </is>
      </c>
      <c r="J361" s="14" t="inlineStr">
        <is>
          <t>Collana</t>
        </is>
      </c>
      <c r="K361" s="14" t="inlineStr">
        <is>
          <t>3-6 anni</t>
        </is>
      </c>
      <c r="L361" s="14" t="inlineStr">
        <is>
          <t>Catalogo Terre di Mezzo 1° semestre 2026, p. 43 (ISBN 9791259962942)</t>
        </is>
      </c>
      <c r="M361" s="16" t="n">
        <v>16</v>
      </c>
      <c r="N361" s="14" t="inlineStr">
        <is>
          <t>Catalogo Terre di Mezzo 1° semestre 2026</t>
        </is>
      </c>
      <c r="O361" s="16">
        <f>IF(ISNUMBER(M361),ROUND(M361*(1-Condizioni!$B$2),2),"")</f>
        <v/>
      </c>
      <c r="P361" s="17" t="inlineStr">
        <is>
          <t>Sì</t>
        </is>
      </c>
    </row>
    <row r="362">
      <c r="A362" s="14" t="inlineStr">
        <is>
          <t>Terre di Mezzo</t>
        </is>
      </c>
      <c r="B362" s="14" t="inlineStr">
        <is>
          <t>Giochi di luce</t>
        </is>
      </c>
      <c r="C362" s="14" t="inlineStr">
        <is>
          <t>Lizi Boyd</t>
        </is>
      </c>
      <c r="D362" s="14" t="inlineStr">
        <is>
          <t>L'Acchiappastorie – Albi per tutte le età</t>
        </is>
      </c>
      <c r="E362" s="14" t="inlineStr">
        <is>
          <t>per tutte le età</t>
        </is>
      </c>
      <c r="F362" s="14" t="inlineStr">
        <is>
          <t>n.d. / tutte le età</t>
        </is>
      </c>
      <c r="G362" s="14" t="inlineStr">
        <is>
          <t>Albo illustrato</t>
        </is>
      </c>
      <c r="H362" s="14" t="inlineStr"/>
      <c r="I362" s="14" t="inlineStr">
        <is>
          <t>No</t>
        </is>
      </c>
      <c r="J362" s="14" t="inlineStr">
        <is>
          <t>Collana</t>
        </is>
      </c>
      <c r="K362" s="14" t="inlineStr"/>
      <c r="L362" s="14" t="inlineStr">
        <is>
          <t>Catalogo Terre di Mezzo 1° semestre 2026, p. 47 (ISBN 9788861894280)</t>
        </is>
      </c>
      <c r="M362" s="16" t="n">
        <v>14.9</v>
      </c>
      <c r="N362" s="14" t="inlineStr">
        <is>
          <t>Catalogo Terre di Mezzo 1° semestre 2026</t>
        </is>
      </c>
      <c r="O362" s="16">
        <f>IF(ISNUMBER(M362),ROUND(M362*(1-Condizioni!$B$2),2),"")</f>
        <v/>
      </c>
      <c r="P362" s="17" t="inlineStr">
        <is>
          <t>No</t>
        </is>
      </c>
    </row>
    <row r="363">
      <c r="A363" s="14" t="inlineStr">
        <is>
          <t>Terre di Mezzo</t>
        </is>
      </c>
      <c r="B363" s="14" t="inlineStr">
        <is>
          <t>Guarda bene</t>
        </is>
      </c>
      <c r="C363" s="14" t="inlineStr">
        <is>
          <t>Letizia Iannaccone</t>
        </is>
      </c>
      <c r="D363" s="14" t="inlineStr">
        <is>
          <t>L'Acchiappastorie – Silent book</t>
        </is>
      </c>
      <c r="E363" s="14" t="inlineStr">
        <is>
          <t>per tutte le età</t>
        </is>
      </c>
      <c r="F363" s="14" t="inlineStr">
        <is>
          <t>n.d. / tutte le età</t>
        </is>
      </c>
      <c r="G363" s="14" t="inlineStr">
        <is>
          <t>Silent book</t>
        </is>
      </c>
      <c r="H363" s="14" t="inlineStr"/>
      <c r="I363" s="14" t="inlineStr">
        <is>
          <t>No</t>
        </is>
      </c>
      <c r="J363" s="14" t="inlineStr">
        <is>
          <t>Collana</t>
        </is>
      </c>
      <c r="K363" s="14" t="inlineStr"/>
      <c r="L363" s="14" t="inlineStr">
        <is>
          <t>Catalogo Terre di Mezzo 1° semestre 2026, p. 41 (ISBN 9788861897533)</t>
        </is>
      </c>
      <c r="M363" s="16" t="n">
        <v>15</v>
      </c>
      <c r="N363" s="14" t="inlineStr">
        <is>
          <t>Catalogo Terre di Mezzo 1° semestre 2026</t>
        </is>
      </c>
      <c r="O363" s="16">
        <f>IF(ISNUMBER(M363),ROUND(M363*(1-Condizioni!$B$2),2),"")</f>
        <v/>
      </c>
      <c r="P363" s="17" t="inlineStr">
        <is>
          <t>No</t>
        </is>
      </c>
    </row>
    <row r="364">
      <c r="A364" s="14" t="inlineStr">
        <is>
          <t>Terre di Mezzo</t>
        </is>
      </c>
      <c r="B364" s="14" t="inlineStr">
        <is>
          <t>I giorni del mare</t>
        </is>
      </c>
      <c r="C364" s="14" t="inlineStr">
        <is>
          <t>Irene Penazzi</t>
        </is>
      </c>
      <c r="D364" s="14" t="inlineStr">
        <is>
          <t>L'Acchiappastorie – Silent book</t>
        </is>
      </c>
      <c r="E364" s="14" t="inlineStr">
        <is>
          <t>per tutte le età</t>
        </is>
      </c>
      <c r="F364" s="14" t="inlineStr">
        <is>
          <t>n.d. / tutte le età</t>
        </is>
      </c>
      <c r="G364" s="14" t="inlineStr">
        <is>
          <t>Silent book</t>
        </is>
      </c>
      <c r="H364" s="14" t="inlineStr"/>
      <c r="I364" s="14" t="inlineStr">
        <is>
          <t>No</t>
        </is>
      </c>
      <c r="J364" s="14" t="inlineStr">
        <is>
          <t>Collana</t>
        </is>
      </c>
      <c r="K364" s="14" t="inlineStr"/>
      <c r="L364" s="14" t="inlineStr">
        <is>
          <t>Catalogo Terre di Mezzo 1° semestre 2026, p. 40 (ISBN 9791259962270)</t>
        </is>
      </c>
      <c r="M364" s="16" t="n">
        <v>16</v>
      </c>
      <c r="N364" s="14" t="inlineStr">
        <is>
          <t>Catalogo Terre di Mezzo 1° semestre 2026</t>
        </is>
      </c>
      <c r="O364" s="16">
        <f>IF(ISNUMBER(M364),ROUND(M364*(1-Condizioni!$B$2),2),"")</f>
        <v/>
      </c>
      <c r="P364" s="17" t="inlineStr">
        <is>
          <t>No</t>
        </is>
      </c>
    </row>
    <row r="365">
      <c r="A365" s="14" t="inlineStr">
        <is>
          <t>Terre di Mezzo</t>
        </is>
      </c>
      <c r="B365" s="14" t="inlineStr">
        <is>
          <t>Il ladro di polli</t>
        </is>
      </c>
      <c r="C365" s="14" t="inlineStr">
        <is>
          <t>Béatrice Rodriguez</t>
        </is>
      </c>
      <c r="D365" s="14" t="inlineStr">
        <is>
          <t>L'Acchiappastorie – Silent book</t>
        </is>
      </c>
      <c r="E365" s="14" t="inlineStr">
        <is>
          <t>per tutte le età</t>
        </is>
      </c>
      <c r="F365" s="14" t="inlineStr">
        <is>
          <t>n.d. / tutte le età</t>
        </is>
      </c>
      <c r="G365" s="14" t="inlineStr">
        <is>
          <t>Silent book</t>
        </is>
      </c>
      <c r="H365" s="14" t="inlineStr"/>
      <c r="I365" s="14" t="inlineStr">
        <is>
          <t>No</t>
        </is>
      </c>
      <c r="J365" s="14" t="inlineStr">
        <is>
          <t>Collana</t>
        </is>
      </c>
      <c r="K365" s="14" t="inlineStr"/>
      <c r="L365" s="14" t="inlineStr">
        <is>
          <t>Catalogo Terre di Mezzo 1° semestre 2026, p. 39 (ISBN 9791259962461)</t>
        </is>
      </c>
      <c r="M365" s="16" t="n">
        <v>14</v>
      </c>
      <c r="N365" s="14" t="inlineStr">
        <is>
          <t>Catalogo Terre di Mezzo 1° semestre 2026</t>
        </is>
      </c>
      <c r="O365" s="16">
        <f>IF(ISNUMBER(M365),ROUND(M365*(1-Condizioni!$B$2),2),"")</f>
        <v/>
      </c>
      <c r="P365" s="17" t="inlineStr">
        <is>
          <t>No</t>
        </is>
      </c>
    </row>
    <row r="366">
      <c r="A366" s="14" t="inlineStr">
        <is>
          <t>Terre di Mezzo</t>
        </is>
      </c>
      <c r="B366" s="14" t="inlineStr">
        <is>
          <t>Il mondo ti aspetta</t>
        </is>
      </c>
      <c r="C366" s="14" t="inlineStr">
        <is>
          <t>Kobi Yamada, Gabriella Barouch</t>
        </is>
      </c>
      <c r="D366" s="14" t="inlineStr">
        <is>
          <t>L'Acchiappastorie – Albi per tutte le età</t>
        </is>
      </c>
      <c r="E366" s="14" t="inlineStr">
        <is>
          <t>per tutte le età</t>
        </is>
      </c>
      <c r="F366" s="14" t="inlineStr">
        <is>
          <t>n.d. / tutte le età</t>
        </is>
      </c>
      <c r="G366" s="14" t="inlineStr">
        <is>
          <t>Albo illustrato</t>
        </is>
      </c>
      <c r="H366" s="14" t="inlineStr"/>
      <c r="I366" s="14" t="inlineStr">
        <is>
          <t>No</t>
        </is>
      </c>
      <c r="J366" s="14" t="inlineStr">
        <is>
          <t>Collana</t>
        </is>
      </c>
      <c r="K366" s="14" t="inlineStr"/>
      <c r="L366" s="14" t="inlineStr">
        <is>
          <t>Catalogo Terre di Mezzo 1° semestre 2026, p. 44 (ISBN 9788861896604)</t>
        </is>
      </c>
      <c r="M366" s="16" t="n">
        <v>16</v>
      </c>
      <c r="N366" s="14" t="inlineStr">
        <is>
          <t>Catalogo Terre di Mezzo 1° semestre 2026</t>
        </is>
      </c>
      <c r="O366" s="16">
        <f>IF(ISNUMBER(M366),ROUND(M366*(1-Condizioni!$B$2),2),"")</f>
        <v/>
      </c>
      <c r="P366" s="17" t="inlineStr">
        <is>
          <t>No</t>
        </is>
      </c>
    </row>
    <row r="367">
      <c r="A367" s="14" t="inlineStr">
        <is>
          <t>Terre di Mezzo</t>
        </is>
      </c>
      <c r="B367" s="14" t="inlineStr">
        <is>
          <t>Il mondo è tuo</t>
        </is>
      </c>
      <c r="C367" s="14" t="inlineStr">
        <is>
          <t>Riccardo Bozzi, Olimpia Zagnoli</t>
        </is>
      </c>
      <c r="D367" s="14" t="inlineStr">
        <is>
          <t>L'Acchiappastorie – Albi per tutte le età</t>
        </is>
      </c>
      <c r="E367" s="14" t="inlineStr">
        <is>
          <t>per tutte le età</t>
        </is>
      </c>
      <c r="F367" s="14" t="inlineStr">
        <is>
          <t>3-6 anni</t>
        </is>
      </c>
      <c r="G367" s="14" t="inlineStr">
        <is>
          <t>Albo illustrato</t>
        </is>
      </c>
      <c r="H367" s="14" t="inlineStr"/>
      <c r="I367" s="14" t="inlineStr">
        <is>
          <t>No</t>
        </is>
      </c>
      <c r="J367" s="14" t="inlineStr">
        <is>
          <t>Collana</t>
        </is>
      </c>
      <c r="K367" s="14" t="inlineStr">
        <is>
          <t>3-6 anni</t>
        </is>
      </c>
      <c r="L367" s="14" t="inlineStr">
        <is>
          <t>Catalogo Terre di Mezzo 1° semestre 2026, p. 42 (ISBN 9791259964090)</t>
        </is>
      </c>
      <c r="M367" s="16" t="n">
        <v>18</v>
      </c>
      <c r="N367" s="14" t="inlineStr">
        <is>
          <t>Catalogo Terre di Mezzo 1° semestre 2026</t>
        </is>
      </c>
      <c r="O367" s="16">
        <f>IF(ISNUMBER(M367),ROUND(M367*(1-Condizioni!$B$2),2),"")</f>
        <v/>
      </c>
      <c r="P367" s="17" t="inlineStr">
        <is>
          <t>Sì</t>
        </is>
      </c>
    </row>
    <row r="368">
      <c r="A368" s="14" t="inlineStr">
        <is>
          <t>Terre di Mezzo</t>
        </is>
      </c>
      <c r="B368" s="14" t="inlineStr">
        <is>
          <t>Il mondo è tuo</t>
        </is>
      </c>
      <c r="C368" s="14" t="inlineStr">
        <is>
          <t>Riccardo Bozzi, Olimpia Zagnoli</t>
        </is>
      </c>
      <c r="D368" s="14" t="inlineStr">
        <is>
          <t>L'Acchiappastorie – Albi per tutte le età</t>
        </is>
      </c>
      <c r="E368" s="14" t="inlineStr">
        <is>
          <t>per tutte le età</t>
        </is>
      </c>
      <c r="F368" s="14" t="inlineStr">
        <is>
          <t>3-6 anni</t>
        </is>
      </c>
      <c r="G368" s="14" t="inlineStr">
        <is>
          <t>Albo illustrato</t>
        </is>
      </c>
      <c r="H368" s="14" t="inlineStr"/>
      <c r="I368" s="14" t="inlineStr">
        <is>
          <t>No</t>
        </is>
      </c>
      <c r="J368" s="14" t="inlineStr">
        <is>
          <t>Collana</t>
        </is>
      </c>
      <c r="K368" s="14" t="inlineStr">
        <is>
          <t>3-6 anni</t>
        </is>
      </c>
      <c r="L368" s="14" t="inlineStr">
        <is>
          <t>Catalogo Terre di Mezzo 1° semestre 2026, p. 42 (ISBN 9788861893740)</t>
        </is>
      </c>
      <c r="M368" s="16" t="n">
        <v>18</v>
      </c>
      <c r="N368" s="14" t="inlineStr">
        <is>
          <t>Catalogo Terre di Mezzo 1° semestre 2026</t>
        </is>
      </c>
      <c r="O368" s="16">
        <f>IF(ISNUMBER(M368),ROUND(M368*(1-Condizioni!$B$2),2),"")</f>
        <v/>
      </c>
      <c r="P368" s="17" t="inlineStr">
        <is>
          <t>Sì</t>
        </is>
      </c>
    </row>
    <row r="369">
      <c r="A369" s="14" t="inlineStr">
        <is>
          <t>Terre di Mezzo</t>
        </is>
      </c>
      <c r="B369" s="14" t="inlineStr">
        <is>
          <t>Il passo di ciascuno</t>
        </is>
      </c>
      <c r="C369" s="14" t="inlineStr">
        <is>
          <t>Henri Meunier, Régis Lejonc</t>
        </is>
      </c>
      <c r="D369" s="14" t="inlineStr">
        <is>
          <t>L'Acchiappastorie – Albi per tutte le età</t>
        </is>
      </c>
      <c r="E369" s="14" t="inlineStr">
        <is>
          <t>per tutte le età</t>
        </is>
      </c>
      <c r="F369" s="14" t="inlineStr">
        <is>
          <t>n.d. / tutte le età</t>
        </is>
      </c>
      <c r="G369" s="14" t="inlineStr">
        <is>
          <t>Albo illustrato</t>
        </is>
      </c>
      <c r="H369" s="14" t="inlineStr"/>
      <c r="I369" s="14" t="inlineStr">
        <is>
          <t>No</t>
        </is>
      </c>
      <c r="J369" s="14" t="inlineStr">
        <is>
          <t>Collana</t>
        </is>
      </c>
      <c r="K369" s="14" t="inlineStr"/>
      <c r="L369" s="14" t="inlineStr">
        <is>
          <t>Catalogo Terre di Mezzo 1° semestre 2026, p. 43 (ISBN 9791259960948)</t>
        </is>
      </c>
      <c r="M369" s="16" t="n">
        <v>18</v>
      </c>
      <c r="N369" s="14" t="inlineStr">
        <is>
          <t>Catalogo Terre di Mezzo 1° semestre 2026</t>
        </is>
      </c>
      <c r="O369" s="16">
        <f>IF(ISNUMBER(M369),ROUND(M369*(1-Condizioni!$B$2),2),"")</f>
        <v/>
      </c>
      <c r="P369" s="17" t="inlineStr">
        <is>
          <t>No</t>
        </is>
      </c>
    </row>
    <row r="370">
      <c r="A370" s="14" t="inlineStr">
        <is>
          <t>Terre di Mezzo</t>
        </is>
      </c>
      <c r="B370" s="14" t="inlineStr">
        <is>
          <t>Il signor Orizzontale e la signora Verticale</t>
        </is>
      </c>
      <c r="C370" s="14" t="inlineStr">
        <is>
          <t>Noémie Révah, Olimpia Zagnoli</t>
        </is>
      </c>
      <c r="D370" s="14" t="inlineStr">
        <is>
          <t>L'Acchiappastorie – Albi per tutte le età</t>
        </is>
      </c>
      <c r="E370" s="14" t="inlineStr">
        <is>
          <t>per tutte le età</t>
        </is>
      </c>
      <c r="F370" s="14" t="inlineStr">
        <is>
          <t>n.d. / tutte le età</t>
        </is>
      </c>
      <c r="G370" s="14" t="inlineStr">
        <is>
          <t>Albo illustrato</t>
        </is>
      </c>
      <c r="H370" s="14" t="inlineStr"/>
      <c r="I370" s="14" t="inlineStr">
        <is>
          <t>No</t>
        </is>
      </c>
      <c r="J370" s="14" t="inlineStr">
        <is>
          <t>Collana</t>
        </is>
      </c>
      <c r="K370" s="14" t="inlineStr"/>
      <c r="L370" s="14" t="inlineStr">
        <is>
          <t>Catalogo Terre di Mezzo 1° semestre 2026, p. 42 (ISBN 9791259963017)</t>
        </is>
      </c>
      <c r="M370" s="16" t="n">
        <v>16</v>
      </c>
      <c r="N370" s="14" t="inlineStr">
        <is>
          <t>Catalogo Terre di Mezzo 1° semestre 2026</t>
        </is>
      </c>
      <c r="O370" s="16">
        <f>IF(ISNUMBER(M370),ROUND(M370*(1-Condizioni!$B$2),2),"")</f>
        <v/>
      </c>
      <c r="P370" s="17" t="inlineStr">
        <is>
          <t>No</t>
        </is>
      </c>
    </row>
    <row r="371">
      <c r="A371" s="14" t="inlineStr">
        <is>
          <t>Terre di Mezzo</t>
        </is>
      </c>
      <c r="B371" s="14" t="inlineStr">
        <is>
          <t>Il viaggio</t>
        </is>
      </c>
      <c r="C371" s="14" t="inlineStr">
        <is>
          <t>Peter Van den Ende</t>
        </is>
      </c>
      <c r="D371" s="14" t="inlineStr">
        <is>
          <t>L'Acchiappastorie – Silent book</t>
        </is>
      </c>
      <c r="E371" s="14" t="inlineStr">
        <is>
          <t>per tutte le età</t>
        </is>
      </c>
      <c r="F371" s="14" t="inlineStr">
        <is>
          <t>n.d. / tutte le età</t>
        </is>
      </c>
      <c r="G371" s="14" t="inlineStr">
        <is>
          <t>Silent book</t>
        </is>
      </c>
      <c r="H371" s="14" t="inlineStr"/>
      <c r="I371" s="14" t="inlineStr">
        <is>
          <t>No</t>
        </is>
      </c>
      <c r="J371" s="14" t="inlineStr">
        <is>
          <t>Collana</t>
        </is>
      </c>
      <c r="K371" s="14" t="inlineStr"/>
      <c r="L371" s="14" t="inlineStr">
        <is>
          <t>Catalogo Terre di Mezzo 1° semestre 2026, p. 41 (ISBN 9788861897465)</t>
        </is>
      </c>
      <c r="M371" s="16" t="n">
        <v>20</v>
      </c>
      <c r="N371" s="14" t="inlineStr">
        <is>
          <t>Catalogo Terre di Mezzo 1° semestre 2026</t>
        </is>
      </c>
      <c r="O371" s="16">
        <f>IF(ISNUMBER(M371),ROUND(M371*(1-Condizioni!$B$2),2),"")</f>
        <v/>
      </c>
      <c r="P371" s="17" t="inlineStr">
        <is>
          <t>No</t>
        </is>
      </c>
    </row>
    <row r="372">
      <c r="A372" s="14" t="inlineStr">
        <is>
          <t>Terre di Mezzo</t>
        </is>
      </c>
      <c r="B372" s="14" t="inlineStr">
        <is>
          <t>Immagina</t>
        </is>
      </c>
      <c r="C372" s="14" t="inlineStr">
        <is>
          <t>Emily Winfield Martin</t>
        </is>
      </c>
      <c r="D372" s="14" t="inlineStr">
        <is>
          <t>L'Acchiappastorie – Albi per tutte le età</t>
        </is>
      </c>
      <c r="E372" s="14" t="inlineStr">
        <is>
          <t>per tutte le età</t>
        </is>
      </c>
      <c r="F372" s="14" t="inlineStr">
        <is>
          <t>n.d. / tutte le età</t>
        </is>
      </c>
      <c r="G372" s="14" t="inlineStr">
        <is>
          <t>Albo illustrato</t>
        </is>
      </c>
      <c r="H372" s="14" t="inlineStr"/>
      <c r="I372" s="14" t="inlineStr">
        <is>
          <t>No</t>
        </is>
      </c>
      <c r="J372" s="14" t="inlineStr">
        <is>
          <t>Collana</t>
        </is>
      </c>
      <c r="K372" s="14" t="inlineStr"/>
      <c r="L372" s="14" t="inlineStr">
        <is>
          <t>Catalogo Terre di Mezzo 1° semestre 2026, p. 44 (ISBN 9788861896468)</t>
        </is>
      </c>
      <c r="M372" s="16" t="n">
        <v>18</v>
      </c>
      <c r="N372" s="14" t="inlineStr">
        <is>
          <t>Catalogo Terre di Mezzo 1° semestre 2026</t>
        </is>
      </c>
      <c r="O372" s="16">
        <f>IF(ISNUMBER(M372),ROUND(M372*(1-Condizioni!$B$2),2),"")</f>
        <v/>
      </c>
      <c r="P372" s="17" t="inlineStr">
        <is>
          <t>No</t>
        </is>
      </c>
    </row>
    <row r="373">
      <c r="A373" s="14" t="inlineStr">
        <is>
          <t>Terre di Mezzo</t>
        </is>
      </c>
      <c r="B373" s="14" t="inlineStr">
        <is>
          <t>In canto</t>
        </is>
      </c>
      <c r="C373" s="14" t="inlineStr">
        <is>
          <t>Giusi Quarenghi, Alessandro Sanna</t>
        </is>
      </c>
      <c r="D373" s="14" t="inlineStr">
        <is>
          <t>L'Acchiappastorie – Albi per tutte le età</t>
        </is>
      </c>
      <c r="E373" s="14" t="inlineStr">
        <is>
          <t>per tutte le età</t>
        </is>
      </c>
      <c r="F373" s="14" t="inlineStr">
        <is>
          <t>n.d. / tutte le età</t>
        </is>
      </c>
      <c r="G373" s="14" t="inlineStr">
        <is>
          <t>Albo illustrato</t>
        </is>
      </c>
      <c r="H373" s="14" t="inlineStr"/>
      <c r="I373" s="14" t="inlineStr">
        <is>
          <t>No</t>
        </is>
      </c>
      <c r="J373" s="14" t="inlineStr">
        <is>
          <t>Collana</t>
        </is>
      </c>
      <c r="K373" s="14" t="inlineStr"/>
      <c r="L373" s="14" t="inlineStr">
        <is>
          <t>Catalogo Terre di Mezzo 1° semestre 2026, p. 43 (ISBN 9791259961174)</t>
        </is>
      </c>
      <c r="M373" s="16" t="n">
        <v>24</v>
      </c>
      <c r="N373" s="14" t="inlineStr">
        <is>
          <t>Catalogo Terre di Mezzo 1° semestre 2026</t>
        </is>
      </c>
      <c r="O373" s="16">
        <f>IF(ISNUMBER(M373),ROUND(M373*(1-Condizioni!$B$2),2),"")</f>
        <v/>
      </c>
      <c r="P373" s="17" t="inlineStr">
        <is>
          <t>No</t>
        </is>
      </c>
    </row>
    <row r="374">
      <c r="A374" s="14" t="inlineStr">
        <is>
          <t>Terre di Mezzo</t>
        </is>
      </c>
      <c r="B374" s="14" t="inlineStr">
        <is>
          <t>Incontri disincontri</t>
        </is>
      </c>
      <c r="C374" s="14" t="inlineStr">
        <is>
          <t>Jimmy Liao</t>
        </is>
      </c>
      <c r="D374" s="14" t="inlineStr">
        <is>
          <t>L'Acchiappastorie – Albi per tutte le età</t>
        </is>
      </c>
      <c r="E374" s="14" t="inlineStr">
        <is>
          <t>per tutte le età</t>
        </is>
      </c>
      <c r="F374" s="14" t="inlineStr">
        <is>
          <t>n.d. / tutte le età</t>
        </is>
      </c>
      <c r="G374" s="14" t="inlineStr">
        <is>
          <t>Albo illustrato</t>
        </is>
      </c>
      <c r="H374" s="14" t="inlineStr"/>
      <c r="I374" s="14" t="inlineStr">
        <is>
          <t>No</t>
        </is>
      </c>
      <c r="J374" s="14" t="inlineStr">
        <is>
          <t>Collana</t>
        </is>
      </c>
      <c r="K374" s="14" t="inlineStr"/>
      <c r="L374" s="14" t="inlineStr">
        <is>
          <t>Catalogo Terre di Mezzo 1° semestre 2026, p. 47 (ISBN 9788861895393)</t>
        </is>
      </c>
      <c r="M374" s="16" t="n">
        <v>14</v>
      </c>
      <c r="N374" s="14" t="inlineStr">
        <is>
          <t>Catalogo Terre di Mezzo 1° semestre 2026</t>
        </is>
      </c>
      <c r="O374" s="16">
        <f>IF(ISNUMBER(M374),ROUND(M374*(1-Condizioni!$B$2),2),"")</f>
        <v/>
      </c>
      <c r="P374" s="17" t="inlineStr">
        <is>
          <t>No</t>
        </is>
      </c>
    </row>
    <row r="375">
      <c r="A375" s="14" t="inlineStr">
        <is>
          <t>Terre di Mezzo</t>
        </is>
      </c>
      <c r="B375" s="14" t="inlineStr">
        <is>
          <t>Innamorati</t>
        </is>
      </c>
      <c r="C375" s="14" t="inlineStr">
        <is>
          <t>Hélène Delforge, Quentin Gréban</t>
        </is>
      </c>
      <c r="D375" s="14" t="inlineStr">
        <is>
          <t>L'Acchiappastorie – Albi per tutte le età</t>
        </is>
      </c>
      <c r="E375" s="14" t="inlineStr">
        <is>
          <t>per tutte le età</t>
        </is>
      </c>
      <c r="F375" s="14" t="inlineStr">
        <is>
          <t>n.d. / tutte le età</t>
        </is>
      </c>
      <c r="G375" s="14" t="inlineStr">
        <is>
          <t>Albo illustrato</t>
        </is>
      </c>
      <c r="H375" s="14" t="inlineStr"/>
      <c r="I375" s="14" t="inlineStr">
        <is>
          <t>No</t>
        </is>
      </c>
      <c r="J375" s="14" t="inlineStr">
        <is>
          <t>Collana</t>
        </is>
      </c>
      <c r="K375" s="14" t="inlineStr"/>
      <c r="L375" s="14" t="inlineStr">
        <is>
          <t>Catalogo Terre di Mezzo 1° semestre 2026, p. 45 (ISBN 9788861896130)</t>
        </is>
      </c>
      <c r="M375" s="16" t="n">
        <v>19</v>
      </c>
      <c r="N375" s="14" t="inlineStr">
        <is>
          <t>Catalogo Terre di Mezzo 1° semestre 2026</t>
        </is>
      </c>
      <c r="O375" s="16">
        <f>IF(ISNUMBER(M375),ROUND(M375*(1-Condizioni!$B$2),2),"")</f>
        <v/>
      </c>
      <c r="P375" s="17" t="inlineStr">
        <is>
          <t>No</t>
        </is>
      </c>
    </row>
    <row r="376">
      <c r="A376" s="14" t="inlineStr">
        <is>
          <t>Terre di Mezzo</t>
        </is>
      </c>
      <c r="B376" s="14" t="inlineStr">
        <is>
          <t>Innamorati. il taccuino</t>
        </is>
      </c>
      <c r="C376" s="14" t="inlineStr">
        <is>
          <t>Hélène Delforge, Quentin Gréban</t>
        </is>
      </c>
      <c r="D376" s="14" t="inlineStr">
        <is>
          <t>L'Acchiappastorie – Albi per tutte le età</t>
        </is>
      </c>
      <c r="E376" s="14" t="inlineStr">
        <is>
          <t>per tutte le età</t>
        </is>
      </c>
      <c r="F376" s="14" t="inlineStr">
        <is>
          <t>n.d. / tutte le età</t>
        </is>
      </c>
      <c r="G376" s="14" t="inlineStr">
        <is>
          <t>Albo illustrato</t>
        </is>
      </c>
      <c r="H376" s="14" t="inlineStr"/>
      <c r="I376" s="14" t="inlineStr">
        <is>
          <t>No</t>
        </is>
      </c>
      <c r="J376" s="14" t="inlineStr">
        <is>
          <t>Collana</t>
        </is>
      </c>
      <c r="K376" s="14" t="inlineStr"/>
      <c r="L376" s="14" t="inlineStr">
        <is>
          <t>Catalogo Terre di Mezzo 1° semestre 2026, p. 45 (ISBN 9788861896949)</t>
        </is>
      </c>
      <c r="M376" s="16" t="n">
        <v>12</v>
      </c>
      <c r="N376" s="14" t="inlineStr">
        <is>
          <t>Catalogo Terre di Mezzo 1° semestre 2026</t>
        </is>
      </c>
      <c r="O376" s="16">
        <f>IF(ISNUMBER(M376),ROUND(M376*(1-Condizioni!$B$2),2),"")</f>
        <v/>
      </c>
      <c r="P376" s="17" t="inlineStr">
        <is>
          <t>No</t>
        </is>
      </c>
    </row>
    <row r="377">
      <c r="A377" s="14" t="inlineStr">
        <is>
          <t>Terre di Mezzo</t>
        </is>
      </c>
      <c r="B377" s="14" t="inlineStr">
        <is>
          <t>La forma del mare</t>
        </is>
      </c>
      <c r="C377" s="14" t="inlineStr">
        <is>
          <t>Juan Palomino</t>
        </is>
      </c>
      <c r="D377" s="14" t="inlineStr">
        <is>
          <t>L'Acchiappastorie – Albi per tutte le età</t>
        </is>
      </c>
      <c r="E377" s="14" t="inlineStr">
        <is>
          <t>per tutte le età</t>
        </is>
      </c>
      <c r="F377" s="14" t="inlineStr">
        <is>
          <t>n.d. / tutte le età</t>
        </is>
      </c>
      <c r="G377" s="14" t="inlineStr">
        <is>
          <t>Albo illustrato</t>
        </is>
      </c>
      <c r="H377" s="14" t="inlineStr"/>
      <c r="I377" s="14" t="inlineStr">
        <is>
          <t>No</t>
        </is>
      </c>
      <c r="J377" s="14" t="inlineStr">
        <is>
          <t>Collana</t>
        </is>
      </c>
      <c r="K377" s="14" t="inlineStr"/>
      <c r="L377" s="14" t="inlineStr">
        <is>
          <t>Catalogo Terre di Mezzo 1° semestre 2026, p. 44 (ISBN 9791259960566)</t>
        </is>
      </c>
      <c r="M377" s="16" t="n">
        <v>15</v>
      </c>
      <c r="N377" s="14" t="inlineStr">
        <is>
          <t>Catalogo Terre di Mezzo 1° semestre 2026</t>
        </is>
      </c>
      <c r="O377" s="16">
        <f>IF(ISNUMBER(M377),ROUND(M377*(1-Condizioni!$B$2),2),"")</f>
        <v/>
      </c>
      <c r="P377" s="17" t="inlineStr">
        <is>
          <t>No</t>
        </is>
      </c>
    </row>
    <row r="378">
      <c r="A378" s="14" t="inlineStr">
        <is>
          <t>Terre di Mezzo</t>
        </is>
      </c>
      <c r="B378" s="14" t="inlineStr">
        <is>
          <t>La gara delle coccinelle</t>
        </is>
      </c>
      <c r="C378" s="14" t="inlineStr">
        <is>
          <t>Amy Nielander</t>
        </is>
      </c>
      <c r="D378" s="14" t="inlineStr">
        <is>
          <t>L'Acchiappastorie – Silent book</t>
        </is>
      </c>
      <c r="E378" s="14" t="inlineStr">
        <is>
          <t>per tutte le età</t>
        </is>
      </c>
      <c r="F378" s="14" t="inlineStr">
        <is>
          <t>n.d. / tutte le età</t>
        </is>
      </c>
      <c r="G378" s="14" t="inlineStr">
        <is>
          <t>Silent book</t>
        </is>
      </c>
      <c r="H378" s="14" t="inlineStr"/>
      <c r="I378" s="14" t="inlineStr">
        <is>
          <t>No</t>
        </is>
      </c>
      <c r="J378" s="14" t="inlineStr">
        <is>
          <t>Collana</t>
        </is>
      </c>
      <c r="K378" s="14" t="inlineStr"/>
      <c r="L378" s="14" t="inlineStr">
        <is>
          <t>Catalogo Terre di Mezzo 1° semestre 2026, p. 41 (ISBN 9788861893672)</t>
        </is>
      </c>
      <c r="M378" s="16" t="n">
        <v>12.9</v>
      </c>
      <c r="N378" s="14" t="inlineStr">
        <is>
          <t>Catalogo Terre di Mezzo 1° semestre 2026</t>
        </is>
      </c>
      <c r="O378" s="16">
        <f>IF(ISNUMBER(M378),ROUND(M378*(1-Condizioni!$B$2),2),"")</f>
        <v/>
      </c>
      <c r="P378" s="17" t="inlineStr">
        <is>
          <t>No</t>
        </is>
      </c>
    </row>
    <row r="379">
      <c r="A379" s="14" t="inlineStr">
        <is>
          <t>Terre di Mezzo</t>
        </is>
      </c>
      <c r="B379" s="14" t="inlineStr">
        <is>
          <t>La matita</t>
        </is>
      </c>
      <c r="C379" s="14" t="inlineStr">
        <is>
          <t>Hyeeun Kim</t>
        </is>
      </c>
      <c r="D379" s="14" t="inlineStr">
        <is>
          <t>L'Acchiappastorie – Silent book</t>
        </is>
      </c>
      <c r="E379" s="14" t="inlineStr">
        <is>
          <t>per tutte le età</t>
        </is>
      </c>
      <c r="F379" s="14" t="inlineStr">
        <is>
          <t>n.d. / tutte le età</t>
        </is>
      </c>
      <c r="G379" s="14" t="inlineStr">
        <is>
          <t>Silent book</t>
        </is>
      </c>
      <c r="H379" s="14" t="inlineStr"/>
      <c r="I379" s="14" t="inlineStr">
        <is>
          <t>No</t>
        </is>
      </c>
      <c r="J379" s="14" t="inlineStr">
        <is>
          <t>Collana</t>
        </is>
      </c>
      <c r="K379" s="14" t="inlineStr"/>
      <c r="L379" s="14" t="inlineStr">
        <is>
          <t>Catalogo Terre di Mezzo 1° semestre 2026, p. 40 (ISBN 9791259961419)</t>
        </is>
      </c>
      <c r="M379" s="16" t="n">
        <v>18</v>
      </c>
      <c r="N379" s="14" t="inlineStr">
        <is>
          <t>Catalogo Terre di Mezzo 1° semestre 2026</t>
        </is>
      </c>
      <c r="O379" s="16">
        <f>IF(ISNUMBER(M379),ROUND(M379*(1-Condizioni!$B$2),2),"")</f>
        <v/>
      </c>
      <c r="P379" s="17" t="inlineStr">
        <is>
          <t>No</t>
        </is>
      </c>
    </row>
    <row r="380">
      <c r="A380" s="14" t="inlineStr">
        <is>
          <t>Terre di Mezzo</t>
        </is>
      </c>
      <c r="B380" s="14" t="inlineStr">
        <is>
          <t>La notte è piena di promesse</t>
        </is>
      </c>
      <c r="C380" s="14" t="inlineStr">
        <is>
          <t>Jérémie Decalf</t>
        </is>
      </c>
      <c r="D380" s="14" t="inlineStr">
        <is>
          <t>L'Acchiappastorie – Albi per tutte le età</t>
        </is>
      </c>
      <c r="E380" s="14" t="inlineStr">
        <is>
          <t>per tutte le età</t>
        </is>
      </c>
      <c r="F380" s="14" t="inlineStr">
        <is>
          <t>n.d. / tutte le età</t>
        </is>
      </c>
      <c r="G380" s="14" t="inlineStr">
        <is>
          <t>Albo illustrato</t>
        </is>
      </c>
      <c r="H380" s="14" t="inlineStr"/>
      <c r="I380" s="14" t="inlineStr">
        <is>
          <t>No</t>
        </is>
      </c>
      <c r="J380" s="14" t="inlineStr">
        <is>
          <t>Collana</t>
        </is>
      </c>
      <c r="K380" s="14" t="inlineStr"/>
      <c r="L380" s="14" t="inlineStr">
        <is>
          <t>Catalogo Terre di Mezzo 1° semestre 2026, p. 46 (ISBN 9788861897571)</t>
        </is>
      </c>
      <c r="M380" s="16" t="n">
        <v>18</v>
      </c>
      <c r="N380" s="14" t="inlineStr">
        <is>
          <t>Catalogo Terre di Mezzo 1° semestre 2026</t>
        </is>
      </c>
      <c r="O380" s="16">
        <f>IF(ISNUMBER(M380),ROUND(M380*(1-Condizioni!$B$2),2),"")</f>
        <v/>
      </c>
      <c r="P380" s="17" t="inlineStr">
        <is>
          <t>No</t>
        </is>
      </c>
    </row>
    <row r="381">
      <c r="A381" s="14" t="inlineStr">
        <is>
          <t>Terre di Mezzo</t>
        </is>
      </c>
      <c r="B381" s="14" t="inlineStr">
        <is>
          <t>La prima storia che abbiamo raccontato</t>
        </is>
      </c>
      <c r="C381" s="14" t="inlineStr">
        <is>
          <t>Jairo Buitrago, Rafael Yockteng</t>
        </is>
      </c>
      <c r="D381" s="14" t="inlineStr">
        <is>
          <t>L'Acchiappastorie – Silent book</t>
        </is>
      </c>
      <c r="E381" s="14" t="inlineStr">
        <is>
          <t>per tutte le età</t>
        </is>
      </c>
      <c r="F381" s="14" t="inlineStr">
        <is>
          <t>n.d. / tutte le età</t>
        </is>
      </c>
      <c r="G381" s="14" t="inlineStr">
        <is>
          <t>Silent book</t>
        </is>
      </c>
      <c r="H381" s="14" t="inlineStr"/>
      <c r="I381" s="14" t="inlineStr">
        <is>
          <t>No</t>
        </is>
      </c>
      <c r="J381" s="14" t="inlineStr">
        <is>
          <t>Collana</t>
        </is>
      </c>
      <c r="K381" s="14" t="inlineStr"/>
      <c r="L381" s="14" t="inlineStr">
        <is>
          <t>Catalogo Terre di Mezzo 1° semestre 2026, p. 40 (ISBN 9791259961815)</t>
        </is>
      </c>
      <c r="M381" s="16" t="n">
        <v>18</v>
      </c>
      <c r="N381" s="14" t="inlineStr">
        <is>
          <t>Catalogo Terre di Mezzo 1° semestre 2026</t>
        </is>
      </c>
      <c r="O381" s="16">
        <f>IF(ISNUMBER(M381),ROUND(M381*(1-Condizioni!$B$2),2),"")</f>
        <v/>
      </c>
      <c r="P381" s="17" t="inlineStr">
        <is>
          <t>No</t>
        </is>
      </c>
    </row>
    <row r="382">
      <c r="A382" s="14" t="inlineStr">
        <is>
          <t>Terre di Mezzo</t>
        </is>
      </c>
      <c r="B382" s="14" t="inlineStr">
        <is>
          <t>La rivincita delle pulci</t>
        </is>
      </c>
      <c r="C382" s="14" t="inlineStr">
        <is>
          <t>Laura Bellini</t>
        </is>
      </c>
      <c r="D382" s="14" t="inlineStr">
        <is>
          <t>L'Acchiappastorie – Albi per tutte le età</t>
        </is>
      </c>
      <c r="E382" s="14" t="inlineStr">
        <is>
          <t>per tutte le età</t>
        </is>
      </c>
      <c r="F382" s="14" t="inlineStr">
        <is>
          <t>n.d. / tutte le età</t>
        </is>
      </c>
      <c r="G382" s="14" t="inlineStr">
        <is>
          <t>Albo illustrato</t>
        </is>
      </c>
      <c r="H382" s="14" t="inlineStr"/>
      <c r="I382" s="14" t="inlineStr">
        <is>
          <t>No</t>
        </is>
      </c>
      <c r="J382" s="14" t="inlineStr">
        <is>
          <t>Collana</t>
        </is>
      </c>
      <c r="K382" s="14" t="inlineStr"/>
      <c r="L382" s="14" t="inlineStr">
        <is>
          <t>Catalogo Terre di Mezzo 1° semestre 2026, p. 42 (ISBN 9791259961136)</t>
        </is>
      </c>
      <c r="M382" s="16" t="n">
        <v>15</v>
      </c>
      <c r="N382" s="14" t="inlineStr">
        <is>
          <t>Catalogo Terre di Mezzo 1° semestre 2026</t>
        </is>
      </c>
      <c r="O382" s="16">
        <f>IF(ISNUMBER(M382),ROUND(M382*(1-Condizioni!$B$2),2),"")</f>
        <v/>
      </c>
      <c r="P382" s="17" t="inlineStr">
        <is>
          <t>No</t>
        </is>
      </c>
    </row>
    <row r="383">
      <c r="A383" s="14" t="inlineStr">
        <is>
          <t>Terre di Mezzo</t>
        </is>
      </c>
      <c r="B383" s="14" t="inlineStr">
        <is>
          <t>La stagione degli arcobaleni</t>
        </is>
      </c>
      <c r="C383" s="14" t="inlineStr">
        <is>
          <t>Sergio Olivotti, Irene Volpiano</t>
        </is>
      </c>
      <c r="D383" s="14" t="inlineStr">
        <is>
          <t>L'Acchiappastorie – Albi per tutte le età</t>
        </is>
      </c>
      <c r="E383" s="14" t="inlineStr">
        <is>
          <t>per tutte le età</t>
        </is>
      </c>
      <c r="F383" s="14" t="inlineStr">
        <is>
          <t>n.d. / tutte le età</t>
        </is>
      </c>
      <c r="G383" s="14" t="inlineStr">
        <is>
          <t>Albo illustrato</t>
        </is>
      </c>
      <c r="H383" s="14" t="inlineStr"/>
      <c r="I383" s="14" t="inlineStr">
        <is>
          <t>No</t>
        </is>
      </c>
      <c r="J383" s="14" t="inlineStr">
        <is>
          <t>Collana</t>
        </is>
      </c>
      <c r="K383" s="14" t="inlineStr"/>
      <c r="L383" s="14" t="inlineStr">
        <is>
          <t>Catalogo Terre di Mezzo 1° semestre 2026, p. 43 (ISBN 9791259962638)</t>
        </is>
      </c>
      <c r="M383" s="16" t="n">
        <v>16</v>
      </c>
      <c r="N383" s="14" t="inlineStr">
        <is>
          <t>Catalogo Terre di Mezzo 1° semestre 2026</t>
        </is>
      </c>
      <c r="O383" s="16">
        <f>IF(ISNUMBER(M383),ROUND(M383*(1-Condizioni!$B$2),2),"")</f>
        <v/>
      </c>
      <c r="P383" s="17" t="inlineStr">
        <is>
          <t>No</t>
        </is>
      </c>
    </row>
    <row r="384">
      <c r="A384" s="14" t="inlineStr">
        <is>
          <t>Terre di Mezzo</t>
        </is>
      </c>
      <c r="B384" s="14" t="inlineStr">
        <is>
          <t>La villa delle meraviglie</t>
        </is>
      </c>
      <c r="C384" s="14" t="inlineStr">
        <is>
          <t>Cléa Dieudonné</t>
        </is>
      </c>
      <c r="D384" s="14" t="inlineStr">
        <is>
          <t>L'Acchiappastorie – Silent book</t>
        </is>
      </c>
      <c r="E384" s="14" t="inlineStr">
        <is>
          <t>per tutte le età</t>
        </is>
      </c>
      <c r="F384" s="14" t="inlineStr">
        <is>
          <t>n.d. / tutte le età</t>
        </is>
      </c>
      <c r="G384" s="14" t="inlineStr">
        <is>
          <t>Silent book</t>
        </is>
      </c>
      <c r="H384" s="14" t="inlineStr"/>
      <c r="I384" s="14" t="inlineStr">
        <is>
          <t>No</t>
        </is>
      </c>
      <c r="J384" s="14" t="inlineStr">
        <is>
          <t>Collana</t>
        </is>
      </c>
      <c r="K384" s="14" t="inlineStr"/>
      <c r="L384" s="14" t="inlineStr">
        <is>
          <t>Catalogo Terre di Mezzo 1° semestre 2026, p. 39 (ISBN 9788861895423)</t>
        </is>
      </c>
      <c r="M384" s="16" t="n">
        <v>20</v>
      </c>
      <c r="N384" s="14" t="inlineStr">
        <is>
          <t>Catalogo Terre di Mezzo 1° semestre 2026</t>
        </is>
      </c>
      <c r="O384" s="16">
        <f>IF(ISNUMBER(M384),ROUND(M384*(1-Condizioni!$B$2),2),"")</f>
        <v/>
      </c>
      <c r="P384" s="17" t="inlineStr">
        <is>
          <t>No</t>
        </is>
      </c>
    </row>
    <row r="385">
      <c r="A385" s="14" t="inlineStr">
        <is>
          <t>Terre di Mezzo</t>
        </is>
      </c>
      <c r="B385" s="14" t="inlineStr">
        <is>
          <t>Libero come un pesce</t>
        </is>
      </c>
      <c r="C385" s="14" t="inlineStr">
        <is>
          <t>Jimmy Liao</t>
        </is>
      </c>
      <c r="D385" s="14" t="inlineStr">
        <is>
          <t>L'Acchiappastorie – Albi per tutte le età</t>
        </is>
      </c>
      <c r="E385" s="14" t="inlineStr">
        <is>
          <t>per tutte le età</t>
        </is>
      </c>
      <c r="F385" s="14" t="inlineStr">
        <is>
          <t>n.d. / tutte le età</t>
        </is>
      </c>
      <c r="G385" s="14" t="inlineStr">
        <is>
          <t>Albo illustrato</t>
        </is>
      </c>
      <c r="H385" s="14" t="inlineStr"/>
      <c r="I385" s="14" t="inlineStr">
        <is>
          <t>No</t>
        </is>
      </c>
      <c r="J385" s="14" t="inlineStr">
        <is>
          <t>Collana</t>
        </is>
      </c>
      <c r="K385" s="14" t="inlineStr"/>
      <c r="L385" s="14" t="inlineStr">
        <is>
          <t>Catalogo Terre di Mezzo 1° semestre 2026, p. 47 (ISBN 9788861896499)</t>
        </is>
      </c>
      <c r="M385" s="16" t="n">
        <v>16</v>
      </c>
      <c r="N385" s="14" t="inlineStr">
        <is>
          <t>Catalogo Terre di Mezzo 1° semestre 2026</t>
        </is>
      </c>
      <c r="O385" s="16">
        <f>IF(ISNUMBER(M385),ROUND(M385*(1-Condizioni!$B$2),2),"")</f>
        <v/>
      </c>
      <c r="P385" s="17" t="inlineStr">
        <is>
          <t>No</t>
        </is>
      </c>
    </row>
    <row r="386">
      <c r="A386" s="14" t="inlineStr">
        <is>
          <t>Terre di Mezzo</t>
        </is>
      </c>
      <c r="B386" s="14" t="inlineStr">
        <is>
          <t>L’angolo</t>
        </is>
      </c>
      <c r="C386" s="14" t="inlineStr">
        <is>
          <t>Zo-O</t>
        </is>
      </c>
      <c r="D386" s="14" t="inlineStr">
        <is>
          <t>L'Acchiappastorie – Albi per tutte le età</t>
        </is>
      </c>
      <c r="E386" s="14" t="inlineStr">
        <is>
          <t>per tutte le età</t>
        </is>
      </c>
      <c r="F386" s="14" t="inlineStr">
        <is>
          <t>n.d. / tutte le età</t>
        </is>
      </c>
      <c r="G386" s="14" t="inlineStr">
        <is>
          <t>Albo illustrato</t>
        </is>
      </c>
      <c r="H386" s="14" t="inlineStr"/>
      <c r="I386" s="14" t="inlineStr">
        <is>
          <t>No</t>
        </is>
      </c>
      <c r="J386" s="14" t="inlineStr">
        <is>
          <t>Collana</t>
        </is>
      </c>
      <c r="K386" s="14" t="inlineStr"/>
      <c r="L386" s="14" t="inlineStr">
        <is>
          <t>Catalogo Terre di Mezzo 1° semestre 2026, p. 43 (ISBN 9791259962652)</t>
        </is>
      </c>
      <c r="M386" s="16" t="n">
        <v>16</v>
      </c>
      <c r="N386" s="14" t="inlineStr">
        <is>
          <t>Catalogo Terre di Mezzo 1° semestre 2026</t>
        </is>
      </c>
      <c r="O386" s="16">
        <f>IF(ISNUMBER(M386),ROUND(M386*(1-Condizioni!$B$2),2),"")</f>
        <v/>
      </c>
      <c r="P386" s="17" t="inlineStr">
        <is>
          <t>No</t>
        </is>
      </c>
    </row>
    <row r="387">
      <c r="A387" s="14" t="inlineStr">
        <is>
          <t>Terre di Mezzo</t>
        </is>
      </c>
      <c r="B387" s="14" t="inlineStr">
        <is>
          <t>L’arcobaleno del tempo</t>
        </is>
      </c>
      <c r="C387" s="14" t="inlineStr">
        <is>
          <t>Jimmy Liao</t>
        </is>
      </c>
      <c r="D387" s="14" t="inlineStr">
        <is>
          <t>L'Acchiappastorie – Albi per tutte le età</t>
        </is>
      </c>
      <c r="E387" s="14" t="inlineStr">
        <is>
          <t>per tutte le età</t>
        </is>
      </c>
      <c r="F387" s="14" t="inlineStr">
        <is>
          <t>n.d. / tutte le età</t>
        </is>
      </c>
      <c r="G387" s="14" t="inlineStr">
        <is>
          <t>Albo illustrato</t>
        </is>
      </c>
      <c r="H387" s="14" t="inlineStr"/>
      <c r="I387" s="14" t="inlineStr">
        <is>
          <t>No</t>
        </is>
      </c>
      <c r="J387" s="14" t="inlineStr">
        <is>
          <t>Collana</t>
        </is>
      </c>
      <c r="K387" s="14" t="inlineStr"/>
      <c r="L387" s="14" t="inlineStr">
        <is>
          <t>Catalogo Terre di Mezzo 1° semestre 2026, p. 47 (ISBN 9791259960115)</t>
        </is>
      </c>
      <c r="M387" s="16" t="n">
        <v>18</v>
      </c>
      <c r="N387" s="14" t="inlineStr">
        <is>
          <t>Catalogo Terre di Mezzo 1° semestre 2026</t>
        </is>
      </c>
      <c r="O387" s="16">
        <f>IF(ISNUMBER(M387),ROUND(M387*(1-Condizioni!$B$2),2),"")</f>
        <v/>
      </c>
      <c r="P387" s="17" t="inlineStr">
        <is>
          <t>No</t>
        </is>
      </c>
    </row>
    <row r="388">
      <c r="A388" s="14" t="inlineStr">
        <is>
          <t>Terre di Mezzo</t>
        </is>
      </c>
      <c r="B388" s="14" t="inlineStr">
        <is>
          <t>L’estate più bella</t>
        </is>
      </c>
      <c r="C388" s="14" t="inlineStr">
        <is>
          <t>Delphine Perret</t>
        </is>
      </c>
      <c r="D388" s="14" t="inlineStr">
        <is>
          <t>L'Acchiappastorie – Albi per tutte le età</t>
        </is>
      </c>
      <c r="E388" s="14" t="inlineStr">
        <is>
          <t>per tutte le età</t>
        </is>
      </c>
      <c r="F388" s="14" t="inlineStr">
        <is>
          <t>n.d. / tutte le età</t>
        </is>
      </c>
      <c r="G388" s="14" t="inlineStr">
        <is>
          <t>Albo illustrato</t>
        </is>
      </c>
      <c r="H388" s="14" t="inlineStr"/>
      <c r="I388" s="14" t="inlineStr">
        <is>
          <t>No</t>
        </is>
      </c>
      <c r="J388" s="14" t="inlineStr">
        <is>
          <t>Collana</t>
        </is>
      </c>
      <c r="K388" s="14" t="inlineStr"/>
      <c r="L388" s="14" t="inlineStr">
        <is>
          <t>Catalogo Terre di Mezzo 1° semestre 2026, p. 44 (ISBN 9791259960559)</t>
        </is>
      </c>
      <c r="M388" s="16" t="n">
        <v>20</v>
      </c>
      <c r="N388" s="14" t="inlineStr">
        <is>
          <t>Catalogo Terre di Mezzo 1° semestre 2026</t>
        </is>
      </c>
      <c r="O388" s="16">
        <f>IF(ISNUMBER(M388),ROUND(M388*(1-Condizioni!$B$2),2),"")</f>
        <v/>
      </c>
      <c r="P388" s="17" t="inlineStr">
        <is>
          <t>No</t>
        </is>
      </c>
    </row>
    <row r="389">
      <c r="A389" s="14" t="inlineStr">
        <is>
          <t>Terre di Mezzo</t>
        </is>
      </c>
      <c r="B389" s="14" t="inlineStr">
        <is>
          <t>L’ultimo giorno d’estate</t>
        </is>
      </c>
      <c r="C389" s="14" t="inlineStr">
        <is>
          <t>Timothée de Fombelle, Irène Bonacina</t>
        </is>
      </c>
      <c r="D389" s="14" t="inlineStr">
        <is>
          <t>L'Acchiappastorie – Albi per tutte le età</t>
        </is>
      </c>
      <c r="E389" s="14" t="inlineStr">
        <is>
          <t>per tutte le età</t>
        </is>
      </c>
      <c r="F389" s="14" t="inlineStr">
        <is>
          <t>n.d. / tutte le età</t>
        </is>
      </c>
      <c r="G389" s="14" t="inlineStr">
        <is>
          <t>Albo illustrato</t>
        </is>
      </c>
      <c r="H389" s="14" t="inlineStr"/>
      <c r="I389" s="14" t="inlineStr">
        <is>
          <t>No</t>
        </is>
      </c>
      <c r="J389" s="14" t="inlineStr">
        <is>
          <t>Collana</t>
        </is>
      </c>
      <c r="K389" s="14" t="inlineStr"/>
      <c r="L389" s="14" t="inlineStr">
        <is>
          <t>Catalogo Terre di Mezzo 1° semestre 2026, p. 46 (ISBN 9791259960542)</t>
        </is>
      </c>
      <c r="M389" s="16" t="n">
        <v>18</v>
      </c>
      <c r="N389" s="14" t="inlineStr">
        <is>
          <t>Catalogo Terre di Mezzo 1° semestre 2026</t>
        </is>
      </c>
      <c r="O389" s="16">
        <f>IF(ISNUMBER(M389),ROUND(M389*(1-Condizioni!$B$2),2),"")</f>
        <v/>
      </c>
      <c r="P389" s="17" t="inlineStr">
        <is>
          <t>No</t>
        </is>
      </c>
    </row>
    <row r="390">
      <c r="A390" s="14" t="inlineStr">
        <is>
          <t>Terre di Mezzo</t>
        </is>
      </c>
      <c r="B390" s="14" t="inlineStr">
        <is>
          <t>Mamma</t>
        </is>
      </c>
      <c r="C390" s="14" t="inlineStr">
        <is>
          <t>Hélène Delforge, Quentin Gréban</t>
        </is>
      </c>
      <c r="D390" s="14" t="inlineStr">
        <is>
          <t>L'Acchiappastorie – Albi per tutte le età</t>
        </is>
      </c>
      <c r="E390" s="14" t="inlineStr">
        <is>
          <t>per tutte le età</t>
        </is>
      </c>
      <c r="F390" s="14" t="inlineStr">
        <is>
          <t>n.d. / tutte le età</t>
        </is>
      </c>
      <c r="G390" s="14" t="inlineStr">
        <is>
          <t>Albo illustrato</t>
        </is>
      </c>
      <c r="H390" s="14" t="inlineStr"/>
      <c r="I390" s="14" t="inlineStr">
        <is>
          <t>No</t>
        </is>
      </c>
      <c r="J390" s="14" t="inlineStr">
        <is>
          <t>Collana</t>
        </is>
      </c>
      <c r="K390" s="14" t="inlineStr"/>
      <c r="L390" s="14" t="inlineStr">
        <is>
          <t>Catalogo Terre di Mezzo 1° semestre 2026, p. 45 (ISBN 9788861895102)</t>
        </is>
      </c>
      <c r="M390" s="16" t="n">
        <v>19</v>
      </c>
      <c r="N390" s="14" t="inlineStr">
        <is>
          <t>Catalogo Terre di Mezzo 1° semestre 2026</t>
        </is>
      </c>
      <c r="O390" s="16">
        <f>IF(ISNUMBER(M390),ROUND(M390*(1-Condizioni!$B$2),2),"")</f>
        <v/>
      </c>
      <c r="P390" s="17" t="inlineStr">
        <is>
          <t>No</t>
        </is>
      </c>
    </row>
    <row r="391">
      <c r="A391" s="14" t="inlineStr">
        <is>
          <t>Terre di Mezzo</t>
        </is>
      </c>
      <c r="B391" s="14" t="inlineStr">
        <is>
          <t>Mamma, papà, Cosa fate di notte?</t>
        </is>
      </c>
      <c r="C391" s="14" t="inlineStr">
        <is>
          <t>Thierry Lenain, Barroux</t>
        </is>
      </c>
      <c r="D391" s="14" t="inlineStr">
        <is>
          <t>L'Acchiappastorie – Silent book</t>
        </is>
      </c>
      <c r="E391" s="14" t="inlineStr">
        <is>
          <t>per tutte le età</t>
        </is>
      </c>
      <c r="F391" s="14" t="inlineStr">
        <is>
          <t>n.d. / tutte le età</t>
        </is>
      </c>
      <c r="G391" s="14" t="inlineStr">
        <is>
          <t>Silent book</t>
        </is>
      </c>
      <c r="H391" s="14" t="inlineStr"/>
      <c r="I391" s="14" t="inlineStr">
        <is>
          <t>No</t>
        </is>
      </c>
      <c r="J391" s="14" t="inlineStr">
        <is>
          <t>Collana</t>
        </is>
      </c>
      <c r="K391" s="14" t="inlineStr"/>
      <c r="L391" s="14" t="inlineStr">
        <is>
          <t>Catalogo Terre di Mezzo 1° semestre 2026, p. 39 (ISBN 9788861895065)</t>
        </is>
      </c>
      <c r="M391" s="16" t="n">
        <v>15</v>
      </c>
      <c r="N391" s="14" t="inlineStr">
        <is>
          <t>Catalogo Terre di Mezzo 1° semestre 2026</t>
        </is>
      </c>
      <c r="O391" s="16">
        <f>IF(ISNUMBER(M391),ROUND(M391*(1-Condizioni!$B$2),2),"")</f>
        <v/>
      </c>
      <c r="P391" s="17" t="inlineStr">
        <is>
          <t>No</t>
        </is>
      </c>
    </row>
    <row r="392">
      <c r="A392" s="14" t="inlineStr">
        <is>
          <t>Terre di Mezzo</t>
        </is>
      </c>
      <c r="B392" s="14" t="inlineStr">
        <is>
          <t>Mamma. il taccuino</t>
        </is>
      </c>
      <c r="C392" s="14" t="inlineStr">
        <is>
          <t>Hélène Delforge, Quentin Gréban</t>
        </is>
      </c>
      <c r="D392" s="14" t="inlineStr">
        <is>
          <t>L'Acchiappastorie – Albi per tutte le età</t>
        </is>
      </c>
      <c r="E392" s="14" t="inlineStr">
        <is>
          <t>per tutte le età</t>
        </is>
      </c>
      <c r="F392" s="14" t="inlineStr">
        <is>
          <t>n.d. / tutte le età</t>
        </is>
      </c>
      <c r="G392" s="14" t="inlineStr">
        <is>
          <t>Albo illustrato</t>
        </is>
      </c>
      <c r="H392" s="14" t="inlineStr"/>
      <c r="I392" s="14" t="inlineStr">
        <is>
          <t>No</t>
        </is>
      </c>
      <c r="J392" s="14" t="inlineStr">
        <is>
          <t>Collana</t>
        </is>
      </c>
      <c r="K392" s="14" t="inlineStr"/>
      <c r="L392" s="14" t="inlineStr">
        <is>
          <t>Catalogo Terre di Mezzo 1° semestre 2026, p. 45 (ISBN 9788861895850)</t>
        </is>
      </c>
      <c r="M392" s="16" t="n">
        <v>12</v>
      </c>
      <c r="N392" s="14" t="inlineStr">
        <is>
          <t>Catalogo Terre di Mezzo 1° semestre 2026</t>
        </is>
      </c>
      <c r="O392" s="16">
        <f>IF(ISNUMBER(M392),ROUND(M392*(1-Condizioni!$B$2),2),"")</f>
        <v/>
      </c>
      <c r="P392" s="17" t="inlineStr">
        <is>
          <t>No</t>
        </is>
      </c>
    </row>
    <row r="393">
      <c r="A393" s="14" t="inlineStr">
        <is>
          <t>Terre di Mezzo</t>
        </is>
      </c>
      <c r="B393" s="14" t="inlineStr">
        <is>
          <t>Meravigliose sirene</t>
        </is>
      </c>
      <c r="C393" s="14" t="inlineStr">
        <is>
          <t>Olivia Godat, Rémi Giordano, Laura Pérez</t>
        </is>
      </c>
      <c r="D393" s="14" t="inlineStr">
        <is>
          <t>L'Acchiappastorie – Albi per tutte le età</t>
        </is>
      </c>
      <c r="E393" s="14" t="inlineStr">
        <is>
          <t>per tutte le età</t>
        </is>
      </c>
      <c r="F393" s="14" t="inlineStr">
        <is>
          <t>n.d. / tutte le età</t>
        </is>
      </c>
      <c r="G393" s="14" t="inlineStr">
        <is>
          <t>Albo illustrato</t>
        </is>
      </c>
      <c r="H393" s="14" t="inlineStr"/>
      <c r="I393" s="14" t="inlineStr">
        <is>
          <t>No</t>
        </is>
      </c>
      <c r="J393" s="14" t="inlineStr">
        <is>
          <t>Collana</t>
        </is>
      </c>
      <c r="K393" s="14" t="inlineStr"/>
      <c r="L393" s="14" t="inlineStr">
        <is>
          <t>Catalogo Terre di Mezzo 1° semestre 2026, p. 42 (ISBN 9791259962973)</t>
        </is>
      </c>
      <c r="M393" s="16" t="n">
        <v>20</v>
      </c>
      <c r="N393" s="14" t="inlineStr">
        <is>
          <t>Catalogo Terre di Mezzo 1° semestre 2026</t>
        </is>
      </c>
      <c r="O393" s="16">
        <f>IF(ISNUMBER(M393),ROUND(M393*(1-Condizioni!$B$2),2),"")</f>
        <v/>
      </c>
      <c r="P393" s="17" t="inlineStr">
        <is>
          <t>No</t>
        </is>
      </c>
    </row>
    <row r="394">
      <c r="A394" s="14" t="inlineStr">
        <is>
          <t>Terre di Mezzo</t>
        </is>
      </c>
      <c r="B394" s="14" t="inlineStr">
        <is>
          <t>Monte latte</t>
        </is>
      </c>
      <c r="C394" s="14" t="inlineStr">
        <is>
          <t>Melania Longo, Alessandro Sanna</t>
        </is>
      </c>
      <c r="D394" s="14" t="inlineStr">
        <is>
          <t>L'Acchiappastorie – Albi per tutte le età</t>
        </is>
      </c>
      <c r="E394" s="14" t="inlineStr">
        <is>
          <t>per tutte le età</t>
        </is>
      </c>
      <c r="F394" s="14" t="inlineStr">
        <is>
          <t>n.d. / tutte le età</t>
        </is>
      </c>
      <c r="G394" s="14" t="inlineStr">
        <is>
          <t>Albo illustrato</t>
        </is>
      </c>
      <c r="H394" s="14" t="inlineStr"/>
      <c r="I394" s="14" t="inlineStr">
        <is>
          <t>No</t>
        </is>
      </c>
      <c r="J394" s="14" t="inlineStr">
        <is>
          <t>Collana</t>
        </is>
      </c>
      <c r="K394" s="14" t="inlineStr"/>
      <c r="L394" s="14" t="inlineStr">
        <is>
          <t>Catalogo Terre di Mezzo 1° semestre 2026, p. 43 (ISBN 9788861897472)</t>
        </is>
      </c>
      <c r="M394" s="16" t="n">
        <v>15</v>
      </c>
      <c r="N394" s="14" t="inlineStr">
        <is>
          <t>Catalogo Terre di Mezzo 1° semestre 2026</t>
        </is>
      </c>
      <c r="O394" s="16">
        <f>IF(ISNUMBER(M394),ROUND(M394*(1-Condizioni!$B$2),2),"")</f>
        <v/>
      </c>
      <c r="P394" s="17" t="inlineStr">
        <is>
          <t>No</t>
        </is>
      </c>
    </row>
    <row r="395">
      <c r="A395" s="14" t="inlineStr">
        <is>
          <t>Terre di Mezzo</t>
        </is>
      </c>
      <c r="B395" s="14" t="inlineStr">
        <is>
          <t>Nel mio giardino il mondo</t>
        </is>
      </c>
      <c r="C395" s="14" t="inlineStr">
        <is>
          <t>Irene Penazzi</t>
        </is>
      </c>
      <c r="D395" s="14" t="inlineStr">
        <is>
          <t>L'Acchiappastorie – Silent book</t>
        </is>
      </c>
      <c r="E395" s="14" t="inlineStr">
        <is>
          <t>per tutte le età</t>
        </is>
      </c>
      <c r="F395" s="14" t="inlineStr">
        <is>
          <t>n.d. / tutte le età</t>
        </is>
      </c>
      <c r="G395" s="14" t="inlineStr">
        <is>
          <t>Silent book</t>
        </is>
      </c>
      <c r="H395" s="14" t="inlineStr"/>
      <c r="I395" s="14" t="inlineStr">
        <is>
          <t>No</t>
        </is>
      </c>
      <c r="J395" s="14" t="inlineStr">
        <is>
          <t>Collana</t>
        </is>
      </c>
      <c r="K395" s="14" t="inlineStr"/>
      <c r="L395" s="14" t="inlineStr">
        <is>
          <t>Catalogo Terre di Mezzo 1° semestre 2026, p. 40 (ISBN 9788861895157)</t>
        </is>
      </c>
      <c r="M395" s="16" t="n">
        <v>16</v>
      </c>
      <c r="N395" s="14" t="inlineStr">
        <is>
          <t>Catalogo Terre di Mezzo 1° semestre 2026</t>
        </is>
      </c>
      <c r="O395" s="16">
        <f>IF(ISNUMBER(M395),ROUND(M395*(1-Condizioni!$B$2),2),"")</f>
        <v/>
      </c>
      <c r="P395" s="17" t="inlineStr">
        <is>
          <t>No</t>
        </is>
      </c>
    </row>
    <row r="396">
      <c r="A396" s="14" t="inlineStr">
        <is>
          <t>Terre di Mezzo</t>
        </is>
      </c>
      <c r="B396" s="14" t="inlineStr">
        <is>
          <t>Nello spazio di uno sguardo</t>
        </is>
      </c>
      <c r="C396" s="14" t="inlineStr">
        <is>
          <t>Tom Haugomat</t>
        </is>
      </c>
      <c r="D396" s="14" t="inlineStr">
        <is>
          <t>L'Acchiappastorie – Albi per tutte le età</t>
        </is>
      </c>
      <c r="E396" s="14" t="inlineStr">
        <is>
          <t>per tutte le età</t>
        </is>
      </c>
      <c r="F396" s="14" t="inlineStr">
        <is>
          <t>n.d. / tutte le età</t>
        </is>
      </c>
      <c r="G396" s="14" t="inlineStr">
        <is>
          <t>Albo illustrato</t>
        </is>
      </c>
      <c r="H396" s="14" t="inlineStr"/>
      <c r="I396" s="14" t="inlineStr">
        <is>
          <t>No</t>
        </is>
      </c>
      <c r="J396" s="14" t="inlineStr">
        <is>
          <t>Collana</t>
        </is>
      </c>
      <c r="K396" s="14" t="inlineStr"/>
      <c r="L396" s="14" t="inlineStr">
        <is>
          <t>Catalogo Terre di Mezzo 1° semestre 2026, p. 46 (ISBN 9788861895522)</t>
        </is>
      </c>
      <c r="M396" s="16" t="n">
        <v>20</v>
      </c>
      <c r="N396" s="14" t="inlineStr">
        <is>
          <t>Catalogo Terre di Mezzo 1° semestre 2026</t>
        </is>
      </c>
      <c r="O396" s="16">
        <f>IF(ISNUMBER(M396),ROUND(M396*(1-Condizioni!$B$2),2),"")</f>
        <v/>
      </c>
      <c r="P396" s="17" t="inlineStr">
        <is>
          <t>No</t>
        </is>
      </c>
    </row>
    <row r="397">
      <c r="A397" s="14" t="inlineStr">
        <is>
          <t>Terre di Mezzo</t>
        </is>
      </c>
      <c r="B397" s="14" t="inlineStr">
        <is>
          <t>Papà</t>
        </is>
      </c>
      <c r="C397" s="14" t="inlineStr">
        <is>
          <t>Hélène Delforge, Quentin Gréban</t>
        </is>
      </c>
      <c r="D397" s="14" t="inlineStr">
        <is>
          <t>L'Acchiappastorie – Albi per tutte le età</t>
        </is>
      </c>
      <c r="E397" s="14" t="inlineStr">
        <is>
          <t>per tutte le età</t>
        </is>
      </c>
      <c r="F397" s="14" t="inlineStr">
        <is>
          <t>n.d. / tutte le età</t>
        </is>
      </c>
      <c r="G397" s="14" t="inlineStr">
        <is>
          <t>Albo illustrato</t>
        </is>
      </c>
      <c r="H397" s="14" t="inlineStr"/>
      <c r="I397" s="14" t="inlineStr">
        <is>
          <t>No</t>
        </is>
      </c>
      <c r="J397" s="14" t="inlineStr">
        <is>
          <t>Collana</t>
        </is>
      </c>
      <c r="K397" s="14" t="inlineStr"/>
      <c r="L397" s="14" t="inlineStr">
        <is>
          <t>Catalogo Terre di Mezzo 1° semestre 2026, p. 45 (ISBN 9791259961655)</t>
        </is>
      </c>
      <c r="M397" s="16" t="n">
        <v>19</v>
      </c>
      <c r="N397" s="14" t="inlineStr">
        <is>
          <t>Catalogo Terre di Mezzo 1° semestre 2026</t>
        </is>
      </c>
      <c r="O397" s="16">
        <f>IF(ISNUMBER(M397),ROUND(M397*(1-Condizioni!$B$2),2),"")</f>
        <v/>
      </c>
      <c r="P397" s="17" t="inlineStr">
        <is>
          <t>No</t>
        </is>
      </c>
    </row>
    <row r="398">
      <c r="A398" s="14" t="inlineStr">
        <is>
          <t>Terre di Mezzo</t>
        </is>
      </c>
      <c r="B398" s="14" t="inlineStr">
        <is>
          <t>Qualcuno mi aspetta dietro la neve</t>
        </is>
      </c>
      <c r="C398" s="14" t="inlineStr">
        <is>
          <t>Timothée de Fombelle, Thomas Campi</t>
        </is>
      </c>
      <c r="D398" s="14" t="inlineStr">
        <is>
          <t>L'Acchiappastorie – Albi per tutte le età</t>
        </is>
      </c>
      <c r="E398" s="14" t="inlineStr">
        <is>
          <t>per tutte le età</t>
        </is>
      </c>
      <c r="F398" s="14" t="inlineStr">
        <is>
          <t>n.d. / tutte le età</t>
        </is>
      </c>
      <c r="G398" s="14" t="inlineStr">
        <is>
          <t>Albo illustrato</t>
        </is>
      </c>
      <c r="H398" s="14" t="inlineStr"/>
      <c r="I398" s="14" t="inlineStr">
        <is>
          <t>No</t>
        </is>
      </c>
      <c r="J398" s="14" t="inlineStr">
        <is>
          <t>Collana</t>
        </is>
      </c>
      <c r="K398" s="14" t="inlineStr"/>
      <c r="L398" s="14" t="inlineStr">
        <is>
          <t>Catalogo Terre di Mezzo 1° semestre 2026, p. 46 (ISBN 9791259962997)</t>
        </is>
      </c>
      <c r="M398" s="16" t="n">
        <v>14</v>
      </c>
      <c r="N398" s="14" t="inlineStr">
        <is>
          <t>Catalogo Terre di Mezzo 1° semestre 2026</t>
        </is>
      </c>
      <c r="O398" s="16">
        <f>IF(ISNUMBER(M398),ROUND(M398*(1-Condizioni!$B$2),2),"")</f>
        <v/>
      </c>
      <c r="P398" s="17" t="inlineStr">
        <is>
          <t>No</t>
        </is>
      </c>
    </row>
    <row r="399">
      <c r="A399" s="14" t="inlineStr">
        <is>
          <t>Terre di Mezzo</t>
        </is>
      </c>
      <c r="B399" s="14" t="inlineStr">
        <is>
          <t>Sdeng bum splash!</t>
        </is>
      </c>
      <c r="C399" s="14" t="inlineStr">
        <is>
          <t>Benjamin Gottwald</t>
        </is>
      </c>
      <c r="D399" s="14" t="inlineStr">
        <is>
          <t>L'Acchiappastorie – Silent book</t>
        </is>
      </c>
      <c r="E399" s="14" t="inlineStr">
        <is>
          <t>per tutte le età</t>
        </is>
      </c>
      <c r="F399" s="14" t="inlineStr">
        <is>
          <t>n.d. / tutte le età</t>
        </is>
      </c>
      <c r="G399" s="14" t="inlineStr">
        <is>
          <t>Silent book</t>
        </is>
      </c>
      <c r="H399" s="14" t="inlineStr"/>
      <c r="I399" s="14" t="inlineStr">
        <is>
          <t>No</t>
        </is>
      </c>
      <c r="J399" s="14" t="inlineStr">
        <is>
          <t>Collana</t>
        </is>
      </c>
      <c r="K399" s="14" t="inlineStr"/>
      <c r="L399" s="14" t="inlineStr">
        <is>
          <t>Catalogo Terre di Mezzo 1° semestre 2026, p. 40 (ISBN 9791259960955)</t>
        </is>
      </c>
      <c r="M399" s="16" t="n">
        <v>18</v>
      </c>
      <c r="N399" s="14" t="inlineStr">
        <is>
          <t>Catalogo Terre di Mezzo 1° semestre 2026</t>
        </is>
      </c>
      <c r="O399" s="16">
        <f>IF(ISNUMBER(M399),ROUND(M399*(1-Condizioni!$B$2),2),"")</f>
        <v/>
      </c>
      <c r="P399" s="17" t="inlineStr">
        <is>
          <t>No</t>
        </is>
      </c>
    </row>
    <row r="400">
      <c r="A400" s="14" t="inlineStr">
        <is>
          <t>Terre di Mezzo</t>
        </is>
      </c>
      <c r="B400" s="14" t="inlineStr">
        <is>
          <t>Sei tu che mi salvi</t>
        </is>
      </c>
      <c r="C400" s="14" t="inlineStr">
        <is>
          <t>Jimmy Liao</t>
        </is>
      </c>
      <c r="D400" s="14" t="inlineStr">
        <is>
          <t>L'Acchiappastorie – Albi per tutte le età</t>
        </is>
      </c>
      <c r="E400" s="14" t="inlineStr">
        <is>
          <t>per tutte le età</t>
        </is>
      </c>
      <c r="F400" s="14" t="inlineStr">
        <is>
          <t>n.d. / tutte le età</t>
        </is>
      </c>
      <c r="G400" s="14" t="inlineStr">
        <is>
          <t>Albo illustrato</t>
        </is>
      </c>
      <c r="H400" s="14" t="inlineStr"/>
      <c r="I400" s="14" t="inlineStr">
        <is>
          <t>No</t>
        </is>
      </c>
      <c r="J400" s="14" t="inlineStr">
        <is>
          <t>Collana</t>
        </is>
      </c>
      <c r="K400" s="14" t="inlineStr"/>
      <c r="L400" s="14" t="inlineStr">
        <is>
          <t>Catalogo Terre di Mezzo 1° semestre 2026, p. 47 (ISBN 9788861897311)</t>
        </is>
      </c>
      <c r="M400" s="16" t="n">
        <v>18</v>
      </c>
      <c r="N400" s="14" t="inlineStr">
        <is>
          <t>Catalogo Terre di Mezzo 1° semestre 2026</t>
        </is>
      </c>
      <c r="O400" s="16">
        <f>IF(ISNUMBER(M400),ROUND(M400*(1-Condizioni!$B$2),2),"")</f>
        <v/>
      </c>
      <c r="P400" s="17" t="inlineStr">
        <is>
          <t>No</t>
        </is>
      </c>
    </row>
    <row r="401">
      <c r="A401" s="14" t="inlineStr">
        <is>
          <t>Terre di Mezzo</t>
        </is>
      </c>
      <c r="B401" s="14" t="inlineStr">
        <is>
          <t>Selvaggio come te</t>
        </is>
      </c>
      <c r="C401" s="14" t="inlineStr">
        <is>
          <t>Gauthier David, Claire de Gastold</t>
        </is>
      </c>
      <c r="D401" s="14" t="inlineStr">
        <is>
          <t>L'Acchiappastorie – Silent book</t>
        </is>
      </c>
      <c r="E401" s="14" t="inlineStr">
        <is>
          <t>per tutte le età</t>
        </is>
      </c>
      <c r="F401" s="14" t="inlineStr">
        <is>
          <t>n.d. / tutte le età</t>
        </is>
      </c>
      <c r="G401" s="14" t="inlineStr">
        <is>
          <t>Silent book</t>
        </is>
      </c>
      <c r="H401" s="14" t="inlineStr"/>
      <c r="I401" s="14" t="inlineStr">
        <is>
          <t>No</t>
        </is>
      </c>
      <c r="J401" s="14" t="inlineStr">
        <is>
          <t>Collana</t>
        </is>
      </c>
      <c r="K401" s="14" t="inlineStr"/>
      <c r="L401" s="14" t="inlineStr">
        <is>
          <t>Catalogo Terre di Mezzo 1° semestre 2026, p. 39 (ISBN 9788861895935)</t>
        </is>
      </c>
      <c r="M401" s="16" t="n">
        <v>15</v>
      </c>
      <c r="N401" s="14" t="inlineStr">
        <is>
          <t>Catalogo Terre di Mezzo 1° semestre 2026</t>
        </is>
      </c>
      <c r="O401" s="16">
        <f>IF(ISNUMBER(M401),ROUND(M401*(1-Condizioni!$B$2),2),"")</f>
        <v/>
      </c>
      <c r="P401" s="17" t="inlineStr">
        <is>
          <t>No</t>
        </is>
      </c>
    </row>
    <row r="402">
      <c r="A402" s="14" t="inlineStr">
        <is>
          <t>Terre di Mezzo</t>
        </is>
      </c>
      <c r="B402" s="14" t="inlineStr">
        <is>
          <t>Storia di jo</t>
        </is>
      </c>
      <c r="C402" s="14" t="inlineStr">
        <is>
          <t>Elena Bulay</t>
        </is>
      </c>
      <c r="D402" s="14" t="inlineStr">
        <is>
          <t>L'Acchiappastorie – Albi per tutte le età</t>
        </is>
      </c>
      <c r="E402" s="14" t="inlineStr">
        <is>
          <t>per tutte le età</t>
        </is>
      </c>
      <c r="F402" s="14" t="inlineStr">
        <is>
          <t>n.d. / tutte le età</t>
        </is>
      </c>
      <c r="G402" s="14" t="inlineStr">
        <is>
          <t>Albo illustrato</t>
        </is>
      </c>
      <c r="H402" s="14" t="inlineStr"/>
      <c r="I402" s="14" t="inlineStr">
        <is>
          <t>No</t>
        </is>
      </c>
      <c r="J402" s="14" t="inlineStr">
        <is>
          <t>Collana</t>
        </is>
      </c>
      <c r="K402" s="14" t="inlineStr"/>
      <c r="L402" s="14" t="inlineStr">
        <is>
          <t>Catalogo Terre di Mezzo 1° semestre 2026, p. 46 (ISBN 9791259960924)</t>
        </is>
      </c>
      <c r="M402" s="16" t="n">
        <v>20</v>
      </c>
      <c r="N402" s="14" t="inlineStr">
        <is>
          <t>Catalogo Terre di Mezzo 1° semestre 2026</t>
        </is>
      </c>
      <c r="O402" s="16">
        <f>IF(ISNUMBER(M402),ROUND(M402*(1-Condizioni!$B$2),2),"")</f>
        <v/>
      </c>
      <c r="P402" s="17" t="inlineStr">
        <is>
          <t>No</t>
        </is>
      </c>
    </row>
    <row r="403">
      <c r="A403" s="14" t="inlineStr">
        <is>
          <t>Terre di Mezzo</t>
        </is>
      </c>
      <c r="B403" s="14" t="inlineStr">
        <is>
          <t>Su e giù per le montagne</t>
        </is>
      </c>
      <c r="C403" s="14" t="inlineStr">
        <is>
          <t>Irene Penazzi</t>
        </is>
      </c>
      <c r="D403" s="14" t="inlineStr">
        <is>
          <t>L'Acchiappastorie – Silent book</t>
        </is>
      </c>
      <c r="E403" s="14" t="inlineStr">
        <is>
          <t>per tutte le età</t>
        </is>
      </c>
      <c r="F403" s="14" t="inlineStr">
        <is>
          <t>n.d. / tutte le età</t>
        </is>
      </c>
      <c r="G403" s="14" t="inlineStr">
        <is>
          <t>Silent book</t>
        </is>
      </c>
      <c r="H403" s="14" t="inlineStr"/>
      <c r="I403" s="14" t="inlineStr">
        <is>
          <t>No</t>
        </is>
      </c>
      <c r="J403" s="14" t="inlineStr">
        <is>
          <t>Collana</t>
        </is>
      </c>
      <c r="K403" s="14" t="inlineStr"/>
      <c r="L403" s="14" t="inlineStr">
        <is>
          <t>Catalogo Terre di Mezzo 1° semestre 2026, p. 40 (ISBN 9788861896789)</t>
        </is>
      </c>
      <c r="M403" s="16" t="n">
        <v>16</v>
      </c>
      <c r="N403" s="14" t="inlineStr">
        <is>
          <t>Catalogo Terre di Mezzo 1° semestre 2026</t>
        </is>
      </c>
      <c r="O403" s="16">
        <f>IF(ISNUMBER(M403),ROUND(M403*(1-Condizioni!$B$2),2),"")</f>
        <v/>
      </c>
      <c r="P403" s="17" t="inlineStr">
        <is>
          <t>No</t>
        </is>
      </c>
    </row>
    <row r="404">
      <c r="A404" s="14" t="inlineStr">
        <is>
          <t>Terre di Mezzo</t>
        </is>
      </c>
      <c r="B404" s="14" t="inlineStr">
        <is>
          <t>Tempesta</t>
        </is>
      </c>
      <c r="C404" s="14" t="inlineStr">
        <is>
          <t>Guojing</t>
        </is>
      </c>
      <c r="D404" s="14" t="inlineStr">
        <is>
          <t>L'Acchiappastorie – Silent book</t>
        </is>
      </c>
      <c r="E404" s="14" t="inlineStr">
        <is>
          <t>per tutte le età</t>
        </is>
      </c>
      <c r="F404" s="14" t="inlineStr">
        <is>
          <t>n.d. / tutte le età</t>
        </is>
      </c>
      <c r="G404" s="14" t="inlineStr">
        <is>
          <t>Silent book</t>
        </is>
      </c>
      <c r="H404" s="14" t="inlineStr"/>
      <c r="I404" s="14" t="inlineStr">
        <is>
          <t>No</t>
        </is>
      </c>
      <c r="J404" s="14" t="inlineStr">
        <is>
          <t>Collana</t>
        </is>
      </c>
      <c r="K404" s="14" t="inlineStr"/>
      <c r="L404" s="14" t="inlineStr">
        <is>
          <t>Catalogo Terre di Mezzo 1° semestre 2026, p. 41 (ISBN 9788861896208)</t>
        </is>
      </c>
      <c r="M404" s="16" t="n">
        <v>16</v>
      </c>
      <c r="N404" s="14" t="inlineStr">
        <is>
          <t>Catalogo Terre di Mezzo 1° semestre 2026</t>
        </is>
      </c>
      <c r="O404" s="16">
        <f>IF(ISNUMBER(M404),ROUND(M404*(1-Condizioni!$B$2),2),"")</f>
        <v/>
      </c>
      <c r="P404" s="17" t="inlineStr">
        <is>
          <t>No</t>
        </is>
      </c>
    </row>
    <row r="405">
      <c r="A405" s="14" t="inlineStr">
        <is>
          <t>Terre di Mezzo</t>
        </is>
      </c>
      <c r="B405" s="14" t="inlineStr">
        <is>
          <t>Terra ultima</t>
        </is>
      </c>
      <c r="C405" s="14" t="inlineStr">
        <is>
          <t>Noah J. Stern, Raoul Deleo</t>
        </is>
      </c>
      <c r="D405" s="14" t="inlineStr">
        <is>
          <t>L'Acchiappastorie – Albi per tutte le età</t>
        </is>
      </c>
      <c r="E405" s="14" t="inlineStr">
        <is>
          <t>per tutte le età</t>
        </is>
      </c>
      <c r="F405" s="14" t="inlineStr">
        <is>
          <t>n.d. / tutte le età</t>
        </is>
      </c>
      <c r="G405" s="14" t="inlineStr">
        <is>
          <t>Albo illustrato</t>
        </is>
      </c>
      <c r="H405" s="14" t="inlineStr"/>
      <c r="I405" s="14" t="inlineStr">
        <is>
          <t>No</t>
        </is>
      </c>
      <c r="J405" s="14" t="inlineStr">
        <is>
          <t>Collana</t>
        </is>
      </c>
      <c r="K405" s="14" t="inlineStr"/>
      <c r="L405" s="14" t="inlineStr">
        <is>
          <t>Catalogo Terre di Mezzo 1° semestre 2026, p. 46 (ISBN 9791259961068)</t>
        </is>
      </c>
      <c r="M405" s="16" t="n">
        <v>20</v>
      </c>
      <c r="N405" s="14" t="inlineStr">
        <is>
          <t>Catalogo Terre di Mezzo 1° semestre 2026</t>
        </is>
      </c>
      <c r="O405" s="16">
        <f>IF(ISNUMBER(M405),ROUND(M405*(1-Condizioni!$B$2),2),"")</f>
        <v/>
      </c>
      <c r="P405" s="17" t="inlineStr">
        <is>
          <t>No</t>
        </is>
      </c>
    </row>
    <row r="406">
      <c r="A406" s="14" t="inlineStr">
        <is>
          <t>Terre di Mezzo</t>
        </is>
      </c>
      <c r="B406" s="14" t="inlineStr">
        <is>
          <t>Tu sei una meraviglia</t>
        </is>
      </c>
      <c r="C406" s="14" t="inlineStr">
        <is>
          <t>Kobi Yamada, Gabriella Barouch</t>
        </is>
      </c>
      <c r="D406" s="14" t="inlineStr">
        <is>
          <t>L'Acchiappastorie – Albi per tutte le età</t>
        </is>
      </c>
      <c r="E406" s="14" t="inlineStr">
        <is>
          <t>per tutte le età</t>
        </is>
      </c>
      <c r="F406" s="14" t="inlineStr">
        <is>
          <t>n.d. / tutte le età</t>
        </is>
      </c>
      <c r="G406" s="14" t="inlineStr">
        <is>
          <t>Albo illustrato</t>
        </is>
      </c>
      <c r="H406" s="14" t="inlineStr"/>
      <c r="I406" s="14" t="inlineStr">
        <is>
          <t>No</t>
        </is>
      </c>
      <c r="J406" s="14" t="inlineStr">
        <is>
          <t>Collana</t>
        </is>
      </c>
      <c r="K406" s="14" t="inlineStr"/>
      <c r="L406" s="14" t="inlineStr">
        <is>
          <t>Catalogo Terre di Mezzo 1° semestre 2026, p. 44 (ISBN 9791259962669)</t>
        </is>
      </c>
      <c r="M406" s="16" t="n">
        <v>16</v>
      </c>
      <c r="N406" s="14" t="inlineStr">
        <is>
          <t>Catalogo Terre di Mezzo 1° semestre 2026</t>
        </is>
      </c>
      <c r="O406" s="16">
        <f>IF(ISNUMBER(M406),ROUND(M406*(1-Condizioni!$B$2),2),"")</f>
        <v/>
      </c>
      <c r="P406" s="17" t="inlineStr">
        <is>
          <t>No</t>
        </is>
      </c>
    </row>
    <row r="407">
      <c r="A407" s="14" t="inlineStr">
        <is>
          <t>Terre di Mezzo</t>
        </is>
      </c>
      <c r="B407" s="14" t="inlineStr">
        <is>
          <t>Tutta la forza di un fiore</t>
        </is>
      </c>
      <c r="C407" s="14" t="inlineStr">
        <is>
          <t>Silvio Boselli</t>
        </is>
      </c>
      <c r="D407" s="14" t="inlineStr">
        <is>
          <t>L'Acchiappastorie – Albi per tutte le età</t>
        </is>
      </c>
      <c r="E407" s="14" t="inlineStr">
        <is>
          <t>per tutte le età</t>
        </is>
      </c>
      <c r="F407" s="14" t="inlineStr">
        <is>
          <t>n.d. / tutte le età</t>
        </is>
      </c>
      <c r="G407" s="14" t="inlineStr">
        <is>
          <t>Albo illustrato</t>
        </is>
      </c>
      <c r="H407" s="14" t="inlineStr"/>
      <c r="I407" s="14" t="inlineStr">
        <is>
          <t>No</t>
        </is>
      </c>
      <c r="J407" s="14" t="inlineStr">
        <is>
          <t>Collana</t>
        </is>
      </c>
      <c r="K407" s="14" t="inlineStr"/>
      <c r="L407" s="14" t="inlineStr">
        <is>
          <t>Catalogo Terre di Mezzo 1° semestre 2026, p. 42 (ISBN 9788861896802)</t>
        </is>
      </c>
      <c r="M407" s="16" t="n">
        <v>15</v>
      </c>
      <c r="N407" s="14" t="inlineStr">
        <is>
          <t>Catalogo Terre di Mezzo 1° semestre 2026</t>
        </is>
      </c>
      <c r="O407" s="16">
        <f>IF(ISNUMBER(M407),ROUND(M407*(1-Condizioni!$B$2),2),"")</f>
        <v/>
      </c>
      <c r="P407" s="17" t="inlineStr">
        <is>
          <t>No</t>
        </is>
      </c>
    </row>
    <row r="408">
      <c r="A408" s="14" t="inlineStr">
        <is>
          <t>Terre di Mezzo</t>
        </is>
      </c>
      <c r="B408" s="14" t="inlineStr">
        <is>
          <t>Via della gentilezza</t>
        </is>
      </c>
      <c r="C408" s="14" t="inlineStr">
        <is>
          <t>Marta Bartolj</t>
        </is>
      </c>
      <c r="D408" s="14" t="inlineStr">
        <is>
          <t>L'Acchiappastorie – Silent book</t>
        </is>
      </c>
      <c r="E408" s="14" t="inlineStr">
        <is>
          <t>per tutte le età</t>
        </is>
      </c>
      <c r="F408" s="14" t="inlineStr">
        <is>
          <t>Prime letture (6-8)</t>
        </is>
      </c>
      <c r="G408" s="14" t="inlineStr">
        <is>
          <t>Silent book</t>
        </is>
      </c>
      <c r="H408" s="14" t="inlineStr"/>
      <c r="I408" s="14" t="inlineStr">
        <is>
          <t>No</t>
        </is>
      </c>
      <c r="J408" s="14" t="inlineStr">
        <is>
          <t>Collana</t>
        </is>
      </c>
      <c r="K408" s="14" t="inlineStr">
        <is>
          <t>prime letture</t>
        </is>
      </c>
      <c r="L408" s="14" t="inlineStr">
        <is>
          <t>Catalogo Terre di Mezzo 1° semestre 2026, p. 41 (ISBN 9788861897595)</t>
        </is>
      </c>
      <c r="M408" s="16" t="n">
        <v>16.9</v>
      </c>
      <c r="N408" s="14" t="inlineStr">
        <is>
          <t>Catalogo Terre di Mezzo 1° semestre 2026</t>
        </is>
      </c>
      <c r="O408" s="16">
        <f>IF(ISNUMBER(M408),ROUND(M408*(1-Condizioni!$B$2),2),"")</f>
        <v/>
      </c>
      <c r="P408" s="17" t="inlineStr">
        <is>
          <t>Sì</t>
        </is>
      </c>
    </row>
  </sheetData>
  <autoFilter ref="A1:P40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Camelozampa</t>
        </is>
      </c>
      <c r="B2" s="14" t="inlineStr">
        <is>
          <t>Amici (miniserie A bocca aperta)</t>
        </is>
      </c>
      <c r="C2" s="14" t="inlineStr">
        <is>
          <t>Helen Oxenbury</t>
        </is>
      </c>
      <c r="D2" s="14" t="inlineStr">
        <is>
          <t>A bocca aperta</t>
        </is>
      </c>
      <c r="E2" s="14" t="inlineStr">
        <is>
          <t>0-3 anni</t>
        </is>
      </c>
      <c r="F2" s="14" t="inlineStr">
        <is>
          <t>0-3 anni</t>
        </is>
      </c>
      <c r="G2" s="14" t="inlineStr">
        <is>
          <t>Libro cartonato</t>
        </is>
      </c>
      <c r="H2" s="14" t="inlineStr"/>
      <c r="I2" s="14" t="inlineStr">
        <is>
          <t>No</t>
        </is>
      </c>
      <c r="J2" s="14" t="inlineStr">
        <is>
          <t>Catalogo</t>
        </is>
      </c>
      <c r="K2" s="14" t="inlineStr">
        <is>
          <t>0-3 anni</t>
        </is>
      </c>
      <c r="L2" s="14" t="inlineStr">
        <is>
          <t>https://www.camelozampa.com/shop/amici/</t>
        </is>
      </c>
      <c r="M2" s="16" t="n">
        <v>9.9</v>
      </c>
      <c r="N2" s="14" t="inlineStr">
        <is>
          <t>Catalogo Camelozampa 2026</t>
        </is>
      </c>
      <c r="O2" s="16">
        <f>IF(ISNUMBER(M2),ROUND(M2*(1-Condizioni!$B$2),2),"")</f>
        <v/>
      </c>
      <c r="P2" s="17" t="inlineStr">
        <is>
          <t>Sì</t>
        </is>
      </c>
    </row>
    <row r="3">
      <c r="A3" s="14" t="inlineStr">
        <is>
          <t>Camelozampa</t>
        </is>
      </c>
      <c r="B3" s="14" t="inlineStr">
        <is>
          <t>Peggy trova tutto</t>
        </is>
      </c>
      <c r="C3" s="14" t="inlineStr">
        <is>
          <t>Tonka Uzu</t>
        </is>
      </c>
      <c r="D3" s="14" t="inlineStr">
        <is>
          <t>Collana 0-3</t>
        </is>
      </c>
      <c r="E3" s="14" t="inlineStr">
        <is>
          <t>0-3 anni</t>
        </is>
      </c>
      <c r="F3" s="14" t="inlineStr">
        <is>
          <t>0-3 anni</t>
        </is>
      </c>
      <c r="G3" s="14" t="inlineStr">
        <is>
          <t>Libro cartonato</t>
        </is>
      </c>
      <c r="H3" s="14" t="inlineStr"/>
      <c r="I3" s="14" t="inlineStr">
        <is>
          <t>No</t>
        </is>
      </c>
      <c r="J3" s="14" t="inlineStr">
        <is>
          <t>Catalogo</t>
        </is>
      </c>
      <c r="K3" s="14" t="inlineStr">
        <is>
          <t>0-3 anni</t>
        </is>
      </c>
      <c r="L3" s="14" t="inlineStr">
        <is>
          <t>https://camelozampa.com/doc/catalogo-camelozampa-2025.pdf</t>
        </is>
      </c>
      <c r="M3" s="16" t="n">
        <v>15</v>
      </c>
      <c r="N3" s="14" t="inlineStr">
        <is>
          <t>Catalogo Camelozampa 2026</t>
        </is>
      </c>
      <c r="O3" s="16">
        <f>IF(ISNUMBER(M3),ROUND(M3*(1-Condizioni!$B$2),2),"")</f>
        <v/>
      </c>
      <c r="P3" s="17" t="inlineStr">
        <is>
          <t>Sì</t>
        </is>
      </c>
    </row>
    <row r="4">
      <c r="A4" s="14" t="inlineStr">
        <is>
          <t>Camelozampa</t>
        </is>
      </c>
      <c r="B4" s="14" t="inlineStr">
        <is>
          <t>Avrò cura di te</t>
        </is>
      </c>
      <c r="C4" s="14" t="inlineStr">
        <is>
          <t>(vedi scheda)</t>
        </is>
      </c>
      <c r="D4" s="14" t="inlineStr">
        <is>
          <t>Le Piume (albi illustrati)</t>
        </is>
      </c>
      <c r="E4" s="14" t="inlineStr">
        <is>
          <t>collana prevalentemente da 4 anni</t>
        </is>
      </c>
      <c r="F4" s="14" t="inlineStr">
        <is>
          <t>3-6 anni</t>
        </is>
      </c>
      <c r="G4" s="14" t="inlineStr">
        <is>
          <t>Albo illustrato</t>
        </is>
      </c>
      <c r="H4" s="14" t="inlineStr">
        <is>
          <t>Cura e solidarietà</t>
        </is>
      </c>
      <c r="I4" s="14" t="inlineStr">
        <is>
          <t>No</t>
        </is>
      </c>
      <c r="J4" s="15" t="inlineStr">
        <is>
          <t>Da verificare</t>
        </is>
      </c>
      <c r="K4" s="14" t="inlineStr">
        <is>
          <t>3-6 anni</t>
        </is>
      </c>
      <c r="L4" s="14" t="inlineStr">
        <is>
          <t>https://www.camelozampa.com/shop/categoria/collane/le-piume-albi-illustrati/</t>
        </is>
      </c>
      <c r="M4" s="16" t="n">
        <v>17.9</v>
      </c>
      <c r="N4" s="14" t="inlineStr">
        <is>
          <t>Catalogo Camelozampa 2026</t>
        </is>
      </c>
      <c r="O4" s="16">
        <f>IF(ISNUMBER(M4),ROUND(M4*(1-Condizioni!$B$2),2),"")</f>
        <v/>
      </c>
      <c r="P4" s="17" t="inlineStr">
        <is>
          <t>Sì</t>
        </is>
      </c>
    </row>
    <row r="5">
      <c r="A5" s="14" t="inlineStr">
        <is>
          <t>Camelozampa</t>
        </is>
      </c>
      <c r="B5" s="14" t="inlineStr">
        <is>
          <t>Cielo di ciliegie</t>
        </is>
      </c>
      <c r="C5" s="14" t="inlineStr">
        <is>
          <t>(vedi scheda)</t>
        </is>
      </c>
      <c r="D5" s="14" t="inlineStr">
        <is>
          <t>Le Piume (albi illustrati)</t>
        </is>
      </c>
      <c r="E5" s="14" t="inlineStr">
        <is>
          <t>collana prevalentemente da 4 anni</t>
        </is>
      </c>
      <c r="F5" s="14" t="inlineStr">
        <is>
          <t>3-6 anni</t>
        </is>
      </c>
      <c r="G5" s="14" t="inlineStr">
        <is>
          <t>Albo illustrato</t>
        </is>
      </c>
      <c r="H5" s="14" t="inlineStr">
        <is>
          <t>Differenze sociali</t>
        </is>
      </c>
      <c r="I5" s="14" t="inlineStr">
        <is>
          <t>No</t>
        </is>
      </c>
      <c r="J5" s="15" t="inlineStr">
        <is>
          <t>Da verificare</t>
        </is>
      </c>
      <c r="K5" s="14" t="inlineStr">
        <is>
          <t>3-6 anni</t>
        </is>
      </c>
      <c r="L5" s="14" t="inlineStr">
        <is>
          <t>https://www.camelozampa.com/shop/categoria/collane/le-piume-albi-illustrati/</t>
        </is>
      </c>
      <c r="M5" s="16" t="n">
        <v>16.9</v>
      </c>
      <c r="N5" s="14" t="inlineStr">
        <is>
          <t>Catalogo Camelozampa 2026</t>
        </is>
      </c>
      <c r="O5" s="16">
        <f>IF(ISNUMBER(M5),ROUND(M5*(1-Condizioni!$B$2),2),"")</f>
        <v/>
      </c>
      <c r="P5" s="17" t="inlineStr">
        <is>
          <t>Sì</t>
        </is>
      </c>
    </row>
    <row r="6">
      <c r="A6" s="14" t="inlineStr">
        <is>
          <t>Camelozampa</t>
        </is>
      </c>
      <c r="B6" s="14" t="inlineStr">
        <is>
          <t>Dove nasco ogni giorno</t>
        </is>
      </c>
      <c r="C6" s="14" t="inlineStr">
        <is>
          <t>(vedi scheda)</t>
        </is>
      </c>
      <c r="D6" s="14" t="inlineStr">
        <is>
          <t>Le Piume (albi illustrati)</t>
        </is>
      </c>
      <c r="E6" s="14" t="inlineStr">
        <is>
          <t>dai 3 anni</t>
        </is>
      </c>
      <c r="F6" s="14" t="inlineStr">
        <is>
          <t>3-6 anni</t>
        </is>
      </c>
      <c r="G6" s="14" t="inlineStr">
        <is>
          <t>Albo illustrato</t>
        </is>
      </c>
      <c r="H6" s="14" t="inlineStr">
        <is>
          <t>Famiglie di molte forme</t>
        </is>
      </c>
      <c r="I6" s="14" t="inlineStr">
        <is>
          <t>No</t>
        </is>
      </c>
      <c r="J6" s="14" t="inlineStr">
        <is>
          <t>Catalogo</t>
        </is>
      </c>
      <c r="K6" s="14" t="inlineStr">
        <is>
          <t>3-6 anni</t>
        </is>
      </c>
      <c r="L6" s="14" t="inlineStr">
        <is>
          <t>https://www.camelozampa.com/shop/categoria/collane/le-piume-albi-illustrati/</t>
        </is>
      </c>
      <c r="M6" s="16" t="n">
        <v>18.9</v>
      </c>
      <c r="N6" s="14" t="inlineStr">
        <is>
          <t>Catalogo Camelozampa 2026</t>
        </is>
      </c>
      <c r="O6" s="16">
        <f>IF(ISNUMBER(M6),ROUND(M6*(1-Condizioni!$B$2),2),"")</f>
        <v/>
      </c>
      <c r="P6" s="17" t="inlineStr">
        <is>
          <t>Sì</t>
        </is>
      </c>
    </row>
    <row r="7">
      <c r="A7" s="14" t="inlineStr">
        <is>
          <t>Camelozampa</t>
        </is>
      </c>
      <c r="B7" s="14" t="inlineStr">
        <is>
          <t>Felicità è una parola semplice</t>
        </is>
      </c>
      <c r="C7" s="14" t="inlineStr">
        <is>
          <t>(vedi scheda)</t>
        </is>
      </c>
      <c r="D7" s="14" t="inlineStr">
        <is>
          <t>Le Piume (albi illustrati)</t>
        </is>
      </c>
      <c r="E7" s="14" t="inlineStr">
        <is>
          <t>collana prevalentemente da 4 anni</t>
        </is>
      </c>
      <c r="F7" s="14" t="inlineStr">
        <is>
          <t>3-6 anni</t>
        </is>
      </c>
      <c r="G7" s="14" t="inlineStr">
        <is>
          <t>Albo illustrato</t>
        </is>
      </c>
      <c r="H7" s="14" t="inlineStr">
        <is>
          <t>Elaborazione del dolore collettivo (pandemia)</t>
        </is>
      </c>
      <c r="I7" s="14" t="inlineStr">
        <is>
          <t>No</t>
        </is>
      </c>
      <c r="J7" s="15" t="inlineStr">
        <is>
          <t>Da verificare</t>
        </is>
      </c>
      <c r="K7" s="14" t="inlineStr">
        <is>
          <t>3-6 anni</t>
        </is>
      </c>
      <c r="L7" s="14" t="inlineStr">
        <is>
          <t>https://www.camelozampa.com/shop/categoria/collane/le-piume-albi-illustrati/</t>
        </is>
      </c>
      <c r="M7" s="16" t="n">
        <v>18.9</v>
      </c>
      <c r="N7" s="14" t="inlineStr">
        <is>
          <t>Catalogo Camelozampa 2026</t>
        </is>
      </c>
      <c r="O7" s="16">
        <f>IF(ISNUMBER(M7),ROUND(M7*(1-Condizioni!$B$2),2),"")</f>
        <v/>
      </c>
      <c r="P7" s="17" t="inlineStr">
        <is>
          <t>Sì</t>
        </is>
      </c>
    </row>
    <row r="8">
      <c r="A8" s="14" t="inlineStr">
        <is>
          <t>Camelozampa</t>
        </is>
      </c>
      <c r="B8" s="14" t="inlineStr">
        <is>
          <t>Il cortile selvaggio</t>
        </is>
      </c>
      <c r="C8" s="14" t="inlineStr">
        <is>
          <t>(vedi scheda)</t>
        </is>
      </c>
      <c r="D8" s="14" t="inlineStr">
        <is>
          <t>Le Piume (albi illustrati)</t>
        </is>
      </c>
      <c r="E8" s="14" t="inlineStr">
        <is>
          <t>dai 4 anni</t>
        </is>
      </c>
      <c r="F8" s="14" t="inlineStr">
        <is>
          <t>3-6 anni</t>
        </is>
      </c>
      <c r="G8" s="14" t="inlineStr">
        <is>
          <t>Albo illustrato</t>
        </is>
      </c>
      <c r="H8" s="14" t="inlineStr">
        <is>
          <t>Natura e legami</t>
        </is>
      </c>
      <c r="I8" s="14" t="inlineStr">
        <is>
          <t>No</t>
        </is>
      </c>
      <c r="J8" s="14" t="inlineStr">
        <is>
          <t>Catalogo</t>
        </is>
      </c>
      <c r="K8" s="14" t="inlineStr">
        <is>
          <t>3-6 anni</t>
        </is>
      </c>
      <c r="L8" s="14" t="inlineStr">
        <is>
          <t>https://www.camelozampa.com/shop/categoria/collane/le-piume-albi-illustrati/</t>
        </is>
      </c>
      <c r="M8" s="16" t="n">
        <v>19.9</v>
      </c>
      <c r="N8" s="14" t="inlineStr">
        <is>
          <t>Catalogo Camelozampa 2026</t>
        </is>
      </c>
      <c r="O8" s="16">
        <f>IF(ISNUMBER(M8),ROUND(M8*(1-Condizioni!$B$2),2),"")</f>
        <v/>
      </c>
      <c r="P8" s="17" t="inlineStr">
        <is>
          <t>Sì</t>
        </is>
      </c>
    </row>
    <row r="9">
      <c r="A9" s="14" t="inlineStr">
        <is>
          <t>Camelozampa</t>
        </is>
      </c>
      <c r="B9" s="14" t="inlineStr">
        <is>
          <t>Il giardino di Rita</t>
        </is>
      </c>
      <c r="C9" s="14" t="inlineStr">
        <is>
          <t>(vedi scheda)</t>
        </is>
      </c>
      <c r="D9" s="14" t="inlineStr">
        <is>
          <t>Le Piume (albi illustrati)</t>
        </is>
      </c>
      <c r="E9" s="14" t="inlineStr">
        <is>
          <t>collana prevalentemente da 4 anni</t>
        </is>
      </c>
      <c r="F9" s="14" t="inlineStr">
        <is>
          <t>3-6 anni</t>
        </is>
      </c>
      <c r="G9" s="14" t="inlineStr">
        <is>
          <t>Albo illustrato</t>
        </is>
      </c>
      <c r="H9" s="14" t="inlineStr">
        <is>
          <t>Lutto e trasformazione</t>
        </is>
      </c>
      <c r="I9" s="14" t="inlineStr">
        <is>
          <t>No</t>
        </is>
      </c>
      <c r="J9" s="15" t="inlineStr">
        <is>
          <t>Da verificare</t>
        </is>
      </c>
      <c r="K9" s="14" t="inlineStr">
        <is>
          <t>3-6 anni</t>
        </is>
      </c>
      <c r="L9" s="14" t="inlineStr">
        <is>
          <t>https://www.camelozampa.com/shop/categoria/collane/le-piume-albi-illustrati/</t>
        </is>
      </c>
      <c r="M9" s="16" t="n">
        <v>18.9</v>
      </c>
      <c r="N9" s="14" t="inlineStr">
        <is>
          <t>Catalogo Camelozampa 2026</t>
        </is>
      </c>
      <c r="O9" s="16">
        <f>IF(ISNUMBER(M9),ROUND(M9*(1-Condizioni!$B$2),2),"")</f>
        <v/>
      </c>
      <c r="P9" s="17" t="inlineStr">
        <is>
          <t>Sì</t>
        </is>
      </c>
    </row>
    <row r="10">
      <c r="A10" s="14" t="inlineStr">
        <is>
          <t>Camelozampa</t>
        </is>
      </c>
      <c r="B10" s="14" t="inlineStr">
        <is>
          <t>La sorpresa della volpe</t>
        </is>
      </c>
      <c r="C10" s="14" t="inlineStr">
        <is>
          <t>(vedi scheda)</t>
        </is>
      </c>
      <c r="D10" s="14" t="inlineStr">
        <is>
          <t>Le Piume (albi illustrati)</t>
        </is>
      </c>
      <c r="E10" s="14" t="inlineStr">
        <is>
          <t>collana prevalentemente da 4 anni</t>
        </is>
      </c>
      <c r="F10" s="14" t="inlineStr">
        <is>
          <t>3-6 anni</t>
        </is>
      </c>
      <c r="G10" s="14" t="inlineStr">
        <is>
          <t>Albo illustrato</t>
        </is>
      </c>
      <c r="H10" s="14" t="inlineStr">
        <is>
          <t>Amicizia e pregiudizi</t>
        </is>
      </c>
      <c r="I10" s="14" t="inlineStr">
        <is>
          <t>No</t>
        </is>
      </c>
      <c r="J10" s="15" t="inlineStr">
        <is>
          <t>Da verificare</t>
        </is>
      </c>
      <c r="K10" s="14" t="inlineStr">
        <is>
          <t>3-6 anni</t>
        </is>
      </c>
      <c r="L10" s="14" t="inlineStr">
        <is>
          <t>https://www.camelozampa.com/shop/categoria/collane/le-piume-albi-illustrati/</t>
        </is>
      </c>
      <c r="M10" s="16" t="n">
        <v>15</v>
      </c>
      <c r="N10" s="14" t="inlineStr">
        <is>
          <t>Catalogo Camelozampa 2026</t>
        </is>
      </c>
      <c r="O10" s="16">
        <f>IF(ISNUMBER(M10),ROUND(M10*(1-Condizioni!$B$2),2),"")</f>
        <v/>
      </c>
      <c r="P10" s="17" t="inlineStr">
        <is>
          <t>Sì</t>
        </is>
      </c>
    </row>
    <row r="11">
      <c r="A11" s="14" t="inlineStr">
        <is>
          <t>Camelozampa</t>
        </is>
      </c>
      <c r="B11" s="14" t="inlineStr">
        <is>
          <t>70 trucchi per non fare il bagno</t>
        </is>
      </c>
      <c r="C11" s="14" t="inlineStr">
        <is>
          <t>(vedi scheda)</t>
        </is>
      </c>
      <c r="D11" s="14" t="inlineStr">
        <is>
          <t>Narrativa / Gruppi di lettura</t>
        </is>
      </c>
      <c r="E11" s="14" t="inlineStr">
        <is>
          <t>da 7 anni</t>
        </is>
      </c>
      <c r="F11" s="14" t="inlineStr">
        <is>
          <t>Prime letture (6-8)</t>
        </is>
      </c>
      <c r="G11" s="14" t="inlineStr">
        <is>
          <t>Romanzo</t>
        </is>
      </c>
      <c r="H11" s="14" t="inlineStr">
        <is>
          <t>Ansia da prestazione</t>
        </is>
      </c>
      <c r="I11" s="14" t="inlineStr">
        <is>
          <t>No</t>
        </is>
      </c>
      <c r="J11" s="14" t="inlineStr">
        <is>
          <t>Catalogo</t>
        </is>
      </c>
      <c r="K11" s="14" t="inlineStr">
        <is>
          <t>prime letture, romanzo, narrativa</t>
        </is>
      </c>
      <c r="L11" s="14" t="inlineStr">
        <is>
          <t>https://www.camelozampa.com/gruppi-di-lettura/</t>
        </is>
      </c>
      <c r="M11" s="16" t="n">
        <v>15.9</v>
      </c>
      <c r="N11" s="14" t="inlineStr">
        <is>
          <t>Catalogo Camelozampa 2026</t>
        </is>
      </c>
      <c r="O11" s="16">
        <f>IF(ISNUMBER(M11),ROUND(M11*(1-Condizioni!$B$2),2),"")</f>
        <v/>
      </c>
      <c r="P11" s="17" t="inlineStr">
        <is>
          <t>Sì</t>
        </is>
      </c>
    </row>
    <row r="12">
      <c r="A12" s="14" t="inlineStr">
        <is>
          <t>Camelozampa</t>
        </is>
      </c>
      <c r="B12" s="14" t="inlineStr">
        <is>
          <t>Dove sono finiti i bambini?</t>
        </is>
      </c>
      <c r="C12" s="14" t="inlineStr">
        <is>
          <t>(vedi scheda)</t>
        </is>
      </c>
      <c r="D12" s="14" t="inlineStr">
        <is>
          <t>Narrativa / Gruppi di lettura</t>
        </is>
      </c>
      <c r="E12" s="14" t="inlineStr">
        <is>
          <t>da 6 anni</t>
        </is>
      </c>
      <c r="F12" s="14" t="inlineStr">
        <is>
          <t>Prime letture (6-8)</t>
        </is>
      </c>
      <c r="G12" s="14" t="inlineStr">
        <is>
          <t>Poesia</t>
        </is>
      </c>
      <c r="H12" s="14" t="inlineStr">
        <is>
          <t>Diritto dei bambini a essere ascoltati</t>
        </is>
      </c>
      <c r="I12" s="14" t="inlineStr">
        <is>
          <t>No</t>
        </is>
      </c>
      <c r="J12" s="14" t="inlineStr">
        <is>
          <t>Catalogo</t>
        </is>
      </c>
      <c r="K12" s="14" t="inlineStr">
        <is>
          <t>prime letture</t>
        </is>
      </c>
      <c r="L12" s="14" t="inlineStr">
        <is>
          <t>https://www.camelozampa.com/gruppi-di-lettura/</t>
        </is>
      </c>
      <c r="M12" s="16" t="n">
        <v>17.9</v>
      </c>
      <c r="N12" s="14" t="inlineStr">
        <is>
          <t>Catalogo Camelozampa 2026</t>
        </is>
      </c>
      <c r="O12" s="16">
        <f>IF(ISNUMBER(M12),ROUND(M12*(1-Condizioni!$B$2),2),"")</f>
        <v/>
      </c>
      <c r="P12" s="17" t="inlineStr">
        <is>
          <t>Sì</t>
        </is>
      </c>
    </row>
    <row r="13">
      <c r="A13" s="14" t="inlineStr">
        <is>
          <t>Camelozampa</t>
        </is>
      </c>
      <c r="B13" s="14" t="inlineStr">
        <is>
          <t>Isidoro e la luna</t>
        </is>
      </c>
      <c r="C13" s="14" t="inlineStr">
        <is>
          <t>(vedi scheda)</t>
        </is>
      </c>
      <c r="D13" s="14" t="inlineStr">
        <is>
          <t>Narrativa / Gruppi di lettura</t>
        </is>
      </c>
      <c r="E13" s="14" t="inlineStr">
        <is>
          <t>da 7 anni</t>
        </is>
      </c>
      <c r="F13" s="14" t="inlineStr">
        <is>
          <t>Prime letture (6-8)</t>
        </is>
      </c>
      <c r="G13" s="14" t="inlineStr">
        <is>
          <t>Avventura</t>
        </is>
      </c>
      <c r="H13" s="14" t="inlineStr">
        <is>
          <t>Potere della parola</t>
        </is>
      </c>
      <c r="I13" s="14" t="inlineStr">
        <is>
          <t>No</t>
        </is>
      </c>
      <c r="J13" s="14" t="inlineStr">
        <is>
          <t>Catalogo</t>
        </is>
      </c>
      <c r="K13" s="14" t="inlineStr">
        <is>
          <t>prime letture, avventura, narrativa</t>
        </is>
      </c>
      <c r="L13" s="14" t="inlineStr">
        <is>
          <t>https://www.camelozampa.com/gruppi-di-lettura/</t>
        </is>
      </c>
      <c r="M13" s="16" t="n">
        <v>15.9</v>
      </c>
      <c r="N13" s="14" t="inlineStr">
        <is>
          <t>Catalogo Camelozampa 2026</t>
        </is>
      </c>
      <c r="O13" s="16">
        <f>IF(ISNUMBER(M13),ROUND(M13*(1-Condizioni!$B$2),2),"")</f>
        <v/>
      </c>
      <c r="P13" s="17" t="inlineStr">
        <is>
          <t>Sì</t>
        </is>
      </c>
    </row>
    <row r="14">
      <c r="A14" s="14" t="inlineStr">
        <is>
          <t>Camelozampa</t>
        </is>
      </c>
      <c r="B14" s="14" t="inlineStr">
        <is>
          <t>La figlia della biblioteca</t>
        </is>
      </c>
      <c r="C14" s="14" t="inlineStr">
        <is>
          <t>(vedi scheda)</t>
        </is>
      </c>
      <c r="D14" s="14" t="inlineStr">
        <is>
          <t>Narrativa / Gruppi di lettura</t>
        </is>
      </c>
      <c r="E14" s="14" t="inlineStr">
        <is>
          <t>da 7 anni</t>
        </is>
      </c>
      <c r="F14" s="14" t="inlineStr">
        <is>
          <t>Prime letture (6-8)</t>
        </is>
      </c>
      <c r="G14" s="14" t="inlineStr">
        <is>
          <t>Avventura</t>
        </is>
      </c>
      <c r="H14" s="14" t="inlineStr">
        <is>
          <t>Famiglie che si scelgono</t>
        </is>
      </c>
      <c r="I14" s="14" t="inlineStr">
        <is>
          <t>No</t>
        </is>
      </c>
      <c r="J14" s="14" t="inlineStr">
        <is>
          <t>Catalogo</t>
        </is>
      </c>
      <c r="K14" s="14" t="inlineStr">
        <is>
          <t>prime letture, avventura, narrativa</t>
        </is>
      </c>
      <c r="L14" s="14" t="inlineStr">
        <is>
          <t>https://www.camelozampa.com/gruppi-di-lettura/</t>
        </is>
      </c>
      <c r="M14" s="16" t="n">
        <v>16.9</v>
      </c>
      <c r="N14" s="14" t="inlineStr">
        <is>
          <t>Catalogo Camelozampa 2026</t>
        </is>
      </c>
      <c r="O14" s="16">
        <f>IF(ISNUMBER(M14),ROUND(M14*(1-Condizioni!$B$2),2),"")</f>
        <v/>
      </c>
      <c r="P14" s="17" t="inlineStr">
        <is>
          <t>Sì</t>
        </is>
      </c>
    </row>
    <row r="15">
      <c r="A15" s="14" t="inlineStr">
        <is>
          <t>Camelozampa</t>
        </is>
      </c>
      <c r="B15" s="14" t="inlineStr">
        <is>
          <t>Furia Mascherata</t>
        </is>
      </c>
      <c r="C15" s="14" t="inlineStr">
        <is>
          <t>(vedi scheda)</t>
        </is>
      </c>
      <c r="D15" s="14" t="inlineStr">
        <is>
          <t>Narrativa / Gruppi di lettura</t>
        </is>
      </c>
      <c r="E15" s="14" t="inlineStr">
        <is>
          <t>8-11 anni</t>
        </is>
      </c>
      <c r="F15" s="14" t="inlineStr">
        <is>
          <t>8+</t>
        </is>
      </c>
      <c r="G15" s="14" t="inlineStr">
        <is>
          <t>Avventura</t>
        </is>
      </c>
      <c r="H15" s="14" t="inlineStr">
        <is>
          <t>Amicizia</t>
        </is>
      </c>
      <c r="I15" s="14" t="inlineStr">
        <is>
          <t>No</t>
        </is>
      </c>
      <c r="J15" s="14" t="inlineStr">
        <is>
          <t>Catalogo</t>
        </is>
      </c>
      <c r="K15" s="14" t="inlineStr">
        <is>
          <t>8+, avventura, narrativa</t>
        </is>
      </c>
      <c r="L15" s="14" t="inlineStr">
        <is>
          <t>https://www.camelozampa.com/gruppi-di-lettura/</t>
        </is>
      </c>
      <c r="M15" s="16" t="n">
        <v>15.9</v>
      </c>
      <c r="N15" s="14" t="inlineStr">
        <is>
          <t>Catalogo Camelozampa 2026</t>
        </is>
      </c>
      <c r="O15" s="16">
        <f>IF(ISNUMBER(M15),ROUND(M15*(1-Condizioni!$B$2),2),"")</f>
        <v/>
      </c>
      <c r="P15" s="17" t="inlineStr">
        <is>
          <t>Sì</t>
        </is>
      </c>
    </row>
    <row r="16">
      <c r="A16" s="14" t="inlineStr">
        <is>
          <t>Camelozampa</t>
        </is>
      </c>
      <c r="B16" s="14" t="inlineStr">
        <is>
          <t>Felice abbastanza</t>
        </is>
      </c>
      <c r="C16" s="14" t="inlineStr">
        <is>
          <t>(vedi scheda)</t>
        </is>
      </c>
      <c r="D16" s="14" t="inlineStr">
        <is>
          <t>Narrativa / Gruppi di lettura</t>
        </is>
      </c>
      <c r="E16" s="14" t="inlineStr">
        <is>
          <t>9-12 anni</t>
        </is>
      </c>
      <c r="F16" s="14" t="inlineStr">
        <is>
          <t>9+</t>
        </is>
      </c>
      <c r="G16" s="14" t="inlineStr">
        <is>
          <t>Romanzo</t>
        </is>
      </c>
      <c r="H16" s="14" t="inlineStr">
        <is>
          <t>Crescita / preadolescenza</t>
        </is>
      </c>
      <c r="I16" s="14" t="inlineStr">
        <is>
          <t>No</t>
        </is>
      </c>
      <c r="J16" s="14" t="inlineStr">
        <is>
          <t>Catalogo</t>
        </is>
      </c>
      <c r="K16" s="14" t="inlineStr">
        <is>
          <t>9+, romanzo, narrativa</t>
        </is>
      </c>
      <c r="L16" s="14" t="inlineStr">
        <is>
          <t>https://www.camelozampa.com/gruppi-di-lettura/</t>
        </is>
      </c>
      <c r="M16" s="16" t="n">
        <v>13.9</v>
      </c>
      <c r="N16" s="14" t="inlineStr">
        <is>
          <t>Catalogo Camelozampa 2026</t>
        </is>
      </c>
      <c r="O16" s="16">
        <f>IF(ISNUMBER(M16),ROUND(M16*(1-Condizioni!$B$2),2),"")</f>
        <v/>
      </c>
      <c r="P16" s="17" t="inlineStr">
        <is>
          <t>Sì</t>
        </is>
      </c>
    </row>
    <row r="17">
      <c r="A17" s="14" t="inlineStr">
        <is>
          <t>Camelozampa</t>
        </is>
      </c>
      <c r="B17" s="14" t="inlineStr">
        <is>
          <t>La mia vita imprevista</t>
        </is>
      </c>
      <c r="C17" s="14" t="inlineStr">
        <is>
          <t>(vedi scheda)</t>
        </is>
      </c>
      <c r="D17" s="14" t="inlineStr">
        <is>
          <t>Narrativa / Gruppi di lettura</t>
        </is>
      </c>
      <c r="E17" s="14" t="inlineStr">
        <is>
          <t>9-12 anni</t>
        </is>
      </c>
      <c r="F17" s="14" t="inlineStr">
        <is>
          <t>9+</t>
        </is>
      </c>
      <c r="G17" s="14" t="inlineStr">
        <is>
          <t>Romanzo</t>
        </is>
      </c>
      <c r="H17" s="14" t="inlineStr">
        <is>
          <t>Famiglia / affido</t>
        </is>
      </c>
      <c r="I17" s="14" t="inlineStr">
        <is>
          <t>No</t>
        </is>
      </c>
      <c r="J17" s="14" t="inlineStr">
        <is>
          <t>Catalogo</t>
        </is>
      </c>
      <c r="K17" s="14" t="inlineStr">
        <is>
          <t>9+, romanzo, narrativa</t>
        </is>
      </c>
      <c r="L17" s="14" t="inlineStr">
        <is>
          <t>https://www.camelozampa.com/gruppi-di-lettura/</t>
        </is>
      </c>
      <c r="M17" s="16" t="n">
        <v>13.9</v>
      </c>
      <c r="N17" s="14" t="inlineStr">
        <is>
          <t>Catalogo Camelozampa 2026</t>
        </is>
      </c>
      <c r="O17" s="16">
        <f>IF(ISNUMBER(M17),ROUND(M17*(1-Condizioni!$B$2),2),"")</f>
        <v/>
      </c>
      <c r="P17" s="17" t="inlineStr">
        <is>
          <t>Sì</t>
        </is>
      </c>
    </row>
    <row r="18">
      <c r="A18" s="14" t="inlineStr">
        <is>
          <t>Camelozampa</t>
        </is>
      </c>
      <c r="B18" s="14" t="inlineStr">
        <is>
          <t>Oggi non si torna a casa</t>
        </is>
      </c>
      <c r="C18" s="14" t="inlineStr">
        <is>
          <t>(vedi scheda)</t>
        </is>
      </c>
      <c r="D18" s="14" t="inlineStr">
        <is>
          <t>Narrativa / Gruppi di lettura</t>
        </is>
      </c>
      <c r="E18" s="14" t="inlineStr">
        <is>
          <t>da 10 anni</t>
        </is>
      </c>
      <c r="F18" s="14" t="inlineStr">
        <is>
          <t>10+</t>
        </is>
      </c>
      <c r="G18" s="14" t="inlineStr">
        <is>
          <t>Romanzo</t>
        </is>
      </c>
      <c r="H18" s="14" t="inlineStr">
        <is>
          <t>Identità e appartenenza</t>
        </is>
      </c>
      <c r="I18" s="14" t="inlineStr">
        <is>
          <t>No</t>
        </is>
      </c>
      <c r="J18" s="14" t="inlineStr">
        <is>
          <t>Catalogo</t>
        </is>
      </c>
      <c r="K18" s="14" t="inlineStr">
        <is>
          <t>10+, romanzo, narrativa</t>
        </is>
      </c>
      <c r="L18" s="14" t="inlineStr">
        <is>
          <t>https://www.camelozampa.com/gruppi-di-lettura/</t>
        </is>
      </c>
      <c r="M18" s="16" t="n">
        <v>16.9</v>
      </c>
      <c r="N18" s="14" t="inlineStr">
        <is>
          <t>Catalogo Camelozampa 2026</t>
        </is>
      </c>
      <c r="O18" s="16">
        <f>IF(ISNUMBER(M18),ROUND(M18*(1-Condizioni!$B$2),2),"")</f>
        <v/>
      </c>
      <c r="P18" s="17" t="inlineStr">
        <is>
          <t>Sì</t>
        </is>
      </c>
    </row>
    <row r="19">
      <c r="A19" s="14" t="inlineStr">
        <is>
          <t>Camelozampa</t>
        </is>
      </c>
      <c r="B19" s="14" t="inlineStr">
        <is>
          <t>Il gruppo</t>
        </is>
      </c>
      <c r="C19" s="14" t="inlineStr">
        <is>
          <t>(vedi scheda)</t>
        </is>
      </c>
      <c r="D19" s="14" t="inlineStr">
        <is>
          <t>Narrativa / Gruppi di lettura</t>
        </is>
      </c>
      <c r="E19" s="14" t="inlineStr">
        <is>
          <t>dagli 11 anni</t>
        </is>
      </c>
      <c r="F19" s="14" t="inlineStr">
        <is>
          <t>Scuola media (11-13)</t>
        </is>
      </c>
      <c r="G19" s="14" t="inlineStr">
        <is>
          <t>Romanzo</t>
        </is>
      </c>
      <c r="H19" s="14" t="inlineStr">
        <is>
          <t>Essere sé stessi / pressione del gruppo</t>
        </is>
      </c>
      <c r="I19" s="14" t="inlineStr">
        <is>
          <t>No</t>
        </is>
      </c>
      <c r="J19" s="14" t="inlineStr">
        <is>
          <t>Catalogo</t>
        </is>
      </c>
      <c r="K19" s="14" t="inlineStr">
        <is>
          <t>prima/seconda/terza media, romanzo, narrativa</t>
        </is>
      </c>
      <c r="L19" s="14" t="inlineStr">
        <is>
          <t>https://www.camelozampa.com/gruppi-di-lettura/</t>
        </is>
      </c>
      <c r="M19" s="16" t="n">
        <v>15.9</v>
      </c>
      <c r="N19" s="14" t="inlineStr">
        <is>
          <t>Catalogo Camelozampa 2026</t>
        </is>
      </c>
      <c r="O19" s="16">
        <f>IF(ISNUMBER(M19),ROUND(M19*(1-Condizioni!$B$2),2),"")</f>
        <v/>
      </c>
      <c r="P19" s="17" t="inlineStr">
        <is>
          <t>Sì</t>
        </is>
      </c>
    </row>
    <row r="20">
      <c r="A20" s="14" t="inlineStr">
        <is>
          <t>Camelozampa</t>
        </is>
      </c>
      <c r="B20" s="14" t="inlineStr">
        <is>
          <t>Quell'estate con Yente</t>
        </is>
      </c>
      <c r="C20" s="14" t="inlineStr">
        <is>
          <t>(vedi scheda)</t>
        </is>
      </c>
      <c r="D20" s="14" t="inlineStr">
        <is>
          <t>Narrativa / Gruppi di lettura</t>
        </is>
      </c>
      <c r="E20" s="14" t="inlineStr">
        <is>
          <t>10-14 anni</t>
        </is>
      </c>
      <c r="F20" s="14" t="inlineStr">
        <is>
          <t>Scuola media (11-13)</t>
        </is>
      </c>
      <c r="G20" s="14" t="inlineStr">
        <is>
          <t>Romanzo</t>
        </is>
      </c>
      <c r="H20" s="14" t="inlineStr">
        <is>
          <t>Relazioni tossiche</t>
        </is>
      </c>
      <c r="I20" s="14" t="inlineStr">
        <is>
          <t>No</t>
        </is>
      </c>
      <c r="J20" s="14" t="inlineStr">
        <is>
          <t>Catalogo</t>
        </is>
      </c>
      <c r="K20" s="14" t="inlineStr">
        <is>
          <t>prima/seconda/terza media, romanzo, narrativa</t>
        </is>
      </c>
      <c r="L20" s="14" t="inlineStr">
        <is>
          <t>https://www.camelozampa.com/gruppi-di-lettura/</t>
        </is>
      </c>
      <c r="M20" s="16" t="n">
        <v>16.9</v>
      </c>
      <c r="N20" s="14" t="inlineStr">
        <is>
          <t>Catalogo Camelozampa 2026</t>
        </is>
      </c>
      <c r="O20" s="16">
        <f>IF(ISNUMBER(M20),ROUND(M20*(1-Condizioni!$B$2),2),"")</f>
        <v/>
      </c>
      <c r="P20" s="17" t="inlineStr">
        <is>
          <t>Sì</t>
        </is>
      </c>
    </row>
    <row r="21">
      <c r="A21" s="14" t="inlineStr">
        <is>
          <t>Camelozampa</t>
        </is>
      </c>
      <c r="B21" s="14" t="inlineStr">
        <is>
          <t>Figlia del destino</t>
        </is>
      </c>
      <c r="C21" s="14" t="inlineStr">
        <is>
          <t>(vedi scheda)</t>
        </is>
      </c>
      <c r="D21" s="14" t="inlineStr">
        <is>
          <t>Narrativa / Gruppi di lettura</t>
        </is>
      </c>
      <c r="E21" s="14" t="inlineStr">
        <is>
          <t>14-18 anni</t>
        </is>
      </c>
      <c r="F21" s="14" t="inlineStr">
        <is>
          <t>Adolescenza (14+)</t>
        </is>
      </c>
      <c r="G21" s="14" t="inlineStr">
        <is>
          <t>Romanzo</t>
        </is>
      </c>
      <c r="H21" s="14" t="inlineStr">
        <is>
          <t>Condizione femminile (storico)</t>
        </is>
      </c>
      <c r="I21" s="14" t="inlineStr">
        <is>
          <t>No</t>
        </is>
      </c>
      <c r="J21" s="14" t="inlineStr">
        <is>
          <t>Catalogo</t>
        </is>
      </c>
      <c r="K21" s="14" t="inlineStr">
        <is>
          <t>adolescenza, romanzo, narrativa</t>
        </is>
      </c>
      <c r="L21" s="14" t="inlineStr">
        <is>
          <t>https://www.camelozampa.com/gruppi-di-lettura/</t>
        </is>
      </c>
      <c r="M21" s="16" t="n">
        <v>18.9</v>
      </c>
      <c r="N21" s="14" t="inlineStr">
        <is>
          <t>Catalogo Camelozampa 2026</t>
        </is>
      </c>
      <c r="O21" s="16">
        <f>IF(ISNUMBER(M21),ROUND(M21*(1-Condizioni!$B$2),2),"")</f>
        <v/>
      </c>
      <c r="P21" s="17" t="inlineStr">
        <is>
          <t>Sì</t>
        </is>
      </c>
    </row>
    <row r="22">
      <c r="A22" s="14" t="inlineStr">
        <is>
          <t>Camelozampa</t>
        </is>
      </c>
      <c r="B22" s="14" t="inlineStr">
        <is>
          <t>Lemming e fiocchi di neve</t>
        </is>
      </c>
      <c r="C22" s="14" t="inlineStr">
        <is>
          <t>(vedi scheda)</t>
        </is>
      </c>
      <c r="D22" s="14" t="inlineStr">
        <is>
          <t>Narrativa / Gruppi di lettura</t>
        </is>
      </c>
      <c r="E22" s="14" t="inlineStr">
        <is>
          <t>dai 14 anni</t>
        </is>
      </c>
      <c r="F22" s="14" t="inlineStr">
        <is>
          <t>Adolescenza (14+)</t>
        </is>
      </c>
      <c r="G22" s="14" t="inlineStr">
        <is>
          <t>Romanzo</t>
        </is>
      </c>
      <c r="H22" s="14" t="inlineStr">
        <is>
          <t>Salute mentale</t>
        </is>
      </c>
      <c r="I22" s="14" t="inlineStr">
        <is>
          <t>No</t>
        </is>
      </c>
      <c r="J22" s="14" t="inlineStr">
        <is>
          <t>Catalogo</t>
        </is>
      </c>
      <c r="K22" s="14" t="inlineStr">
        <is>
          <t>adolescenza, romanzo, narrativa</t>
        </is>
      </c>
      <c r="L22" s="14" t="inlineStr">
        <is>
          <t>https://www.camelozampa.com/gruppi-di-lettura/</t>
        </is>
      </c>
      <c r="M22" s="16" t="n">
        <v>19.9</v>
      </c>
      <c r="N22" s="14" t="inlineStr">
        <is>
          <t>Catalogo Camelozampa 2026</t>
        </is>
      </c>
      <c r="O22" s="16">
        <f>IF(ISNUMBER(M22),ROUND(M22*(1-Condizioni!$B$2),2),"")</f>
        <v/>
      </c>
      <c r="P22" s="17" t="inlineStr">
        <is>
          <t>Sì</t>
        </is>
      </c>
    </row>
    <row r="23">
      <c r="A23" s="14" t="inlineStr">
        <is>
          <t>Camelozampa</t>
        </is>
      </c>
      <c r="B23" s="14" t="inlineStr">
        <is>
          <t>Senza titolo</t>
        </is>
      </c>
      <c r="C23" s="14" t="inlineStr">
        <is>
          <t>(vedi scheda)</t>
        </is>
      </c>
      <c r="D23" s="14" t="inlineStr">
        <is>
          <t>Narrativa / Gruppi di lettura</t>
        </is>
      </c>
      <c r="E23" s="14" t="inlineStr">
        <is>
          <t>14-18 anni</t>
        </is>
      </c>
      <c r="F23" s="14" t="inlineStr">
        <is>
          <t>Adolescenza (14+)</t>
        </is>
      </c>
      <c r="G23" s="14" t="inlineStr">
        <is>
          <t>Romanzo</t>
        </is>
      </c>
      <c r="H23" s="14" t="inlineStr">
        <is>
          <t>Adolescenza</t>
        </is>
      </c>
      <c r="I23" s="14" t="inlineStr">
        <is>
          <t>No</t>
        </is>
      </c>
      <c r="J23" s="14" t="inlineStr">
        <is>
          <t>Catalogo</t>
        </is>
      </c>
      <c r="K23" s="14" t="inlineStr">
        <is>
          <t>adolescenza, romanzo, narrativa</t>
        </is>
      </c>
      <c r="L23" s="14" t="inlineStr">
        <is>
          <t>https://www.camelozampa.com/gruppi-di-lettura/</t>
        </is>
      </c>
      <c r="M23" s="16" t="n">
        <v>18.9</v>
      </c>
      <c r="N23" s="14" t="inlineStr">
        <is>
          <t>Catalogo Camelozampa 2026</t>
        </is>
      </c>
      <c r="O23" s="16">
        <f>IF(ISNUMBER(M23),ROUND(M23*(1-Condizioni!$B$2),2),"")</f>
        <v/>
      </c>
      <c r="P23" s="17" t="inlineStr">
        <is>
          <t>Sì</t>
        </is>
      </c>
    </row>
    <row r="24">
      <c r="A24" s="14" t="inlineStr">
        <is>
          <t>Camelozampa</t>
        </is>
      </c>
      <c r="B24" s="14" t="inlineStr">
        <is>
          <t>Vulcano</t>
        </is>
      </c>
      <c r="C24" s="14" t="inlineStr">
        <is>
          <t>(vedi scheda)</t>
        </is>
      </c>
      <c r="D24" s="14" t="inlineStr">
        <is>
          <t>Narrativa / Gruppi di lettura</t>
        </is>
      </c>
      <c r="E24" s="14" t="inlineStr">
        <is>
          <t>14-18 anni</t>
        </is>
      </c>
      <c r="F24" s="14" t="inlineStr">
        <is>
          <t>Adolescenza (14+)</t>
        </is>
      </c>
      <c r="G24" s="14" t="inlineStr">
        <is>
          <t>Romanzo</t>
        </is>
      </c>
      <c r="H24" s="14" t="inlineStr">
        <is>
          <t>Ricerca di sé</t>
        </is>
      </c>
      <c r="I24" s="14" t="inlineStr">
        <is>
          <t>No</t>
        </is>
      </c>
      <c r="J24" s="14" t="inlineStr">
        <is>
          <t>Catalogo</t>
        </is>
      </c>
      <c r="K24" s="14" t="inlineStr">
        <is>
          <t>adolescenza, romanzo, narrativa</t>
        </is>
      </c>
      <c r="L24" s="14" t="inlineStr">
        <is>
          <t>https://www.camelozampa.com/gruppi-di-lettura/</t>
        </is>
      </c>
      <c r="M24" s="16" t="n">
        <v>18.9</v>
      </c>
      <c r="N24" s="14" t="inlineStr">
        <is>
          <t>Catalogo Camelozampa 2026</t>
        </is>
      </c>
      <c r="O24" s="16">
        <f>IF(ISNUMBER(M24),ROUND(M24*(1-Condizioni!$B$2),2),"")</f>
        <v/>
      </c>
      <c r="P24" s="17" t="inlineStr">
        <is>
          <t>Sì</t>
        </is>
      </c>
    </row>
  </sheetData>
  <autoFilter ref="A1:P24"/>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La Meridiana</t>
        </is>
      </c>
      <c r="B2" s="14" t="inlineStr">
        <is>
          <t>Cinque racconti brevi con protagonisti adolescenti (collana Parimenti)</t>
        </is>
      </c>
      <c r="C2" s="14" t="inlineStr">
        <is>
          <t>AA.VV.</t>
        </is>
      </c>
      <c r="D2" s="14" t="inlineStr">
        <is>
          <t>Parimenti. Proprio perché cresco</t>
        </is>
      </c>
      <c r="E2" s="14" t="inlineStr">
        <is>
          <t>adolescenti / giovani-adulti</t>
        </is>
      </c>
      <c r="F2" s="14" t="inlineStr">
        <is>
          <t>Adolescenza (14+)</t>
        </is>
      </c>
      <c r="G2" s="14" t="inlineStr">
        <is>
          <t>Narrativa</t>
        </is>
      </c>
      <c r="H2" s="14" t="inlineStr">
        <is>
          <t>Inclusione: lettura per disabilità cognitive e linguistiche</t>
        </is>
      </c>
      <c r="I2" s="18" t="inlineStr">
        <is>
          <t>Sì</t>
        </is>
      </c>
      <c r="J2" s="14" t="inlineStr">
        <is>
          <t>Tolto: è lo stesso libro di “A Said piaceva il mare” (cinque storie di adolescenti, collana Parimenti)</t>
        </is>
      </c>
      <c r="K2" s="14" t="inlineStr">
        <is>
          <t>adolescenza, narrativa, CAA</t>
        </is>
      </c>
      <c r="L2" s="14" t="inlineStr">
        <is>
          <t>https://www.lameridiana.it/blog/post/cs-09112021/</t>
        </is>
      </c>
      <c r="M2" s="19" t="n"/>
      <c r="N2" s="14" t="inlineStr"/>
      <c r="O2" s="16">
        <f>IF(ISNUMBER(M2),ROUND(M2*(1-Condizioni!$B$2),2),"")</f>
        <v/>
      </c>
      <c r="P2" s="17" t="inlineStr">
        <is>
          <t>No</t>
        </is>
      </c>
    </row>
    <row r="3">
      <c r="A3" s="14" t="inlineStr">
        <is>
          <t>La Meridiana</t>
        </is>
      </c>
      <c r="B3" s="14" t="inlineStr">
        <is>
          <t>Dracula</t>
        </is>
      </c>
      <c r="C3" s="14" t="inlineStr">
        <is>
          <t>Bram Stoker</t>
        </is>
      </c>
      <c r="D3" s="14" t="inlineStr">
        <is>
          <t>Libri accessibili in CAA e in simboli (anche Parimenti. Proprio perché cresco)</t>
        </is>
      </c>
      <c r="E3" s="14" t="inlineStr">
        <is>
          <t>n.d. (collana Parimenti per giovani-adulti)</t>
        </is>
      </c>
      <c r="F3" s="14" t="inlineStr">
        <is>
          <t>Adolescenza (14+)</t>
        </is>
      </c>
      <c r="G3" s="14" t="inlineStr">
        <is>
          <t>Classico illustrato</t>
        </is>
      </c>
      <c r="H3" s="14" t="inlineStr"/>
      <c r="I3" s="18" t="inlineStr">
        <is>
          <t>Sì</t>
        </is>
      </c>
      <c r="J3" s="15" t="inlineStr">
        <is>
          <t>Da verificare</t>
        </is>
      </c>
      <c r="K3" s="14" t="inlineStr">
        <is>
          <t>adolescenza, CAA</t>
        </is>
      </c>
      <c r="L3" s="14" t="inlineStr">
        <is>
          <t>https://www.lameridiana.it/categorie/libri-per-una-cultura-accessibile/libri-accessibili.html</t>
        </is>
      </c>
      <c r="M3" s="16" t="n">
        <v>12.34</v>
      </c>
      <c r="N3" s="14" t="inlineStr">
        <is>
          <t>https://www.lameridiana.it/categorie/libri-per-una-cultura-accessibile/libri-accessibili.html (prezzo 'da' indicato sul sito, formato non specificato: verificare)</t>
        </is>
      </c>
      <c r="O3" s="16">
        <f>IF(ISNUMBER(M3),ROUND(M3*(1-Condizioni!$B$2),2),"")</f>
        <v/>
      </c>
      <c r="P3" s="17" t="inlineStr">
        <is>
          <t>Sì</t>
        </is>
      </c>
    </row>
    <row r="4">
      <c r="A4" s="14" t="inlineStr">
        <is>
          <t>La Meridiana</t>
        </is>
      </c>
      <c r="B4" s="14" t="inlineStr">
        <is>
          <t>Il diario di Anna Frank</t>
        </is>
      </c>
      <c r="C4" s="14" t="inlineStr">
        <is>
          <t>Anna Frank</t>
        </is>
      </c>
      <c r="D4" s="14" t="inlineStr">
        <is>
          <t>Libri accessibili in CAA e in simboli (anche Parimenti. Proprio perché cresco)</t>
        </is>
      </c>
      <c r="E4" s="14" t="inlineStr">
        <is>
          <t>n.d. (collana Parimenti per giovani-adulti)</t>
        </is>
      </c>
      <c r="F4" s="14" t="inlineStr">
        <is>
          <t>Adolescenza (14+)</t>
        </is>
      </c>
      <c r="G4" s="14" t="inlineStr">
        <is>
          <t>Narrativa</t>
        </is>
      </c>
      <c r="H4" s="14" t="inlineStr">
        <is>
          <t>Memoria della Shoah</t>
        </is>
      </c>
      <c r="I4" s="18" t="inlineStr">
        <is>
          <t>Sì</t>
        </is>
      </c>
      <c r="J4" s="15" t="inlineStr">
        <is>
          <t>Da verificare</t>
        </is>
      </c>
      <c r="K4" s="14" t="inlineStr">
        <is>
          <t>adolescenza, narrativa, CAA</t>
        </is>
      </c>
      <c r="L4" s="14" t="inlineStr">
        <is>
          <t>https://www.lameridiana.it/categorie/libri-per-una-cultura-accessibile/libri-accessibili.html</t>
        </is>
      </c>
      <c r="M4" s="16" t="n">
        <v>12.34</v>
      </c>
      <c r="N4" s="14" t="inlineStr">
        <is>
          <t>https://www.lameridiana.it/categorie/libri-per-una-cultura-accessibile/libri-accessibili.html (prezzo 'da' indicato sul sito, formato non specificato: verificare)</t>
        </is>
      </c>
      <c r="O4" s="16">
        <f>IF(ISNUMBER(M4),ROUND(M4*(1-Condizioni!$B$2),2),"")</f>
        <v/>
      </c>
      <c r="P4" s="17" t="inlineStr">
        <is>
          <t>Sì</t>
        </is>
      </c>
    </row>
    <row r="5">
      <c r="A5" s="14" t="inlineStr">
        <is>
          <t>La Meridiana</t>
        </is>
      </c>
      <c r="B5" s="14" t="inlineStr">
        <is>
          <t>Piccole donne</t>
        </is>
      </c>
      <c r="C5" s="14" t="inlineStr">
        <is>
          <t>Louisa May Alcott</t>
        </is>
      </c>
      <c r="D5" s="14" t="inlineStr">
        <is>
          <t>Libri accessibili in CAA e in simboli (anche Parimenti. Proprio perché cresco)</t>
        </is>
      </c>
      <c r="E5" s="14" t="inlineStr">
        <is>
          <t>n.d. (collana Parimenti per giovani-adulti)</t>
        </is>
      </c>
      <c r="F5" s="14" t="inlineStr">
        <is>
          <t>Adolescenza (14+)</t>
        </is>
      </c>
      <c r="G5" s="14" t="inlineStr">
        <is>
          <t>Classico illustrato</t>
        </is>
      </c>
      <c r="H5" s="14" t="inlineStr"/>
      <c r="I5" s="18" t="inlineStr">
        <is>
          <t>Sì</t>
        </is>
      </c>
      <c r="J5" s="15" t="inlineStr">
        <is>
          <t>Da verificare</t>
        </is>
      </c>
      <c r="K5" s="14" t="inlineStr">
        <is>
          <t>adolescenza, CAA</t>
        </is>
      </c>
      <c r="L5" s="14" t="inlineStr">
        <is>
          <t>https://www.lameridiana.it/categorie/libri-per-una-cultura-accessibile/libri-accessibili.html</t>
        </is>
      </c>
      <c r="M5" s="16" t="n">
        <v>16</v>
      </c>
      <c r="N5" s="14" t="inlineStr">
        <is>
          <t>https://www.ibs.it/x/e/9791256260539</t>
        </is>
      </c>
      <c r="O5" s="16">
        <f>IF(ISNUMBER(M5),ROUND(M5*(1-Condizioni!$B$2),2),"")</f>
        <v/>
      </c>
      <c r="P5" s="17" t="inlineStr">
        <is>
          <t>Sì</t>
        </is>
      </c>
    </row>
    <row r="6">
      <c r="A6" s="14" t="inlineStr">
        <is>
          <t>La Meridiana</t>
        </is>
      </c>
      <c r="B6" s="14" t="inlineStr">
        <is>
          <t>A Said piaceva il mare</t>
        </is>
      </c>
      <c r="C6" s="14" t="inlineStr">
        <is>
          <t>n.d.</t>
        </is>
      </c>
      <c r="D6" s="14" t="inlineStr">
        <is>
          <t>Libri accessibili in CAA e in simboli (anche Parimenti. Proprio perché cresco)</t>
        </is>
      </c>
      <c r="E6" s="14" t="inlineStr">
        <is>
          <t>n.d. (collana Parimenti per giovani-adulti)</t>
        </is>
      </c>
      <c r="F6" s="14" t="inlineStr">
        <is>
          <t>10+</t>
        </is>
      </c>
      <c r="G6" s="14" t="inlineStr">
        <is>
          <t>Narrativa</t>
        </is>
      </c>
      <c r="H6" s="14" t="inlineStr">
        <is>
          <t>Migrazione / accoglienza (da verificare)</t>
        </is>
      </c>
      <c r="I6" s="18" t="inlineStr">
        <is>
          <t>Sì</t>
        </is>
      </c>
      <c r="J6" s="15" t="inlineStr">
        <is>
          <t>Da verificare</t>
        </is>
      </c>
      <c r="K6" s="14" t="inlineStr">
        <is>
          <t>10+, narrativa, CAA</t>
        </is>
      </c>
      <c r="L6" s="14" t="inlineStr">
        <is>
          <t>https://www.lameridiana.it/categorie/libri-per-una-cultura-accessibile/libri-accessibili.html</t>
        </is>
      </c>
      <c r="M6" s="16" t="n">
        <v>12.34</v>
      </c>
      <c r="N6" s="14" t="inlineStr">
        <is>
          <t>https://www.lameridiana.it/categorie/libri-per-una-cultura-accessibile/libri-accessibili.html (prezzo 'da' indicato sul sito, formato non specificato: verificare)</t>
        </is>
      </c>
      <c r="O6" s="16">
        <f>IF(ISNUMBER(M6),ROUND(M6*(1-Condizioni!$B$2),2),"")</f>
        <v/>
      </c>
      <c r="P6" s="17" t="inlineStr">
        <is>
          <t>Sì</t>
        </is>
      </c>
    </row>
    <row r="7">
      <c r="A7" s="14" t="inlineStr">
        <is>
          <t>La Meridiana</t>
        </is>
      </c>
      <c r="B7" s="14" t="inlineStr">
        <is>
          <t>Accendiamo i diritti. Percorsi e attività per educare ai diritti dell'infanzia</t>
        </is>
      </c>
      <c r="C7" s="14" t="inlineStr">
        <is>
          <t>AA.VV.</t>
        </is>
      </c>
      <c r="D7" s="14" t="inlineStr">
        <is>
          <t>Percorsi educativi bambini</t>
        </is>
      </c>
      <c r="E7" s="14" t="inlineStr">
        <is>
          <t>per educatori/insegnanti</t>
        </is>
      </c>
      <c r="F7" s="14" t="inlineStr">
        <is>
          <t>n.d. / tutte le età</t>
        </is>
      </c>
      <c r="G7" s="14" t="inlineStr">
        <is>
          <t>Divulgazione/Saggio</t>
        </is>
      </c>
      <c r="H7" s="14" t="inlineStr">
        <is>
          <t>Diritti dell'infanzia e dell'adolescenza</t>
        </is>
      </c>
      <c r="I7" s="14" t="inlineStr">
        <is>
          <t>No</t>
        </is>
      </c>
      <c r="J7" s="14" t="inlineStr">
        <is>
          <t>Catalogo</t>
        </is>
      </c>
      <c r="K7" s="14" t="inlineStr"/>
      <c r="L7" s="14" t="inlineStr">
        <is>
          <t>https://www.libreriadelsanto.it/libri_di/editore/La_Meridiana/page1.html</t>
        </is>
      </c>
      <c r="M7" s="19" t="n"/>
      <c r="N7" s="14" t="inlineStr"/>
      <c r="O7" s="16">
        <f>IF(ISNUMBER(M7),ROUND(M7*(1-Condizioni!$B$2),2),"")</f>
        <v/>
      </c>
      <c r="P7" s="17" t="inlineStr">
        <is>
          <t>Sì</t>
        </is>
      </c>
    </row>
    <row r="8">
      <c r="A8" s="14" t="inlineStr">
        <is>
          <t>La Meridiana</t>
        </is>
      </c>
      <c r="B8" s="14" t="inlineStr">
        <is>
          <t>Canto di Natale</t>
        </is>
      </c>
      <c r="C8" s="14" t="inlineStr">
        <is>
          <t>Charles Dickens</t>
        </is>
      </c>
      <c r="D8" s="14" t="inlineStr">
        <is>
          <t>Libri accessibili in CAA e in simboli (anche Parimenti. Proprio perché cresco)</t>
        </is>
      </c>
      <c r="E8" s="14" t="inlineStr">
        <is>
          <t>n.d. (collana Parimenti per giovani-adulti)</t>
        </is>
      </c>
      <c r="F8" s="14" t="inlineStr">
        <is>
          <t>8+</t>
        </is>
      </c>
      <c r="G8" s="14" t="inlineStr">
        <is>
          <t>Classico illustrato</t>
        </is>
      </c>
      <c r="H8" s="14" t="inlineStr"/>
      <c r="I8" s="18" t="inlineStr">
        <is>
          <t>Sì</t>
        </is>
      </c>
      <c r="J8" s="15" t="inlineStr">
        <is>
          <t>Da verificare</t>
        </is>
      </c>
      <c r="K8" s="14" t="inlineStr">
        <is>
          <t>8+, CAA</t>
        </is>
      </c>
      <c r="L8" s="14" t="inlineStr">
        <is>
          <t>https://www.lameridiana.it/categorie/libri-per-una-cultura-accessibile/libri-accessibili.html</t>
        </is>
      </c>
      <c r="M8" s="16" t="n">
        <v>12.34</v>
      </c>
      <c r="N8" s="14" t="inlineStr">
        <is>
          <t>https://www.lameridiana.it/categorie/libri-per-una-cultura-accessibile/libri-accessibili.html (prezzo 'da' indicato sul sito, formato non specificato: verificare)</t>
        </is>
      </c>
      <c r="O8" s="16">
        <f>IF(ISNUMBER(M8),ROUND(M8*(1-Condizioni!$B$2),2),"")</f>
        <v/>
      </c>
      <c r="P8" s="17" t="inlineStr">
        <is>
          <t>Sì</t>
        </is>
      </c>
    </row>
    <row r="9">
      <c r="A9" s="14" t="inlineStr">
        <is>
          <t>La Meridiana</t>
        </is>
      </c>
      <c r="B9" s="14" t="inlineStr">
        <is>
          <t>Di sole e di tempesta</t>
        </is>
      </c>
      <c r="C9" s="14" t="inlineStr">
        <is>
          <t>G. Boari, E. Buccoliero</t>
        </is>
      </c>
      <c r="D9" s="14" t="inlineStr">
        <is>
          <t>Percorsi educativi</t>
        </is>
      </c>
      <c r="E9" s="14" t="inlineStr">
        <is>
          <t>per educatori/insegnanti</t>
        </is>
      </c>
      <c r="F9" s="14" t="inlineStr">
        <is>
          <t>n.d. / tutte le età</t>
        </is>
      </c>
      <c r="G9" s="14" t="inlineStr">
        <is>
          <t>Divulgazione/Saggio</t>
        </is>
      </c>
      <c r="H9" s="14" t="inlineStr">
        <is>
          <t>Violenza assistita: sostegno ai bambini</t>
        </is>
      </c>
      <c r="I9" s="14" t="inlineStr">
        <is>
          <t>No</t>
        </is>
      </c>
      <c r="J9" s="14" t="inlineStr">
        <is>
          <t>Catalogo</t>
        </is>
      </c>
      <c r="K9" s="14" t="inlineStr"/>
      <c r="L9" s="14" t="inlineStr">
        <is>
          <t>https://www.bookrepublic.it/ebooks/editore/edizioni-la-meridiana/</t>
        </is>
      </c>
      <c r="M9" s="19" t="n"/>
      <c r="N9" s="14" t="inlineStr"/>
      <c r="O9" s="16">
        <f>IF(ISNUMBER(M9),ROUND(M9*(1-Condizioni!$B$2),2),"")</f>
        <v/>
      </c>
      <c r="P9" s="17" t="inlineStr">
        <is>
          <t>Sì</t>
        </is>
      </c>
    </row>
    <row r="10">
      <c r="A10" s="14" t="inlineStr">
        <is>
          <t>La Meridiana</t>
        </is>
      </c>
      <c r="B10" s="14" t="inlineStr">
        <is>
          <t>Frida Kahlo pittrice coraggiosa</t>
        </is>
      </c>
      <c r="C10" s="14" t="inlineStr">
        <is>
          <t>Teresa Righetti</t>
        </is>
      </c>
      <c r="D10" s="14" t="inlineStr">
        <is>
          <t>Libri accessibili in CAA e in simboli (anche Parimenti. Proprio perché cresco)</t>
        </is>
      </c>
      <c r="E10" s="14" t="inlineStr">
        <is>
          <t>n.d. (collana Parimenti per giovani-adulti)</t>
        </is>
      </c>
      <c r="F10" s="14" t="inlineStr">
        <is>
          <t>8+</t>
        </is>
      </c>
      <c r="G10" s="14" t="inlineStr">
        <is>
          <t>Divulgazione/Saggio</t>
        </is>
      </c>
      <c r="H10" s="14" t="inlineStr">
        <is>
          <t>Disabilità e coraggio (da verificare)</t>
        </is>
      </c>
      <c r="I10" s="18" t="inlineStr">
        <is>
          <t>Sì</t>
        </is>
      </c>
      <c r="J10" s="15" t="inlineStr">
        <is>
          <t>Da verificare</t>
        </is>
      </c>
      <c r="K10" s="14" t="inlineStr">
        <is>
          <t>8+, CAA</t>
        </is>
      </c>
      <c r="L10" s="14" t="inlineStr">
        <is>
          <t>https://www.lameridiana.it/categorie/libri-per-una-cultura-accessibile/libri-accessibili.html</t>
        </is>
      </c>
      <c r="M10" s="16" t="n">
        <v>14.73</v>
      </c>
      <c r="N10" s="14" t="inlineStr">
        <is>
          <t>https://www.lameridiana.it/categorie/libri-per-una-cultura-accessibile/libri-accessibili.html (prezzo 'da' indicato sul sito, formato non specificato: verificare)</t>
        </is>
      </c>
      <c r="O10" s="16">
        <f>IF(ISNUMBER(M10),ROUND(M10*(1-Condizioni!$B$2),2),"")</f>
        <v/>
      </c>
      <c r="P10" s="17" t="inlineStr">
        <is>
          <t>Sì</t>
        </is>
      </c>
    </row>
    <row r="11">
      <c r="A11" s="14" t="inlineStr">
        <is>
          <t>La Meridiana</t>
        </is>
      </c>
      <c r="B11" s="14" t="inlineStr">
        <is>
          <t>Giacomo di cristallo e altre storie</t>
        </is>
      </c>
      <c r="C11" s="14" t="inlineStr">
        <is>
          <t>Gianni Rodari</t>
        </is>
      </c>
      <c r="D11" s="14" t="inlineStr">
        <is>
          <t>Libri accessibili in CAA e in simboli (anche Parimenti. Proprio perché cresco)</t>
        </is>
      </c>
      <c r="E11" s="14" t="inlineStr">
        <is>
          <t>n.d. (collana Parimenti per giovani-adulti)</t>
        </is>
      </c>
      <c r="F11" s="14" t="inlineStr">
        <is>
          <t>Prime letture (6-8)</t>
        </is>
      </c>
      <c r="G11" s="14" t="inlineStr">
        <is>
          <t>Classico illustrato</t>
        </is>
      </c>
      <c r="H11" s="14" t="inlineStr"/>
      <c r="I11" s="18" t="inlineStr">
        <is>
          <t>Sì</t>
        </is>
      </c>
      <c r="J11" s="15" t="inlineStr">
        <is>
          <t>Da verificare</t>
        </is>
      </c>
      <c r="K11" s="14" t="inlineStr">
        <is>
          <t>prime letture, CAA</t>
        </is>
      </c>
      <c r="L11" s="14" t="inlineStr">
        <is>
          <t>https://www.lameridiana.it/categorie/libri-per-una-cultura-accessibile/libri-accessibili.html</t>
        </is>
      </c>
      <c r="M11" s="16" t="n">
        <v>12.34</v>
      </c>
      <c r="N11" s="14" t="inlineStr">
        <is>
          <t>https://www.lameridiana.it/categorie/libri-per-una-cultura-accessibile/libri-accessibili.html (prezzo 'da' indicato sul sito, formato non specificato: verificare)</t>
        </is>
      </c>
      <c r="O11" s="16">
        <f>IF(ISNUMBER(M11),ROUND(M11*(1-Condizioni!$B$2),2),"")</f>
        <v/>
      </c>
      <c r="P11" s="17" t="inlineStr">
        <is>
          <t>Sì</t>
        </is>
      </c>
    </row>
    <row r="12">
      <c r="A12" s="14" t="inlineStr">
        <is>
          <t>La Meridiana</t>
        </is>
      </c>
      <c r="B12" s="14" t="inlineStr">
        <is>
          <t>Il mio Afghanistan (CAA)</t>
        </is>
      </c>
      <c r="C12" s="14" t="inlineStr">
        <is>
          <t>n.d.</t>
        </is>
      </c>
      <c r="D12" s="14" t="inlineStr">
        <is>
          <t>Libri accessibili in CAA e in simboli (anche Parimenti. Proprio perché cresco)</t>
        </is>
      </c>
      <c r="E12" s="14" t="inlineStr">
        <is>
          <t>da 12 anni</t>
        </is>
      </c>
      <c r="F12" s="14" t="inlineStr">
        <is>
          <t>Scuola media (11-13)</t>
        </is>
      </c>
      <c r="G12" s="14" t="inlineStr">
        <is>
          <t>Narrativa</t>
        </is>
      </c>
      <c r="H12" s="14" t="inlineStr">
        <is>
          <t>Migrazione / culture (da verificare)</t>
        </is>
      </c>
      <c r="I12" s="18" t="inlineStr">
        <is>
          <t>Sì</t>
        </is>
      </c>
      <c r="J12" s="14" t="inlineStr">
        <is>
          <t>Verificata (Bottegart)</t>
        </is>
      </c>
      <c r="K12" s="14" t="inlineStr">
        <is>
          <t>prima/seconda/terza media, narrativa, CAA</t>
        </is>
      </c>
      <c r="L12" s="14" t="inlineStr">
        <is>
          <t>https://www.lameridiana.it/categorie/libri-per-una-cultura-accessibile/libri-accessibili.html</t>
        </is>
      </c>
      <c r="M12" s="16" t="n">
        <v>12.34</v>
      </c>
      <c r="N12" s="14" t="inlineStr">
        <is>
          <t>https://www.lameridiana.it/categorie/libri-per-una-cultura-accessibile/libri-accessibili.html (prezzo 'da' indicato sul sito, formato non specificato: verificare)</t>
        </is>
      </c>
      <c r="O12" s="16">
        <f>IF(ISNUMBER(M12),ROUND(M12*(1-Condizioni!$B$2),2),"")</f>
        <v/>
      </c>
      <c r="P12" s="17" t="inlineStr">
        <is>
          <t>Sì</t>
        </is>
      </c>
    </row>
    <row r="13">
      <c r="A13" s="14" t="inlineStr">
        <is>
          <t>La Meridiana</t>
        </is>
      </c>
      <c r="B13" s="14" t="inlineStr">
        <is>
          <t>L'albero del riccio</t>
        </is>
      </c>
      <c r="C13" s="14" t="inlineStr">
        <is>
          <t>n.d.</t>
        </is>
      </c>
      <c r="D13" s="14" t="inlineStr">
        <is>
          <t>Libri accessibili in CAA e in simboli (anche Parimenti. Proprio perché cresco)</t>
        </is>
      </c>
      <c r="E13" s="14" t="inlineStr">
        <is>
          <t>n.d. (collana Parimenti per giovani-adulti)</t>
        </is>
      </c>
      <c r="F13" s="14" t="inlineStr">
        <is>
          <t>10+</t>
        </is>
      </c>
      <c r="G13" s="14" t="inlineStr">
        <is>
          <t>Albo illustrato</t>
        </is>
      </c>
      <c r="H13" s="14" t="inlineStr"/>
      <c r="I13" s="18" t="inlineStr">
        <is>
          <t>Sì</t>
        </is>
      </c>
      <c r="J13" s="15" t="inlineStr">
        <is>
          <t>Da verificare</t>
        </is>
      </c>
      <c r="K13" s="14" t="inlineStr">
        <is>
          <t>10+, CAA</t>
        </is>
      </c>
      <c r="L13" s="14" t="inlineStr">
        <is>
          <t>https://www.lameridiana.it/categorie/libri-per-una-cultura-accessibile/libri-accessibili.html</t>
        </is>
      </c>
      <c r="M13" s="16" t="n">
        <v>15.2</v>
      </c>
      <c r="N13" s="14" t="inlineStr">
        <is>
          <t>https://www.lameridiana.it/categorie/libri-per-una-cultura-accessibile/libri-accessibili.html (prezzo 'da' indicato sul sito, formato non specificato: verificare)</t>
        </is>
      </c>
      <c r="O13" s="16">
        <f>IF(ISNUMBER(M13),ROUND(M13*(1-Condizioni!$B$2),2),"")</f>
        <v/>
      </c>
      <c r="P13" s="17" t="inlineStr">
        <is>
          <t>Sì</t>
        </is>
      </c>
    </row>
    <row r="14">
      <c r="A14" s="14" t="inlineStr">
        <is>
          <t>La Meridiana</t>
        </is>
      </c>
      <c r="B14" s="14" t="inlineStr">
        <is>
          <t>La Puglia è una favola</t>
        </is>
      </c>
      <c r="C14" s="14" t="inlineStr">
        <is>
          <t>n.d.</t>
        </is>
      </c>
      <c r="D14" s="14" t="inlineStr">
        <is>
          <t>Libri accessibili in CAA e in simboli (anche Parimenti. Proprio perché cresco)</t>
        </is>
      </c>
      <c r="E14" s="14" t="inlineStr">
        <is>
          <t>n.d. (collana Parimenti per giovani-adulti)</t>
        </is>
      </c>
      <c r="F14" s="14" t="inlineStr">
        <is>
          <t>Prime letture (6-8)</t>
        </is>
      </c>
      <c r="G14" s="14" t="inlineStr">
        <is>
          <t>Albo illustrato</t>
        </is>
      </c>
      <c r="H14" s="14" t="inlineStr"/>
      <c r="I14" s="18" t="inlineStr">
        <is>
          <t>Sì</t>
        </is>
      </c>
      <c r="J14" s="15" t="inlineStr">
        <is>
          <t>Da verificare</t>
        </is>
      </c>
      <c r="K14" s="14" t="inlineStr">
        <is>
          <t>prime letture, CAA</t>
        </is>
      </c>
      <c r="L14" s="14" t="inlineStr">
        <is>
          <t>https://www.lameridiana.it/categorie/libri-per-una-cultura-accessibile/libri-accessibili.html</t>
        </is>
      </c>
      <c r="M14" s="16" t="n">
        <v>17.1</v>
      </c>
      <c r="N14" s="14" t="inlineStr">
        <is>
          <t>https://www.lameridiana.it/categorie/libri-per-una-cultura-accessibile/libri-accessibili.html (prezzo 'da' indicato sul sito, formato non specificato: verificare)</t>
        </is>
      </c>
      <c r="O14" s="16">
        <f>IF(ISNUMBER(M14),ROUND(M14*(1-Condizioni!$B$2),2),"")</f>
        <v/>
      </c>
      <c r="P14" s="17" t="inlineStr">
        <is>
          <t>Sì</t>
        </is>
      </c>
    </row>
    <row r="15">
      <c r="A15" s="14" t="inlineStr">
        <is>
          <t>La Meridiana</t>
        </is>
      </c>
      <c r="B15" s="14" t="inlineStr">
        <is>
          <t>Milagro in CAA</t>
        </is>
      </c>
      <c r="C15" s="14" t="inlineStr">
        <is>
          <t>n.d.</t>
        </is>
      </c>
      <c r="D15" s="14" t="inlineStr">
        <is>
          <t>Libri accessibili in CAA e in simboli (anche Parimenti. Proprio perché cresco)</t>
        </is>
      </c>
      <c r="E15" s="14" t="inlineStr">
        <is>
          <t>dai 12-14 anni in su</t>
        </is>
      </c>
      <c r="F15" s="14" t="inlineStr">
        <is>
          <t>Scuola media (11-13)</t>
        </is>
      </c>
      <c r="G15" s="14" t="inlineStr">
        <is>
          <t>Narrativa</t>
        </is>
      </c>
      <c r="H15" s="14" t="inlineStr"/>
      <c r="I15" s="18" t="inlineStr">
        <is>
          <t>Sì</t>
        </is>
      </c>
      <c r="J15" s="14" t="inlineStr">
        <is>
          <t>Verificata (Bottegart)</t>
        </is>
      </c>
      <c r="K15" s="14" t="inlineStr">
        <is>
          <t>prima/seconda/terza media, narrativa, CAA</t>
        </is>
      </c>
      <c r="L15" s="14" t="inlineStr">
        <is>
          <t>https://www.lameridiana.it/categorie/libri-per-una-cultura-accessibile/libri-accessibili.html</t>
        </is>
      </c>
      <c r="M15" s="16" t="n">
        <v>15.2</v>
      </c>
      <c r="N15" s="14" t="inlineStr">
        <is>
          <t>https://www.lameridiana.it/categorie/libri-per-una-cultura-accessibile/libri-accessibili.html (prezzo 'da' indicato sul sito, formato non specificato: verificare)</t>
        </is>
      </c>
      <c r="O15" s="16">
        <f>IF(ISNUMBER(M15),ROUND(M15*(1-Condizioni!$B$2),2),"")</f>
        <v/>
      </c>
      <c r="P15" s="17" t="inlineStr">
        <is>
          <t>Sì</t>
        </is>
      </c>
    </row>
    <row r="16">
      <c r="A16" s="14" t="inlineStr">
        <is>
          <t>La Meridiana</t>
        </is>
      </c>
      <c r="B16" s="14" t="inlineStr">
        <is>
          <t>Paul Klee pittore musicista</t>
        </is>
      </c>
      <c r="C16" s="14" t="inlineStr">
        <is>
          <t>Teresa Righetti</t>
        </is>
      </c>
      <c r="D16" s="14" t="inlineStr">
        <is>
          <t>Libri accessibili in CAA e in simboli (anche Parimenti. Proprio perché cresco)</t>
        </is>
      </c>
      <c r="E16" s="14" t="inlineStr">
        <is>
          <t>n.d. (collana Parimenti per giovani-adulti)</t>
        </is>
      </c>
      <c r="F16" s="14" t="inlineStr">
        <is>
          <t>8+</t>
        </is>
      </c>
      <c r="G16" s="14" t="inlineStr">
        <is>
          <t>Divulgazione/Saggio</t>
        </is>
      </c>
      <c r="H16" s="14" t="inlineStr"/>
      <c r="I16" s="18" t="inlineStr">
        <is>
          <t>Sì</t>
        </is>
      </c>
      <c r="J16" s="15" t="inlineStr">
        <is>
          <t>Da verificare</t>
        </is>
      </c>
      <c r="K16" s="14" t="inlineStr">
        <is>
          <t>8+, CAA</t>
        </is>
      </c>
      <c r="L16" s="14" t="inlineStr">
        <is>
          <t>https://www.lameridiana.it/categorie/libri-per-una-cultura-accessibile/libri-accessibili.html</t>
        </is>
      </c>
      <c r="M16" s="16" t="n">
        <v>14.73</v>
      </c>
      <c r="N16" s="14" t="inlineStr">
        <is>
          <t>https://www.lameridiana.it/categorie/libri-per-una-cultura-accessibile/libri-accessibili.html (prezzo 'da' indicato sul sito, formato non specificato: verificare)</t>
        </is>
      </c>
      <c r="O16" s="16">
        <f>IF(ISNUMBER(M16),ROUND(M16*(1-Condizioni!$B$2),2),"")</f>
        <v/>
      </c>
      <c r="P16" s="17" t="inlineStr">
        <is>
          <t>Sì</t>
        </is>
      </c>
    </row>
  </sheetData>
  <autoFilter ref="A1:P1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Gallucci</t>
        </is>
      </c>
      <c r="B2" s="14" t="inlineStr">
        <is>
          <t>Collana Indistruttilibri</t>
        </is>
      </c>
      <c r="C2" s="14" t="inlineStr">
        <is>
          <t>(vedi catalogo)</t>
        </is>
      </c>
      <c r="D2" s="14" t="inlineStr">
        <is>
          <t>Indistruttilibri</t>
        </is>
      </c>
      <c r="E2" s="14" t="inlineStr">
        <is>
          <t>prima infanzia</t>
        </is>
      </c>
      <c r="F2" s="14" t="inlineStr">
        <is>
          <t>0-3 anni</t>
        </is>
      </c>
      <c r="G2" s="14" t="inlineStr">
        <is>
          <t>Libro cartonato</t>
        </is>
      </c>
      <c r="H2" s="14" t="inlineStr"/>
      <c r="I2" s="14" t="inlineStr">
        <is>
          <t>No</t>
        </is>
      </c>
      <c r="J2" s="14" t="inlineStr">
        <is>
          <t>Collana</t>
        </is>
      </c>
      <c r="K2" s="14" t="inlineStr">
        <is>
          <t>0-3 anni</t>
        </is>
      </c>
      <c r="L2" s="14" t="inlineStr">
        <is>
          <t>https://www.ibs.it/libri/editori/gallucci</t>
        </is>
      </c>
      <c r="M2" s="19" t="n"/>
      <c r="N2" s="14" t="inlineStr"/>
      <c r="O2" s="16">
        <f>IF(ISNUMBER(M2),ROUND(M2*(1-Condizioni!$B$2),2),"")</f>
        <v/>
      </c>
      <c r="P2" s="17" t="inlineStr">
        <is>
          <t>Sì</t>
        </is>
      </c>
    </row>
    <row r="3">
      <c r="A3" s="14" t="inlineStr">
        <is>
          <t>Gallucci</t>
        </is>
      </c>
      <c r="B3" s="14" t="inlineStr">
        <is>
          <t>Collana Scorri e gioca (N. Choux)</t>
        </is>
      </c>
      <c r="C3" s="14" t="inlineStr">
        <is>
          <t>(vedi catalogo)</t>
        </is>
      </c>
      <c r="D3" s="14" t="inlineStr">
        <is>
          <t>Scorri e gioca</t>
        </is>
      </c>
      <c r="E3" s="14" t="inlineStr">
        <is>
          <t>fino a 3 anni</t>
        </is>
      </c>
      <c r="F3" s="14" t="inlineStr">
        <is>
          <t>0-3 anni</t>
        </is>
      </c>
      <c r="G3" s="14" t="inlineStr">
        <is>
          <t>Libro cartonato</t>
        </is>
      </c>
      <c r="H3" s="14" t="inlineStr"/>
      <c r="I3" s="14" t="inlineStr">
        <is>
          <t>No</t>
        </is>
      </c>
      <c r="J3" s="14" t="inlineStr">
        <is>
          <t>Collana</t>
        </is>
      </c>
      <c r="K3" s="14" t="inlineStr">
        <is>
          <t>0-3 anni</t>
        </is>
      </c>
      <c r="L3" s="14" t="inlineStr">
        <is>
          <t>https://www.ibs.it/libri/editori/gallucci</t>
        </is>
      </c>
      <c r="M3" s="19" t="n"/>
      <c r="N3" s="14" t="inlineStr"/>
      <c r="O3" s="16">
        <f>IF(ISNUMBER(M3),ROUND(M3*(1-Condizioni!$B$2),2),"")</f>
        <v/>
      </c>
      <c r="P3" s="17" t="inlineStr">
        <is>
          <t>Sì</t>
        </is>
      </c>
    </row>
    <row r="4">
      <c r="A4" s="14" t="inlineStr">
        <is>
          <t>Gallucci</t>
        </is>
      </c>
      <c r="B4" s="14" t="inlineStr">
        <is>
          <t>Collana Abbecelibri</t>
        </is>
      </c>
      <c r="C4" s="14" t="inlineStr">
        <is>
          <t>(vedi catalogo)</t>
        </is>
      </c>
      <c r="D4" s="14" t="inlineStr">
        <is>
          <t>Abbecelibri</t>
        </is>
      </c>
      <c r="E4" s="14" t="inlineStr">
        <is>
          <t>fino a 6 anni</t>
        </is>
      </c>
      <c r="F4" s="14" t="inlineStr">
        <is>
          <t>3-6 anni</t>
        </is>
      </c>
      <c r="G4" s="14" t="inlineStr">
        <is>
          <t>Albo illustrato</t>
        </is>
      </c>
      <c r="H4" s="14" t="inlineStr"/>
      <c r="I4" s="14" t="inlineStr">
        <is>
          <t>No</t>
        </is>
      </c>
      <c r="J4" s="14" t="inlineStr">
        <is>
          <t>Collana</t>
        </is>
      </c>
      <c r="K4" s="14" t="inlineStr">
        <is>
          <t>3-6 anni</t>
        </is>
      </c>
      <c r="L4" s="14" t="inlineStr">
        <is>
          <t>https://www.ibs.it/libri/editori/gallucci</t>
        </is>
      </c>
      <c r="M4" s="19" t="n"/>
      <c r="N4" s="14" t="inlineStr"/>
      <c r="O4" s="16">
        <f>IF(ISNUMBER(M4),ROUND(M4*(1-Condizioni!$B$2),2),"")</f>
        <v/>
      </c>
      <c r="P4" s="17" t="inlineStr">
        <is>
          <t>Sì</t>
        </is>
      </c>
    </row>
    <row r="5">
      <c r="A5" s="14" t="inlineStr">
        <is>
          <t>Gallucci</t>
        </is>
      </c>
      <c r="B5" s="14" t="inlineStr">
        <is>
          <t>Collana Lilliput</t>
        </is>
      </c>
      <c r="C5" s="14" t="inlineStr">
        <is>
          <t>(vedi catalogo)</t>
        </is>
      </c>
      <c r="D5" s="14" t="inlineStr">
        <is>
          <t>Lilliput</t>
        </is>
      </c>
      <c r="E5" s="14" t="inlineStr">
        <is>
          <t>+5</t>
        </is>
      </c>
      <c r="F5" s="14" t="inlineStr">
        <is>
          <t>3-6 anni</t>
        </is>
      </c>
      <c r="G5" s="14" t="inlineStr">
        <is>
          <t>Albo illustrato</t>
        </is>
      </c>
      <c r="H5" s="14" t="inlineStr"/>
      <c r="I5" s="14" t="inlineStr">
        <is>
          <t>No</t>
        </is>
      </c>
      <c r="J5" s="14" t="inlineStr">
        <is>
          <t>Collana</t>
        </is>
      </c>
      <c r="K5" s="14" t="inlineStr">
        <is>
          <t>3-6 anni</t>
        </is>
      </c>
      <c r="L5" s="14" t="inlineStr">
        <is>
          <t>https://www.ibs.it/libri/editori/gallucci</t>
        </is>
      </c>
      <c r="M5" s="19" t="n"/>
      <c r="N5" s="14" t="inlineStr"/>
      <c r="O5" s="16">
        <f>IF(ISNUMBER(M5),ROUND(M5*(1-Condizioni!$B$2),2),"")</f>
        <v/>
      </c>
      <c r="P5" s="17" t="inlineStr">
        <is>
          <t>Sì</t>
        </is>
      </c>
    </row>
    <row r="6">
      <c r="A6" s="14" t="inlineStr">
        <is>
          <t>Gallucci</t>
        </is>
      </c>
      <c r="B6" s="14" t="inlineStr">
        <is>
          <t>Collana Prime letture (es. Fernando il coccodrillo)</t>
        </is>
      </c>
      <c r="C6" s="14" t="inlineStr">
        <is>
          <t>(vedi catalogo)</t>
        </is>
      </c>
      <c r="D6" s="14" t="inlineStr">
        <is>
          <t>Prime letture</t>
        </is>
      </c>
      <c r="E6" s="14" t="inlineStr">
        <is>
          <t>+6</t>
        </is>
      </c>
      <c r="F6" s="14" t="inlineStr">
        <is>
          <t>Prime letture (6-8)</t>
        </is>
      </c>
      <c r="G6" s="14" t="inlineStr">
        <is>
          <t>Narrativa</t>
        </is>
      </c>
      <c r="H6" s="14" t="inlineStr"/>
      <c r="I6" s="14" t="inlineStr">
        <is>
          <t>No</t>
        </is>
      </c>
      <c r="J6" s="14" t="inlineStr">
        <is>
          <t>Collana</t>
        </is>
      </c>
      <c r="K6" s="14" t="inlineStr">
        <is>
          <t>prime letture, narrativa</t>
        </is>
      </c>
      <c r="L6" s="14" t="inlineStr">
        <is>
          <t>https://www.ibs.it/libri/editori/gallucci</t>
        </is>
      </c>
      <c r="M6" s="19" t="n"/>
      <c r="N6" s="14" t="inlineStr"/>
      <c r="O6" s="16">
        <f>IF(ISNUMBER(M6),ROUND(M6*(1-Condizioni!$B$2),2),"")</f>
        <v/>
      </c>
      <c r="P6" s="17" t="inlineStr">
        <is>
          <t>Sì</t>
        </is>
      </c>
    </row>
    <row r="7">
      <c r="A7" s="14" t="inlineStr">
        <is>
          <t>Gallucci</t>
        </is>
      </c>
      <c r="B7" s="14" t="inlineStr">
        <is>
          <t>La casa nella prateria (serie)</t>
        </is>
      </c>
      <c r="C7" s="14" t="inlineStr">
        <is>
          <t>(vedi catalogo)</t>
        </is>
      </c>
      <c r="D7" s="14" t="inlineStr">
        <is>
          <t>UAO</t>
        </is>
      </c>
      <c r="E7" s="14" t="inlineStr">
        <is>
          <t>UAO: 9+ / 10+ / 11+</t>
        </is>
      </c>
      <c r="F7" s="14" t="inlineStr">
        <is>
          <t>9+</t>
        </is>
      </c>
      <c r="G7" s="14" t="inlineStr">
        <is>
          <t>Romanzo</t>
        </is>
      </c>
      <c r="H7" s="14" t="inlineStr"/>
      <c r="I7" s="14" t="inlineStr">
        <is>
          <t>No</t>
        </is>
      </c>
      <c r="J7" s="14" t="inlineStr">
        <is>
          <t>Collana</t>
        </is>
      </c>
      <c r="K7" s="14" t="inlineStr">
        <is>
          <t>9+, romanzo, narrativa</t>
        </is>
      </c>
      <c r="L7" s="14" t="inlineStr">
        <is>
          <t>https://www.ibs.it/libri/editori/gallucci</t>
        </is>
      </c>
      <c r="M7" s="16" t="n">
        <v>13.5</v>
      </c>
      <c r="N7" s="14" t="inlineStr">
        <is>
          <t>https://www.lafeltrinelli.it/libri/editori/gallucci</t>
        </is>
      </c>
      <c r="O7" s="16">
        <f>IF(ISNUMBER(M7),ROUND(M7*(1-Condizioni!$B$2),2),"")</f>
        <v/>
      </c>
      <c r="P7" s="17" t="inlineStr">
        <is>
          <t>Sì</t>
        </is>
      </c>
    </row>
    <row r="8">
      <c r="A8" s="14" t="inlineStr">
        <is>
          <t>Gallucci</t>
        </is>
      </c>
      <c r="B8" s="14" t="inlineStr">
        <is>
          <t>Il mondo di Lucrezia 2</t>
        </is>
      </c>
      <c r="C8" s="14" t="inlineStr">
        <is>
          <t>(vedi catalogo)</t>
        </is>
      </c>
      <c r="D8" s="14" t="inlineStr">
        <is>
          <t>UAO</t>
        </is>
      </c>
      <c r="E8" s="14" t="inlineStr">
        <is>
          <t>10+</t>
        </is>
      </c>
      <c r="F8" s="14" t="inlineStr">
        <is>
          <t>10+</t>
        </is>
      </c>
      <c r="G8" s="14" t="inlineStr">
        <is>
          <t>Romanzo</t>
        </is>
      </c>
      <c r="H8" s="14" t="inlineStr"/>
      <c r="I8" s="14" t="inlineStr">
        <is>
          <t>No</t>
        </is>
      </c>
      <c r="J8" s="14" t="inlineStr">
        <is>
          <t>Collana</t>
        </is>
      </c>
      <c r="K8" s="14" t="inlineStr">
        <is>
          <t>10+, romanzo, narrativa</t>
        </is>
      </c>
      <c r="L8" s="14" t="inlineStr">
        <is>
          <t>https://www.ibs.it/libri/editori/gallucci</t>
        </is>
      </c>
      <c r="M8" s="16" t="n">
        <v>12.9</v>
      </c>
      <c r="N8" s="14" t="inlineStr">
        <is>
          <t>https://www.ibs.it/x/e/9791222114200</t>
        </is>
      </c>
      <c r="O8" s="16">
        <f>IF(ISNUMBER(M8),ROUND(M8*(1-Condizioni!$B$2),2),"")</f>
        <v/>
      </c>
      <c r="P8" s="17" t="inlineStr">
        <is>
          <t>Sì</t>
        </is>
      </c>
    </row>
    <row r="9">
      <c r="A9" s="14" t="inlineStr">
        <is>
          <t>Gallucci</t>
        </is>
      </c>
      <c r="B9" s="14" t="inlineStr">
        <is>
          <t>Collana Young (es. Due angeli del fango)</t>
        </is>
      </c>
      <c r="C9" s="14" t="inlineStr">
        <is>
          <t>(vedi catalogo)</t>
        </is>
      </c>
      <c r="D9" s="14" t="inlineStr">
        <is>
          <t>Young</t>
        </is>
      </c>
      <c r="E9" s="14" t="inlineStr">
        <is>
          <t>+14</t>
        </is>
      </c>
      <c r="F9" s="14" t="inlineStr">
        <is>
          <t>Adolescenza (14+)</t>
        </is>
      </c>
      <c r="G9" s="14" t="inlineStr">
        <is>
          <t>Romanzo</t>
        </is>
      </c>
      <c r="H9" s="14" t="inlineStr"/>
      <c r="I9" s="14" t="inlineStr">
        <is>
          <t>No</t>
        </is>
      </c>
      <c r="J9" s="14" t="inlineStr">
        <is>
          <t>Collana</t>
        </is>
      </c>
      <c r="K9" s="14" t="inlineStr">
        <is>
          <t>adolescenza, romanzo, narrativa</t>
        </is>
      </c>
      <c r="L9" s="14" t="inlineStr">
        <is>
          <t>https://www.ibs.it/libri/editori/gallucci</t>
        </is>
      </c>
      <c r="M9" s="19" t="n"/>
      <c r="N9" s="14" t="inlineStr"/>
      <c r="O9" s="16">
        <f>IF(ISNUMBER(M9),ROUND(M9*(1-Condizioni!$B$2),2),"")</f>
        <v/>
      </c>
      <c r="P9" s="17" t="inlineStr">
        <is>
          <t>Sì</t>
        </is>
      </c>
    </row>
    <row r="10">
      <c r="A10" s="14" t="inlineStr">
        <is>
          <t>Gallucci</t>
        </is>
      </c>
      <c r="B10" s="14" t="inlineStr">
        <is>
          <t>Collana Young adult (es. Happy. Mi troverai qui)</t>
        </is>
      </c>
      <c r="C10" s="14" t="inlineStr">
        <is>
          <t>(vedi catalogo)</t>
        </is>
      </c>
      <c r="D10" s="14" t="inlineStr">
        <is>
          <t>Young adult</t>
        </is>
      </c>
      <c r="E10" s="14" t="inlineStr">
        <is>
          <t>+16</t>
        </is>
      </c>
      <c r="F10" s="14" t="inlineStr">
        <is>
          <t>Adolescenza (14+)</t>
        </is>
      </c>
      <c r="G10" s="14" t="inlineStr">
        <is>
          <t>Romanzo</t>
        </is>
      </c>
      <c r="H10" s="14" t="inlineStr"/>
      <c r="I10" s="14" t="inlineStr">
        <is>
          <t>No</t>
        </is>
      </c>
      <c r="J10" s="14" t="inlineStr">
        <is>
          <t>Collana</t>
        </is>
      </c>
      <c r="K10" s="14" t="inlineStr">
        <is>
          <t>adolescenza, romanzo, narrativa</t>
        </is>
      </c>
      <c r="L10" s="14" t="inlineStr">
        <is>
          <t>https://www.ibs.it/libri/editori/gallucci</t>
        </is>
      </c>
      <c r="M10" s="19" t="n"/>
      <c r="N10" s="14" t="inlineStr"/>
      <c r="O10" s="16">
        <f>IF(ISNUMBER(M10),ROUND(M10*(1-Condizioni!$B$2),2),"")</f>
        <v/>
      </c>
      <c r="P10" s="17" t="inlineStr">
        <is>
          <t>Sì</t>
        </is>
      </c>
    </row>
    <row r="11">
      <c r="A11" s="14" t="inlineStr">
        <is>
          <t>Gallucci</t>
        </is>
      </c>
      <c r="B11" s="14" t="inlineStr">
        <is>
          <t>Collezione Libri e giochi delle emozioni</t>
        </is>
      </c>
      <c r="C11" s="14" t="inlineStr">
        <is>
          <t>(vedi catalogo)</t>
        </is>
      </c>
      <c r="D11" s="14" t="inlineStr">
        <is>
          <t>Collezioni</t>
        </is>
      </c>
      <c r="E11" s="14" t="inlineStr">
        <is>
          <t>n.d.</t>
        </is>
      </c>
      <c r="F11" s="14" t="inlineStr">
        <is>
          <t>n.d. / tutte le età</t>
        </is>
      </c>
      <c r="G11" s="14" t="inlineStr">
        <is>
          <t>Gioco/Activity book</t>
        </is>
      </c>
      <c r="H11" s="14" t="inlineStr">
        <is>
          <t>Emozioni</t>
        </is>
      </c>
      <c r="I11" s="14" t="inlineStr">
        <is>
          <t>No</t>
        </is>
      </c>
      <c r="J11" s="15" t="inlineStr">
        <is>
          <t>Da verificare</t>
        </is>
      </c>
      <c r="K11" s="14" t="inlineStr"/>
      <c r="L11" s="14" t="inlineStr">
        <is>
          <t>https://www.ibs.it/libri/editori/gallucci</t>
        </is>
      </c>
      <c r="M11" s="19" t="n"/>
      <c r="N11" s="14" t="inlineStr"/>
      <c r="O11" s="16">
        <f>IF(ISNUMBER(M11),ROUND(M11*(1-Condizioni!$B$2),2),"")</f>
        <v/>
      </c>
      <c r="P11" s="17" t="inlineStr">
        <is>
          <t>Sì</t>
        </is>
      </c>
    </row>
    <row r="12">
      <c r="A12" s="14" t="inlineStr">
        <is>
          <t>Gallucci</t>
        </is>
      </c>
      <c r="B12" s="14" t="inlineStr">
        <is>
          <t>Tu sei importante</t>
        </is>
      </c>
      <c r="C12" s="14" t="inlineStr">
        <is>
          <t>(vedi catalogo)</t>
        </is>
      </c>
      <c r="D12" s="14" t="inlineStr">
        <is>
          <t>Illustrati</t>
        </is>
      </c>
      <c r="E12" s="14" t="inlineStr">
        <is>
          <t>da 4 anni</t>
        </is>
      </c>
      <c r="F12" s="14" t="inlineStr">
        <is>
          <t>3-6 anni</t>
        </is>
      </c>
      <c r="G12" s="14" t="inlineStr">
        <is>
          <t>Albo illustrato</t>
        </is>
      </c>
      <c r="H12" s="14" t="inlineStr">
        <is>
          <t>Inclusione e rappresentazione</t>
        </is>
      </c>
      <c r="I12" s="14" t="inlineStr">
        <is>
          <t>No</t>
        </is>
      </c>
      <c r="J12" s="14" t="inlineStr">
        <is>
          <t>Verificata (IBS / editore)</t>
        </is>
      </c>
      <c r="K12" s="14" t="inlineStr">
        <is>
          <t>3-6 anni</t>
        </is>
      </c>
      <c r="L12" s="14" t="inlineStr">
        <is>
          <t>https://www.ibs.it/libri/editori/gallucci</t>
        </is>
      </c>
      <c r="M12" s="16" t="n">
        <v>13</v>
      </c>
      <c r="N12" s="14" t="inlineStr">
        <is>
          <t>https://www.ibs.it/x/e/9788836242580</t>
        </is>
      </c>
      <c r="O12" s="16">
        <f>IF(ISNUMBER(M12),ROUND(M12*(1-Condizioni!$B$2),2),"")</f>
        <v/>
      </c>
      <c r="P12" s="17" t="inlineStr">
        <is>
          <t>Sì</t>
        </is>
      </c>
    </row>
  </sheetData>
  <autoFilter ref="A1:P1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Pelledoca</t>
        </is>
      </c>
      <c r="B2" s="14" t="inlineStr">
        <is>
          <t>Naso e Becco Operazione Barattolo</t>
        </is>
      </c>
      <c r="C2" s="14" t="inlineStr">
        <is>
          <t>Lodovica Cima; ill. Valeria Valenza</t>
        </is>
      </c>
      <c r="D2" s="14" t="inlineStr">
        <is>
          <t>Piccole Piume (font ad alta leggibilità)</t>
        </is>
      </c>
      <c r="E2" s="14" t="inlineStr">
        <is>
          <t>Dai 5 anni</t>
        </is>
      </c>
      <c r="F2" s="14" t="inlineStr">
        <is>
          <t>3-6 anni</t>
        </is>
      </c>
      <c r="G2" s="14" t="inlineStr">
        <is>
          <t>Narrativa</t>
        </is>
      </c>
      <c r="H2" s="14" t="inlineStr"/>
      <c r="I2" s="14" t="inlineStr">
        <is>
          <t>No</t>
        </is>
      </c>
      <c r="J2" s="14" t="inlineStr">
        <is>
          <t>Catalogo</t>
        </is>
      </c>
      <c r="K2" s="14" t="inlineStr">
        <is>
          <t>3-6 anni, narrativa</t>
        </is>
      </c>
      <c r="L2" s="14" t="inlineStr">
        <is>
          <t>Catalogo Pelledoca 2025 (ISBN 9788832791068)</t>
        </is>
      </c>
      <c r="M2" s="16" t="n">
        <v>12</v>
      </c>
      <c r="N2" s="14" t="inlineStr">
        <is>
          <t>Catalogo Pelledoca 2025</t>
        </is>
      </c>
      <c r="O2" s="16">
        <f>IF(ISNUMBER(M2),ROUND(M2*(1-Condizioni!$B$2),2),"")</f>
        <v/>
      </c>
      <c r="P2" s="17" t="inlineStr">
        <is>
          <t>No</t>
        </is>
      </c>
    </row>
    <row r="3">
      <c r="A3" s="14" t="inlineStr">
        <is>
          <t>Pelledoca</t>
        </is>
      </c>
      <c r="B3" s="14" t="inlineStr">
        <is>
          <t>Naso e Becco Trappola nel Bosco</t>
        </is>
      </c>
      <c r="C3" s="14" t="inlineStr">
        <is>
          <t>Lodovica Cima; ill. Valeria Valenza</t>
        </is>
      </c>
      <c r="D3" s="14" t="inlineStr">
        <is>
          <t>Piccole Piume (font ad alta leggibilità)</t>
        </is>
      </c>
      <c r="E3" s="14" t="inlineStr">
        <is>
          <t>Dai 5 anni</t>
        </is>
      </c>
      <c r="F3" s="14" t="inlineStr">
        <is>
          <t>3-6 anni</t>
        </is>
      </c>
      <c r="G3" s="14" t="inlineStr">
        <is>
          <t>Narrativa</t>
        </is>
      </c>
      <c r="H3" s="14" t="inlineStr"/>
      <c r="I3" s="14" t="inlineStr">
        <is>
          <t>No</t>
        </is>
      </c>
      <c r="J3" s="14" t="inlineStr">
        <is>
          <t>Catalogo</t>
        </is>
      </c>
      <c r="K3" s="14" t="inlineStr">
        <is>
          <t>3-6 anni, narrativa</t>
        </is>
      </c>
      <c r="L3" s="14" t="inlineStr">
        <is>
          <t>Catalogo Pelledoca 2025 (ISBN 9788832791266)</t>
        </is>
      </c>
      <c r="M3" s="16" t="n">
        <v>12</v>
      </c>
      <c r="N3" s="14" t="inlineStr">
        <is>
          <t>Catalogo Pelledoca 2025</t>
        </is>
      </c>
      <c r="O3" s="16">
        <f>IF(ISNUMBER(M3),ROUND(M3*(1-Condizioni!$B$2),2),"")</f>
        <v/>
      </c>
      <c r="P3" s="17" t="inlineStr">
        <is>
          <t>No</t>
        </is>
      </c>
    </row>
    <row r="4">
      <c r="A4" s="14" t="inlineStr">
        <is>
          <t>Pelledoca</t>
        </is>
      </c>
      <c r="B4" s="14" t="inlineStr">
        <is>
          <t>Naso e Becco la Torta Rubata</t>
        </is>
      </c>
      <c r="C4" s="14" t="inlineStr">
        <is>
          <t>Lodovica Cima; ill. Valeria Valenza</t>
        </is>
      </c>
      <c r="D4" s="14" t="inlineStr">
        <is>
          <t>Piccole Piume (font ad alta leggibilità)</t>
        </is>
      </c>
      <c r="E4" s="14" t="inlineStr">
        <is>
          <t>Dai 5 anni</t>
        </is>
      </c>
      <c r="F4" s="14" t="inlineStr">
        <is>
          <t>3-6 anni</t>
        </is>
      </c>
      <c r="G4" s="14" t="inlineStr">
        <is>
          <t>Narrativa</t>
        </is>
      </c>
      <c r="H4" s="14" t="inlineStr"/>
      <c r="I4" s="14" t="inlineStr">
        <is>
          <t>No</t>
        </is>
      </c>
      <c r="J4" s="14" t="inlineStr">
        <is>
          <t>Catalogo</t>
        </is>
      </c>
      <c r="K4" s="14" t="inlineStr">
        <is>
          <t>3-6 anni, narrativa</t>
        </is>
      </c>
      <c r="L4" s="14" t="inlineStr">
        <is>
          <t>Catalogo Pelledoca 2025 (ISBN 9788832791259)</t>
        </is>
      </c>
      <c r="M4" s="16" t="n">
        <v>12</v>
      </c>
      <c r="N4" s="14" t="inlineStr">
        <is>
          <t>Catalogo Pelledoca 2025</t>
        </is>
      </c>
      <c r="O4" s="16">
        <f>IF(ISNUMBER(M4),ROUND(M4*(1-Condizioni!$B$2),2),"")</f>
        <v/>
      </c>
      <c r="P4" s="17" t="inlineStr">
        <is>
          <t>No</t>
        </is>
      </c>
    </row>
    <row r="5">
      <c r="A5" s="14" t="inlineStr">
        <is>
          <t>Pelledoca</t>
        </is>
      </c>
      <c r="B5" s="14" t="inlineStr">
        <is>
          <t>Naso e Becco le Lettere di Mezzanotte</t>
        </is>
      </c>
      <c r="C5" s="14" t="inlineStr">
        <is>
          <t>Lodovica Cima; ill. Valeria Valenza</t>
        </is>
      </c>
      <c r="D5" s="14" t="inlineStr">
        <is>
          <t>Piccole Piume (font ad alta leggibilità)</t>
        </is>
      </c>
      <c r="E5" s="14" t="inlineStr">
        <is>
          <t>Dai 5 anni</t>
        </is>
      </c>
      <c r="F5" s="14" t="inlineStr">
        <is>
          <t>3-6 anni</t>
        </is>
      </c>
      <c r="G5" s="14" t="inlineStr">
        <is>
          <t>Narrativa</t>
        </is>
      </c>
      <c r="H5" s="14" t="inlineStr"/>
      <c r="I5" s="14" t="inlineStr">
        <is>
          <t>No</t>
        </is>
      </c>
      <c r="J5" s="14" t="inlineStr">
        <is>
          <t>Catalogo</t>
        </is>
      </c>
      <c r="K5" s="14" t="inlineStr">
        <is>
          <t>3-6 anni, narrativa</t>
        </is>
      </c>
      <c r="L5" s="14" t="inlineStr">
        <is>
          <t>Catalogo Pelledoca 2025 (ISBN 9788832791051)</t>
        </is>
      </c>
      <c r="M5" s="16" t="n">
        <v>12</v>
      </c>
      <c r="N5" s="14" t="inlineStr">
        <is>
          <t>Catalogo Pelledoca 2025</t>
        </is>
      </c>
      <c r="O5" s="16">
        <f>IF(ISNUMBER(M5),ROUND(M5*(1-Condizioni!$B$2),2),"")</f>
        <v/>
      </c>
      <c r="P5" s="17" t="inlineStr">
        <is>
          <t>No</t>
        </is>
      </c>
    </row>
    <row r="6">
      <c r="A6" s="14" t="inlineStr">
        <is>
          <t>Pelledoca</t>
        </is>
      </c>
      <c r="B6" s="14" t="inlineStr">
        <is>
          <t>Apnea</t>
        </is>
      </c>
      <c r="C6" s="14" t="inlineStr">
        <is>
          <t>Brian Freschi; ill. Marco Valducci</t>
        </is>
      </c>
      <c r="D6" s="14" t="inlineStr">
        <is>
          <t>OcchiAperti</t>
        </is>
      </c>
      <c r="E6" s="14" t="inlineStr">
        <is>
          <t>Dai 7 anni</t>
        </is>
      </c>
      <c r="F6" s="14" t="inlineStr">
        <is>
          <t>Prime letture (6-8)</t>
        </is>
      </c>
      <c r="G6" s="14" t="inlineStr">
        <is>
          <t>Narrativa</t>
        </is>
      </c>
      <c r="H6" s="14" t="inlineStr"/>
      <c r="I6" s="14" t="inlineStr">
        <is>
          <t>No</t>
        </is>
      </c>
      <c r="J6" s="14" t="inlineStr">
        <is>
          <t>Catalogo</t>
        </is>
      </c>
      <c r="K6" s="14" t="inlineStr">
        <is>
          <t>prime letture, narrativa</t>
        </is>
      </c>
      <c r="L6" s="14" t="inlineStr">
        <is>
          <t>Catalogo Pelledoca 2025 (ISBN 9788832790283)</t>
        </is>
      </c>
      <c r="M6" s="16" t="n">
        <v>18</v>
      </c>
      <c r="N6" s="14" t="inlineStr">
        <is>
          <t>Catalogo Pelledoca 2025</t>
        </is>
      </c>
      <c r="O6" s="16">
        <f>IF(ISNUMBER(M6),ROUND(M6*(1-Condizioni!$B$2),2),"")</f>
        <v/>
      </c>
      <c r="P6" s="17" t="inlineStr">
        <is>
          <t>No</t>
        </is>
      </c>
    </row>
    <row r="7">
      <c r="A7" s="14" t="inlineStr">
        <is>
          <t>Pelledoca</t>
        </is>
      </c>
      <c r="B7" s="14" t="inlineStr">
        <is>
          <t>Bandiera Gialla</t>
        </is>
      </c>
      <c r="C7" s="14" t="inlineStr">
        <is>
          <t>Cristina Marsi; ill. Marilisa Cotroneo</t>
        </is>
      </c>
      <c r="D7" s="14" t="inlineStr">
        <is>
          <t>Piccole Piume (font ad alta leggibilità)</t>
        </is>
      </c>
      <c r="E7" s="14" t="inlineStr">
        <is>
          <t>Dai 7 anni</t>
        </is>
      </c>
      <c r="F7" s="14" t="inlineStr">
        <is>
          <t>Prime letture (6-8)</t>
        </is>
      </c>
      <c r="G7" s="14" t="inlineStr">
        <is>
          <t>Narrativa</t>
        </is>
      </c>
      <c r="H7" s="14" t="inlineStr"/>
      <c r="I7" s="14" t="inlineStr">
        <is>
          <t>No</t>
        </is>
      </c>
      <c r="J7" s="14" t="inlineStr">
        <is>
          <t>Catalogo</t>
        </is>
      </c>
      <c r="K7" s="14" t="inlineStr">
        <is>
          <t>prime letture, narrativa</t>
        </is>
      </c>
      <c r="L7" s="14" t="inlineStr">
        <is>
          <t>Catalogo Pelledoca 2025 (ISBN 9788832791396)</t>
        </is>
      </c>
      <c r="M7" s="16" t="n">
        <v>12</v>
      </c>
      <c r="N7" s="14" t="inlineStr">
        <is>
          <t>Catalogo Pelledoca 2025</t>
        </is>
      </c>
      <c r="O7" s="16">
        <f>IF(ISNUMBER(M7),ROUND(M7*(1-Condizioni!$B$2),2),"")</f>
        <v/>
      </c>
      <c r="P7" s="17" t="inlineStr">
        <is>
          <t>No</t>
        </is>
      </c>
    </row>
    <row r="8">
      <c r="A8" s="14" t="inlineStr">
        <is>
          <t>Pelledoca</t>
        </is>
      </c>
      <c r="B8" s="14" t="inlineStr">
        <is>
          <t>Come un Fantasma</t>
        </is>
      </c>
      <c r="C8" s="14" t="inlineStr">
        <is>
          <t>Cristina Bellemo; ill. Danilo Fresta</t>
        </is>
      </c>
      <c r="D8" s="14" t="inlineStr">
        <is>
          <t>Piccole Piume (font ad alta leggibilità)</t>
        </is>
      </c>
      <c r="E8" s="14" t="inlineStr">
        <is>
          <t>Dai 7 anni</t>
        </is>
      </c>
      <c r="F8" s="14" t="inlineStr">
        <is>
          <t>Prime letture (6-8)</t>
        </is>
      </c>
      <c r="G8" s="14" t="inlineStr">
        <is>
          <t>Narrativa</t>
        </is>
      </c>
      <c r="H8" s="14" t="inlineStr"/>
      <c r="I8" s="14" t="inlineStr">
        <is>
          <t>No</t>
        </is>
      </c>
      <c r="J8" s="14" t="inlineStr">
        <is>
          <t>Catalogo</t>
        </is>
      </c>
      <c r="K8" s="14" t="inlineStr">
        <is>
          <t>prime letture, narrativa</t>
        </is>
      </c>
      <c r="L8" s="14" t="inlineStr">
        <is>
          <t>Catalogo Pelledoca 2025 (ISBN 9788832790917)</t>
        </is>
      </c>
      <c r="M8" s="16" t="n">
        <v>12</v>
      </c>
      <c r="N8" s="14" t="inlineStr">
        <is>
          <t>Catalogo Pelledoca 2025</t>
        </is>
      </c>
      <c r="O8" s="16">
        <f>IF(ISNUMBER(M8),ROUND(M8*(1-Condizioni!$B$2),2),"")</f>
        <v/>
      </c>
      <c r="P8" s="17" t="inlineStr">
        <is>
          <t>No</t>
        </is>
      </c>
    </row>
    <row r="9">
      <c r="A9" s="14" t="inlineStr">
        <is>
          <t>Pelledoca</t>
        </is>
      </c>
      <c r="B9" s="14" t="inlineStr">
        <is>
          <t>C’È Qualcosa in Casa</t>
        </is>
      </c>
      <c r="C9" s="14" t="inlineStr">
        <is>
          <t>Sergio Rossi; ill. Paola Formica</t>
        </is>
      </c>
      <c r="D9" s="14" t="inlineStr">
        <is>
          <t>Piccole Piume (font ad alta leggibilità)</t>
        </is>
      </c>
      <c r="E9" s="14" t="inlineStr">
        <is>
          <t>Dai 7 anni</t>
        </is>
      </c>
      <c r="F9" s="14" t="inlineStr">
        <is>
          <t>Prime letture (6-8)</t>
        </is>
      </c>
      <c r="G9" s="14" t="inlineStr">
        <is>
          <t>Narrativa</t>
        </is>
      </c>
      <c r="H9" s="14" t="inlineStr"/>
      <c r="I9" s="14" t="inlineStr">
        <is>
          <t>No</t>
        </is>
      </c>
      <c r="J9" s="14" t="inlineStr">
        <is>
          <t>Catalogo</t>
        </is>
      </c>
      <c r="K9" s="14" t="inlineStr">
        <is>
          <t>prime letture, narrativa</t>
        </is>
      </c>
      <c r="L9" s="14" t="inlineStr">
        <is>
          <t>Catalogo Pelledoca 2025 (ISBN 9788832790504)</t>
        </is>
      </c>
      <c r="M9" s="16" t="n">
        <v>11</v>
      </c>
      <c r="N9" s="14" t="inlineStr">
        <is>
          <t>Catalogo Pelledoca 2025</t>
        </is>
      </c>
      <c r="O9" s="16">
        <f>IF(ISNUMBER(M9),ROUND(M9*(1-Condizioni!$B$2),2),"")</f>
        <v/>
      </c>
      <c r="P9" s="17" t="inlineStr">
        <is>
          <t>No</t>
        </is>
      </c>
    </row>
    <row r="10">
      <c r="A10" s="14" t="inlineStr">
        <is>
          <t>Pelledoca</t>
        </is>
      </c>
      <c r="B10" s="14" t="inlineStr">
        <is>
          <t>Giù la Maschera</t>
        </is>
      </c>
      <c r="C10" s="14" t="inlineStr">
        <is>
          <t>Erika Torre; ill. Alice Guidi</t>
        </is>
      </c>
      <c r="D10" s="14" t="inlineStr">
        <is>
          <t>Piccole Piume (font ad alta leggibilità)</t>
        </is>
      </c>
      <c r="E10" s="14" t="inlineStr">
        <is>
          <t>Dai 7 anni</t>
        </is>
      </c>
      <c r="F10" s="14" t="inlineStr">
        <is>
          <t>Prime letture (6-8)</t>
        </is>
      </c>
      <c r="G10" s="14" t="inlineStr">
        <is>
          <t>Narrativa</t>
        </is>
      </c>
      <c r="H10" s="14" t="inlineStr"/>
      <c r="I10" s="14" t="inlineStr">
        <is>
          <t>No</t>
        </is>
      </c>
      <c r="J10" s="14" t="inlineStr">
        <is>
          <t>Catalogo</t>
        </is>
      </c>
      <c r="K10" s="14" t="inlineStr">
        <is>
          <t>prime letture, narrativa</t>
        </is>
      </c>
      <c r="L10" s="14" t="inlineStr">
        <is>
          <t>Catalogo Pelledoca 2025 (ISBN 9788832790771)</t>
        </is>
      </c>
      <c r="M10" s="16" t="n">
        <v>12</v>
      </c>
      <c r="N10" s="14" t="inlineStr">
        <is>
          <t>Catalogo Pelledoca 2025</t>
        </is>
      </c>
      <c r="O10" s="16">
        <f>IF(ISNUMBER(M10),ROUND(M10*(1-Condizioni!$B$2),2),"")</f>
        <v/>
      </c>
      <c r="P10" s="17" t="inlineStr">
        <is>
          <t>No</t>
        </is>
      </c>
    </row>
    <row r="11">
      <c r="A11" s="14" t="inlineStr">
        <is>
          <t>Pelledoca</t>
        </is>
      </c>
      <c r="B11" s="14" t="inlineStr">
        <is>
          <t>Il Fifologo Missione Anti Paura</t>
        </is>
      </c>
      <c r="C11" s="14" t="inlineStr">
        <is>
          <t>Elisa Mazzoli; ill. Mirella Mariani</t>
        </is>
      </c>
      <c r="D11" s="14" t="inlineStr">
        <is>
          <t>Piccole Piume (font ad alta leggibilità)</t>
        </is>
      </c>
      <c r="E11" s="14" t="inlineStr">
        <is>
          <t>Dai 7 anni</t>
        </is>
      </c>
      <c r="F11" s="14" t="inlineStr">
        <is>
          <t>Prime letture (6-8)</t>
        </is>
      </c>
      <c r="G11" s="14" t="inlineStr">
        <is>
          <t>Narrativa</t>
        </is>
      </c>
      <c r="H11" s="14" t="inlineStr"/>
      <c r="I11" s="14" t="inlineStr">
        <is>
          <t>No</t>
        </is>
      </c>
      <c r="J11" s="14" t="inlineStr">
        <is>
          <t>Catalogo</t>
        </is>
      </c>
      <c r="K11" s="14" t="inlineStr">
        <is>
          <t>prime letture, narrativa</t>
        </is>
      </c>
      <c r="L11" s="14" t="inlineStr">
        <is>
          <t>Catalogo Pelledoca 2025 (ISBN 9788832790948)</t>
        </is>
      </c>
      <c r="M11" s="16" t="n">
        <v>12</v>
      </c>
      <c r="N11" s="14" t="inlineStr">
        <is>
          <t>Catalogo Pelledoca 2025</t>
        </is>
      </c>
      <c r="O11" s="16">
        <f>IF(ISNUMBER(M11),ROUND(M11*(1-Condizioni!$B$2),2),"")</f>
        <v/>
      </c>
      <c r="P11" s="17" t="inlineStr">
        <is>
          <t>No</t>
        </is>
      </c>
    </row>
    <row r="12">
      <c r="A12" s="14" t="inlineStr">
        <is>
          <t>Pelledoca</t>
        </is>
      </c>
      <c r="B12" s="14" t="inlineStr">
        <is>
          <t>Il Misterioso Furto in Via del Rosmarino 31</t>
        </is>
      </c>
      <c r="C12" s="14" t="inlineStr">
        <is>
          <t>Enrico Marigonda; ill. Sara Brezzi</t>
        </is>
      </c>
      <c r="D12" s="14" t="inlineStr">
        <is>
          <t>Piccole Piume (font ad alta leggibilità)</t>
        </is>
      </c>
      <c r="E12" s="14" t="inlineStr">
        <is>
          <t>Dai 7 anni</t>
        </is>
      </c>
      <c r="F12" s="14" t="inlineStr">
        <is>
          <t>Prime letture (6-8)</t>
        </is>
      </c>
      <c r="G12" s="14" t="inlineStr">
        <is>
          <t>Narrativa</t>
        </is>
      </c>
      <c r="H12" s="14" t="inlineStr"/>
      <c r="I12" s="14" t="inlineStr">
        <is>
          <t>No</t>
        </is>
      </c>
      <c r="J12" s="14" t="inlineStr">
        <is>
          <t>Catalogo</t>
        </is>
      </c>
      <c r="K12" s="14" t="inlineStr">
        <is>
          <t>prime letture, narrativa</t>
        </is>
      </c>
      <c r="L12" s="14" t="inlineStr">
        <is>
          <t>Catalogo Pelledoca 2025 (ISBN 9788832790924)</t>
        </is>
      </c>
      <c r="M12" s="16" t="n">
        <v>12</v>
      </c>
      <c r="N12" s="14" t="inlineStr">
        <is>
          <t>Catalogo Pelledoca 2025</t>
        </is>
      </c>
      <c r="O12" s="16">
        <f>IF(ISNUMBER(M12),ROUND(M12*(1-Condizioni!$B$2),2),"")</f>
        <v/>
      </c>
      <c r="P12" s="17" t="inlineStr">
        <is>
          <t>No</t>
        </is>
      </c>
    </row>
    <row r="13">
      <c r="A13" s="14" t="inlineStr">
        <is>
          <t>Pelledoca</t>
        </is>
      </c>
      <c r="B13" s="14" t="inlineStr">
        <is>
          <t>Il Mistero dei Cani che Sognano</t>
        </is>
      </c>
      <c r="C13" s="14" t="inlineStr">
        <is>
          <t>Alice Keller; ill. Marilisa Cotroneo</t>
        </is>
      </c>
      <c r="D13" s="14" t="inlineStr">
        <is>
          <t>Piccole Piume (font ad alta leggibilità)</t>
        </is>
      </c>
      <c r="E13" s="14" t="inlineStr">
        <is>
          <t>Dai 7 anni</t>
        </is>
      </c>
      <c r="F13" s="14" t="inlineStr">
        <is>
          <t>Prime letture (6-8)</t>
        </is>
      </c>
      <c r="G13" s="14" t="inlineStr">
        <is>
          <t>Narrativa</t>
        </is>
      </c>
      <c r="H13" s="14" t="inlineStr"/>
      <c r="I13" s="14" t="inlineStr">
        <is>
          <t>No</t>
        </is>
      </c>
      <c r="J13" s="14" t="inlineStr">
        <is>
          <t>Catalogo</t>
        </is>
      </c>
      <c r="K13" s="14" t="inlineStr">
        <is>
          <t>prime letture, narrativa</t>
        </is>
      </c>
      <c r="L13" s="14" t="inlineStr">
        <is>
          <t>Catalogo Pelledoca 2025 (ISBN 9788832790719)</t>
        </is>
      </c>
      <c r="M13" s="16" t="n">
        <v>12</v>
      </c>
      <c r="N13" s="14" t="inlineStr">
        <is>
          <t>Catalogo Pelledoca 2025</t>
        </is>
      </c>
      <c r="O13" s="16">
        <f>IF(ISNUMBER(M13),ROUND(M13*(1-Condizioni!$B$2),2),"")</f>
        <v/>
      </c>
      <c r="P13" s="17" t="inlineStr">
        <is>
          <t>No</t>
        </is>
      </c>
    </row>
    <row r="14">
      <c r="A14" s="14" t="inlineStr">
        <is>
          <t>Pelledoca</t>
        </is>
      </c>
      <c r="B14" s="14" t="inlineStr">
        <is>
          <t>La Casa della S</t>
        </is>
      </c>
      <c r="C14" s="14" t="inlineStr">
        <is>
          <t>Michela Nodari; ill. Silvia Crocicchi</t>
        </is>
      </c>
      <c r="D14" s="14" t="inlineStr">
        <is>
          <t>Piccole Piume (font ad alta leggibilità)</t>
        </is>
      </c>
      <c r="E14" s="14" t="inlineStr">
        <is>
          <t>Dai 7 anni</t>
        </is>
      </c>
      <c r="F14" s="14" t="inlineStr">
        <is>
          <t>Prime letture (6-8)</t>
        </is>
      </c>
      <c r="G14" s="14" t="inlineStr">
        <is>
          <t>Narrativa</t>
        </is>
      </c>
      <c r="H14" s="14" t="inlineStr"/>
      <c r="I14" s="14" t="inlineStr">
        <is>
          <t>No</t>
        </is>
      </c>
      <c r="J14" s="14" t="inlineStr">
        <is>
          <t>Catalogo</t>
        </is>
      </c>
      <c r="K14" s="14" t="inlineStr">
        <is>
          <t>prime letture, narrativa</t>
        </is>
      </c>
      <c r="L14" s="14" t="inlineStr">
        <is>
          <t>Catalogo Pelledoca 2025 (ISBN 9788832791402)</t>
        </is>
      </c>
      <c r="M14" s="16" t="n">
        <v>12</v>
      </c>
      <c r="N14" s="14" t="inlineStr">
        <is>
          <t>Catalogo Pelledoca 2025</t>
        </is>
      </c>
      <c r="O14" s="16">
        <f>IF(ISNUMBER(M14),ROUND(M14*(1-Condizioni!$B$2),2),"")</f>
        <v/>
      </c>
      <c r="P14" s="17" t="inlineStr">
        <is>
          <t>No</t>
        </is>
      </c>
    </row>
    <row r="15">
      <c r="A15" s="14" t="inlineStr">
        <is>
          <t>Pelledoca</t>
        </is>
      </c>
      <c r="B15" s="14" t="inlineStr">
        <is>
          <t>La Prova della Foresta</t>
        </is>
      </c>
      <c r="C15" s="14" t="inlineStr">
        <is>
          <t>Roberto Piumini; ill. Paola Formica</t>
        </is>
      </c>
      <c r="D15" s="14" t="inlineStr">
        <is>
          <t>Piccole Piume (font ad alta leggibilità)</t>
        </is>
      </c>
      <c r="E15" s="14" t="inlineStr">
        <is>
          <t>Dai 7 anni</t>
        </is>
      </c>
      <c r="F15" s="14" t="inlineStr">
        <is>
          <t>Prime letture (6-8)</t>
        </is>
      </c>
      <c r="G15" s="14" t="inlineStr">
        <is>
          <t>Narrativa</t>
        </is>
      </c>
      <c r="H15" s="14" t="inlineStr"/>
      <c r="I15" s="14" t="inlineStr">
        <is>
          <t>No</t>
        </is>
      </c>
      <c r="J15" s="14" t="inlineStr">
        <is>
          <t>Catalogo</t>
        </is>
      </c>
      <c r="K15" s="14" t="inlineStr">
        <is>
          <t>prime letture, narrativa</t>
        </is>
      </c>
      <c r="L15" s="14" t="inlineStr">
        <is>
          <t>Catalogo Pelledoca 2025 (ISBN 9788832791006)</t>
        </is>
      </c>
      <c r="M15" s="16" t="n">
        <v>12</v>
      </c>
      <c r="N15" s="14" t="inlineStr">
        <is>
          <t>Catalogo Pelledoca 2025</t>
        </is>
      </c>
      <c r="O15" s="16">
        <f>IF(ISNUMBER(M15),ROUND(M15*(1-Condizioni!$B$2),2),"")</f>
        <v/>
      </c>
      <c r="P15" s="17" t="inlineStr">
        <is>
          <t>No</t>
        </is>
      </c>
    </row>
    <row r="16">
      <c r="A16" s="14" t="inlineStr">
        <is>
          <t>Pelledoca</t>
        </is>
      </c>
      <c r="B16" s="14" t="inlineStr">
        <is>
          <t>Les 3 Moustaches. il Mistero del Profumo d’Inchiostro</t>
        </is>
      </c>
      <c r="C16" s="14" t="inlineStr">
        <is>
          <t>Maddalena Schiavo; ill. Francesca Carabelli</t>
        </is>
      </c>
      <c r="D16" s="14" t="inlineStr">
        <is>
          <t>Piccole Piume (font ad alta leggibilità)</t>
        </is>
      </c>
      <c r="E16" s="14" t="inlineStr">
        <is>
          <t>Dai 6 anni</t>
        </is>
      </c>
      <c r="F16" s="14" t="inlineStr">
        <is>
          <t>Prime letture (6-8)</t>
        </is>
      </c>
      <c r="G16" s="14" t="inlineStr">
        <is>
          <t>Narrativa</t>
        </is>
      </c>
      <c r="H16" s="14" t="inlineStr"/>
      <c r="I16" s="14" t="inlineStr">
        <is>
          <t>No</t>
        </is>
      </c>
      <c r="J16" s="14" t="inlineStr">
        <is>
          <t>Catalogo</t>
        </is>
      </c>
      <c r="K16" s="14" t="inlineStr">
        <is>
          <t>prime letture, narrativa</t>
        </is>
      </c>
      <c r="L16" s="14" t="inlineStr">
        <is>
          <t>Catalogo Pelledoca 2025</t>
        </is>
      </c>
      <c r="M16" s="16" t="n">
        <v>12</v>
      </c>
      <c r="N16" s="14" t="inlineStr">
        <is>
          <t>Catalogo Pelledoca 2025</t>
        </is>
      </c>
      <c r="O16" s="16">
        <f>IF(ISNUMBER(M16),ROUND(M16*(1-Condizioni!$B$2),2),"")</f>
        <v/>
      </c>
      <c r="P16" s="17" t="inlineStr">
        <is>
          <t>No</t>
        </is>
      </c>
    </row>
    <row r="17">
      <c r="A17" s="14" t="inlineStr">
        <is>
          <t>Pelledoca</t>
        </is>
      </c>
      <c r="B17" s="14" t="inlineStr">
        <is>
          <t>Les 3 Moustaches. il Mistero del Rosicchia Ossa</t>
        </is>
      </c>
      <c r="C17" s="14" t="inlineStr">
        <is>
          <t>Maddalena Schiavo; ill. Francesca Carabelli</t>
        </is>
      </c>
      <c r="D17" s="14" t="inlineStr">
        <is>
          <t>Piccole Piume (font ad alta leggibilità)</t>
        </is>
      </c>
      <c r="E17" s="14" t="inlineStr">
        <is>
          <t>Dai 6 anni</t>
        </is>
      </c>
      <c r="F17" s="14" t="inlineStr">
        <is>
          <t>Prime letture (6-8)</t>
        </is>
      </c>
      <c r="G17" s="14" t="inlineStr">
        <is>
          <t>Narrativa</t>
        </is>
      </c>
      <c r="H17" s="14" t="inlineStr"/>
      <c r="I17" s="14" t="inlineStr">
        <is>
          <t>No</t>
        </is>
      </c>
      <c r="J17" s="14" t="inlineStr">
        <is>
          <t>Catalogo</t>
        </is>
      </c>
      <c r="K17" s="14" t="inlineStr">
        <is>
          <t>prime letture, narrativa</t>
        </is>
      </c>
      <c r="L17" s="14" t="inlineStr">
        <is>
          <t>Catalogo Pelledoca 2025</t>
        </is>
      </c>
      <c r="M17" s="16" t="n">
        <v>12</v>
      </c>
      <c r="N17" s="14" t="inlineStr">
        <is>
          <t>Catalogo Pelledoca 2025</t>
        </is>
      </c>
      <c r="O17" s="16">
        <f>IF(ISNUMBER(M17),ROUND(M17*(1-Condizioni!$B$2),2),"")</f>
        <v/>
      </c>
      <c r="P17" s="17" t="inlineStr">
        <is>
          <t>No</t>
        </is>
      </c>
    </row>
    <row r="18">
      <c r="A18" s="14" t="inlineStr">
        <is>
          <t>Pelledoca</t>
        </is>
      </c>
      <c r="B18" s="14" t="inlineStr">
        <is>
          <t>Les 3 Moustaches. il Mistero del Tappeto Peloso</t>
        </is>
      </c>
      <c r="C18" s="14" t="inlineStr">
        <is>
          <t>Maddalena Schiavo; ill. Francesca Carabelli</t>
        </is>
      </c>
      <c r="D18" s="14" t="inlineStr">
        <is>
          <t>Piccole Piume (font ad alta leggibilità)</t>
        </is>
      </c>
      <c r="E18" s="14" t="inlineStr">
        <is>
          <t>Dai 6 anni</t>
        </is>
      </c>
      <c r="F18" s="14" t="inlineStr">
        <is>
          <t>Prime letture (6-8)</t>
        </is>
      </c>
      <c r="G18" s="14" t="inlineStr">
        <is>
          <t>Narrativa</t>
        </is>
      </c>
      <c r="H18" s="14" t="inlineStr"/>
      <c r="I18" s="14" t="inlineStr">
        <is>
          <t>No</t>
        </is>
      </c>
      <c r="J18" s="14" t="inlineStr">
        <is>
          <t>Catalogo</t>
        </is>
      </c>
      <c r="K18" s="14" t="inlineStr">
        <is>
          <t>prime letture, narrativa</t>
        </is>
      </c>
      <c r="L18" s="14" t="inlineStr">
        <is>
          <t>Catalogo Pelledoca 2025</t>
        </is>
      </c>
      <c r="M18" s="16" t="n">
        <v>12</v>
      </c>
      <c r="N18" s="14" t="inlineStr">
        <is>
          <t>Catalogo Pelledoca 2025</t>
        </is>
      </c>
      <c r="O18" s="16">
        <f>IF(ISNUMBER(M18),ROUND(M18*(1-Condizioni!$B$2),2),"")</f>
        <v/>
      </c>
      <c r="P18" s="17" t="inlineStr">
        <is>
          <t>Sì</t>
        </is>
      </c>
    </row>
    <row r="19">
      <c r="A19" s="14" t="inlineStr">
        <is>
          <t>Pelledoca</t>
        </is>
      </c>
      <c r="B19" s="14" t="inlineStr">
        <is>
          <t>Les 3 Moustaches. il Mistero della Ricetta del Montblanc</t>
        </is>
      </c>
      <c r="C19" s="14" t="inlineStr">
        <is>
          <t>Maddalena Schiavo; ill. Francesca Carabelli</t>
        </is>
      </c>
      <c r="D19" s="14" t="inlineStr">
        <is>
          <t>Piccole Piume (font ad alta leggibilità)</t>
        </is>
      </c>
      <c r="E19" s="14" t="inlineStr">
        <is>
          <t>Dai 6 anni</t>
        </is>
      </c>
      <c r="F19" s="14" t="inlineStr">
        <is>
          <t>Prime letture (6-8)</t>
        </is>
      </c>
      <c r="G19" s="14" t="inlineStr">
        <is>
          <t>Narrativa</t>
        </is>
      </c>
      <c r="H19" s="14" t="inlineStr"/>
      <c r="I19" s="14" t="inlineStr">
        <is>
          <t>No</t>
        </is>
      </c>
      <c r="J19" s="14" t="inlineStr">
        <is>
          <t>Catalogo</t>
        </is>
      </c>
      <c r="K19" s="14" t="inlineStr">
        <is>
          <t>prime letture, narrativa</t>
        </is>
      </c>
      <c r="L19" s="14" t="inlineStr">
        <is>
          <t>Catalogo Pelledoca 2025 (ISBN 9788832791365)</t>
        </is>
      </c>
      <c r="M19" s="16" t="n">
        <v>12</v>
      </c>
      <c r="N19" s="14" t="inlineStr">
        <is>
          <t>Catalogo Pelledoca 2025</t>
        </is>
      </c>
      <c r="O19" s="16">
        <f>IF(ISNUMBER(M19),ROUND(M19*(1-Condizioni!$B$2),2),"")</f>
        <v/>
      </c>
      <c r="P19" s="17" t="inlineStr">
        <is>
          <t>Sì</t>
        </is>
      </c>
    </row>
    <row r="20">
      <c r="A20" s="14" t="inlineStr">
        <is>
          <t>Pelledoca</t>
        </is>
      </c>
      <c r="B20" s="14" t="inlineStr">
        <is>
          <t>Lo Spirito del Bosco</t>
        </is>
      </c>
      <c r="C20" s="14" t="inlineStr">
        <is>
          <t>Beatrice Masini; ill. Edoardo Sciarra</t>
        </is>
      </c>
      <c r="D20" s="14" t="inlineStr">
        <is>
          <t>Piccole Piume (font ad alta leggibilità)</t>
        </is>
      </c>
      <c r="E20" s="14" t="inlineStr">
        <is>
          <t>Dai 7 anni</t>
        </is>
      </c>
      <c r="F20" s="14" t="inlineStr">
        <is>
          <t>Prime letture (6-8)</t>
        </is>
      </c>
      <c r="G20" s="14" t="inlineStr">
        <is>
          <t>Narrativa</t>
        </is>
      </c>
      <c r="H20" s="14" t="inlineStr"/>
      <c r="I20" s="14" t="inlineStr">
        <is>
          <t>No</t>
        </is>
      </c>
      <c r="J20" s="14" t="inlineStr">
        <is>
          <t>Catalogo</t>
        </is>
      </c>
      <c r="K20" s="14" t="inlineStr">
        <is>
          <t>prime letture, narrativa</t>
        </is>
      </c>
      <c r="L20" s="14" t="inlineStr">
        <is>
          <t>Catalogo Pelledoca 2025 (ISBN 9788832790511)</t>
        </is>
      </c>
      <c r="M20" s="16" t="n">
        <v>11</v>
      </c>
      <c r="N20" s="14" t="inlineStr">
        <is>
          <t>Catalogo Pelledoca 2025</t>
        </is>
      </c>
      <c r="O20" s="16">
        <f>IF(ISNUMBER(M20),ROUND(M20*(1-Condizioni!$B$2),2),"")</f>
        <v/>
      </c>
      <c r="P20" s="17" t="inlineStr">
        <is>
          <t>No</t>
        </is>
      </c>
    </row>
    <row r="21">
      <c r="A21" s="14" t="inlineStr">
        <is>
          <t>Pelledoca</t>
        </is>
      </c>
      <c r="B21" s="14" t="inlineStr">
        <is>
          <t>Lupi, Licantropi e Luna Piena</t>
        </is>
      </c>
      <c r="C21" s="14" t="inlineStr">
        <is>
          <t>Marco Greganti; ill. Cecilia Fallongo</t>
        </is>
      </c>
      <c r="D21" s="14" t="inlineStr">
        <is>
          <t>Piccole Piume (font ad alta leggibilità)</t>
        </is>
      </c>
      <c r="E21" s="14" t="inlineStr">
        <is>
          <t>Dai 7 anni</t>
        </is>
      </c>
      <c r="F21" s="14" t="inlineStr">
        <is>
          <t>Prime letture (6-8)</t>
        </is>
      </c>
      <c r="G21" s="14" t="inlineStr">
        <is>
          <t>Narrativa</t>
        </is>
      </c>
      <c r="H21" s="14" t="inlineStr"/>
      <c r="I21" s="14" t="inlineStr">
        <is>
          <t>No</t>
        </is>
      </c>
      <c r="J21" s="14" t="inlineStr">
        <is>
          <t>Catalogo</t>
        </is>
      </c>
      <c r="K21" s="14" t="inlineStr">
        <is>
          <t>prime letture, narrativa</t>
        </is>
      </c>
      <c r="L21" s="14" t="inlineStr">
        <is>
          <t>Catalogo Pelledoca 2025</t>
        </is>
      </c>
      <c r="M21" s="16" t="n">
        <v>12</v>
      </c>
      <c r="N21" s="14" t="inlineStr">
        <is>
          <t>Catalogo Pelledoca 2025</t>
        </is>
      </c>
      <c r="O21" s="16">
        <f>IF(ISNUMBER(M21),ROUND(M21*(1-Condizioni!$B$2),2),"")</f>
        <v/>
      </c>
      <c r="P21" s="17" t="inlineStr">
        <is>
          <t>Sì</t>
        </is>
      </c>
    </row>
    <row r="22">
      <c r="A22" s="14" t="inlineStr">
        <is>
          <t>Pelledoca</t>
        </is>
      </c>
      <c r="B22" s="14" t="inlineStr">
        <is>
          <t>L’Isola dei Corvi</t>
        </is>
      </c>
      <c r="C22" s="14" t="inlineStr">
        <is>
          <t>Sara Marconi; ill. Nicolò Minggolini</t>
        </is>
      </c>
      <c r="D22" s="14" t="inlineStr">
        <is>
          <t>Piccole Piume (font ad alta leggibilità)</t>
        </is>
      </c>
      <c r="E22" s="14" t="inlineStr">
        <is>
          <t>Dai 7 anni</t>
        </is>
      </c>
      <c r="F22" s="14" t="inlineStr">
        <is>
          <t>Prime letture (6-8)</t>
        </is>
      </c>
      <c r="G22" s="14" t="inlineStr">
        <is>
          <t>Narrativa</t>
        </is>
      </c>
      <c r="H22" s="14" t="inlineStr"/>
      <c r="I22" s="14" t="inlineStr">
        <is>
          <t>No</t>
        </is>
      </c>
      <c r="J22" s="14" t="inlineStr">
        <is>
          <t>Catalogo</t>
        </is>
      </c>
      <c r="K22" s="14" t="inlineStr">
        <is>
          <t>prime letture, narrativa</t>
        </is>
      </c>
      <c r="L22" s="14" t="inlineStr">
        <is>
          <t>Catalogo Pelledoca 2025 (ISBN 9788832790702)</t>
        </is>
      </c>
      <c r="M22" s="16" t="n">
        <v>12</v>
      </c>
      <c r="N22" s="14" t="inlineStr">
        <is>
          <t>Catalogo Pelledoca 2025</t>
        </is>
      </c>
      <c r="O22" s="16">
        <f>IF(ISNUMBER(M22),ROUND(M22*(1-Condizioni!$B$2),2),"")</f>
        <v/>
      </c>
      <c r="P22" s="17" t="inlineStr">
        <is>
          <t>No</t>
        </is>
      </c>
    </row>
    <row r="23">
      <c r="A23" s="14" t="inlineStr">
        <is>
          <t>Pelledoca</t>
        </is>
      </c>
      <c r="B23" s="14" t="inlineStr">
        <is>
          <t>Mistero al Cimitero</t>
        </is>
      </c>
      <c r="C23" s="14" t="inlineStr">
        <is>
          <t>Giuditta Campello; ill. Marco Valducci</t>
        </is>
      </c>
      <c r="D23" s="14" t="inlineStr">
        <is>
          <t>Piccole Piume (font ad alta leggibilità)</t>
        </is>
      </c>
      <c r="E23" s="14" t="inlineStr">
        <is>
          <t>Dai 7 anni</t>
        </is>
      </c>
      <c r="F23" s="14" t="inlineStr">
        <is>
          <t>Prime letture (6-8)</t>
        </is>
      </c>
      <c r="G23" s="14" t="inlineStr">
        <is>
          <t>Narrativa</t>
        </is>
      </c>
      <c r="H23" s="14" t="inlineStr"/>
      <c r="I23" s="14" t="inlineStr">
        <is>
          <t>No</t>
        </is>
      </c>
      <c r="J23" s="14" t="inlineStr">
        <is>
          <t>Catalogo</t>
        </is>
      </c>
      <c r="K23" s="14" t="inlineStr">
        <is>
          <t>prime letture, narrativa</t>
        </is>
      </c>
      <c r="L23" s="14" t="inlineStr">
        <is>
          <t>Catalogo Pelledoca 2025 (ISBN 9788832790559)</t>
        </is>
      </c>
      <c r="M23" s="16" t="n">
        <v>11</v>
      </c>
      <c r="N23" s="14" t="inlineStr">
        <is>
          <t>Catalogo Pelledoca 2025</t>
        </is>
      </c>
      <c r="O23" s="16">
        <f>IF(ISNUMBER(M23),ROUND(M23*(1-Condizioni!$B$2),2),"")</f>
        <v/>
      </c>
      <c r="P23" s="17" t="inlineStr">
        <is>
          <t>No</t>
        </is>
      </c>
    </row>
    <row r="24">
      <c r="A24" s="14" t="inlineStr">
        <is>
          <t>Pelledoca</t>
        </is>
      </c>
      <c r="B24" s="14" t="inlineStr">
        <is>
          <t>Mistero al Faro</t>
        </is>
      </c>
      <c r="C24" s="14" t="inlineStr">
        <is>
          <t>Adamantia Paizis; ill. Chiara Nocentini</t>
        </is>
      </c>
      <c r="D24" s="14" t="inlineStr">
        <is>
          <t>Piccole Piume (font ad alta leggibilità)</t>
        </is>
      </c>
      <c r="E24" s="14" t="inlineStr">
        <is>
          <t>Dai 7 anni</t>
        </is>
      </c>
      <c r="F24" s="14" t="inlineStr">
        <is>
          <t>Prime letture (6-8)</t>
        </is>
      </c>
      <c r="G24" s="14" t="inlineStr">
        <is>
          <t>Narrativa</t>
        </is>
      </c>
      <c r="H24" s="14" t="inlineStr"/>
      <c r="I24" s="14" t="inlineStr">
        <is>
          <t>No</t>
        </is>
      </c>
      <c r="J24" s="14" t="inlineStr">
        <is>
          <t>Catalogo</t>
        </is>
      </c>
      <c r="K24" s="14" t="inlineStr">
        <is>
          <t>prime letture, narrativa</t>
        </is>
      </c>
      <c r="L24" s="14" t="inlineStr">
        <is>
          <t>Catalogo Pelledoca 2025 (ISBN 9788832791433)</t>
        </is>
      </c>
      <c r="M24" s="16" t="n">
        <v>12</v>
      </c>
      <c r="N24" s="14" t="inlineStr">
        <is>
          <t>Catalogo Pelledoca 2025</t>
        </is>
      </c>
      <c r="O24" s="16">
        <f>IF(ISNUMBER(M24),ROUND(M24*(1-Condizioni!$B$2),2),"")</f>
        <v/>
      </c>
      <c r="P24" s="17" t="inlineStr">
        <is>
          <t>No</t>
        </is>
      </c>
    </row>
    <row r="25">
      <c r="A25" s="14" t="inlineStr">
        <is>
          <t>Pelledoca</t>
        </is>
      </c>
      <c r="B25" s="14" t="inlineStr">
        <is>
          <t>Occhio alla Valigia!</t>
        </is>
      </c>
      <c r="C25" s="14" t="inlineStr">
        <is>
          <t>Eleonora Fornasari; ill. Manuela Marazzi</t>
        </is>
      </c>
      <c r="D25" s="14" t="inlineStr">
        <is>
          <t>Piccole Piume (font ad alta leggibilità)</t>
        </is>
      </c>
      <c r="E25" s="14" t="inlineStr">
        <is>
          <t>Dai 7 anni</t>
        </is>
      </c>
      <c r="F25" s="14" t="inlineStr">
        <is>
          <t>Prime letture (6-8)</t>
        </is>
      </c>
      <c r="G25" s="14" t="inlineStr">
        <is>
          <t>Narrativa</t>
        </is>
      </c>
      <c r="H25" s="14" t="inlineStr"/>
      <c r="I25" s="14" t="inlineStr">
        <is>
          <t>No</t>
        </is>
      </c>
      <c r="J25" s="14" t="inlineStr">
        <is>
          <t>Catalogo</t>
        </is>
      </c>
      <c r="K25" s="14" t="inlineStr">
        <is>
          <t>prime letture, narrativa</t>
        </is>
      </c>
      <c r="L25" s="14" t="inlineStr">
        <is>
          <t>Catalogo Pelledoca 2025 (ISBN 9788832791297)</t>
        </is>
      </c>
      <c r="M25" s="16" t="n">
        <v>12</v>
      </c>
      <c r="N25" s="14" t="inlineStr">
        <is>
          <t>Catalogo Pelledoca 2025</t>
        </is>
      </c>
      <c r="O25" s="16">
        <f>IF(ISNUMBER(M25),ROUND(M25*(1-Condizioni!$B$2),2),"")</f>
        <v/>
      </c>
      <c r="P25" s="17" t="inlineStr">
        <is>
          <t>No</t>
        </is>
      </c>
    </row>
    <row r="26">
      <c r="A26" s="14" t="inlineStr">
        <is>
          <t>Pelledoca</t>
        </is>
      </c>
      <c r="B26" s="14" t="inlineStr">
        <is>
          <t>Se Ci Sei, Batti un Colpo!</t>
        </is>
      </c>
      <c r="C26" s="14" t="inlineStr">
        <is>
          <t>Valentina Mansone; ill. Giulia Bracesco</t>
        </is>
      </c>
      <c r="D26" s="14" t="inlineStr">
        <is>
          <t>Piccole Piume (font ad alta leggibilità)</t>
        </is>
      </c>
      <c r="E26" s="14" t="inlineStr">
        <is>
          <t>Dai 7 anni</t>
        </is>
      </c>
      <c r="F26" s="14" t="inlineStr">
        <is>
          <t>Prime letture (6-8)</t>
        </is>
      </c>
      <c r="G26" s="14" t="inlineStr">
        <is>
          <t>Narrativa</t>
        </is>
      </c>
      <c r="H26" s="14" t="inlineStr"/>
      <c r="I26" s="14" t="inlineStr">
        <is>
          <t>No</t>
        </is>
      </c>
      <c r="J26" s="14" t="inlineStr">
        <is>
          <t>Catalogo</t>
        </is>
      </c>
      <c r="K26" s="14" t="inlineStr">
        <is>
          <t>prime letture, narrativa</t>
        </is>
      </c>
      <c r="L26" s="14" t="inlineStr">
        <is>
          <t>Catalogo Pelledoca 2025 (ISBN 9788832791280)</t>
        </is>
      </c>
      <c r="M26" s="16" t="n">
        <v>12</v>
      </c>
      <c r="N26" s="14" t="inlineStr">
        <is>
          <t>Catalogo Pelledoca 2025</t>
        </is>
      </c>
      <c r="O26" s="16">
        <f>IF(ISNUMBER(M26),ROUND(M26*(1-Condizioni!$B$2),2),"")</f>
        <v/>
      </c>
      <c r="P26" s="17" t="inlineStr">
        <is>
          <t>No</t>
        </is>
      </c>
    </row>
    <row r="27">
      <c r="A27" s="14" t="inlineStr">
        <is>
          <t>Pelledoca</t>
        </is>
      </c>
      <c r="B27" s="14" t="inlineStr">
        <is>
          <t>Susan Duckling e il Caso Dello Zucchero Filato</t>
        </is>
      </c>
      <c r="C27" s="14" t="inlineStr">
        <is>
          <t>Maddalena Schiavo; ill. Veronica Truttero</t>
        </is>
      </c>
      <c r="D27" s="14" t="inlineStr">
        <is>
          <t>Piccole Piume (font ad alta leggibilità)</t>
        </is>
      </c>
      <c r="E27" s="14" t="inlineStr">
        <is>
          <t>Dai 6 anni</t>
        </is>
      </c>
      <c r="F27" s="14" t="inlineStr">
        <is>
          <t>Prime letture (6-8)</t>
        </is>
      </c>
      <c r="G27" s="14" t="inlineStr">
        <is>
          <t>Narrativa</t>
        </is>
      </c>
      <c r="H27" s="14" t="inlineStr"/>
      <c r="I27" s="14" t="inlineStr">
        <is>
          <t>No</t>
        </is>
      </c>
      <c r="J27" s="14" t="inlineStr">
        <is>
          <t>Catalogo</t>
        </is>
      </c>
      <c r="K27" s="14" t="inlineStr">
        <is>
          <t>prime letture, narrativa</t>
        </is>
      </c>
      <c r="L27" s="14" t="inlineStr">
        <is>
          <t>Catalogo Pelledoca 2025 (ISBN 9788832790634)</t>
        </is>
      </c>
      <c r="M27" s="16" t="n">
        <v>12</v>
      </c>
      <c r="N27" s="14" t="inlineStr">
        <is>
          <t>Catalogo Pelledoca 2025</t>
        </is>
      </c>
      <c r="O27" s="16">
        <f>IF(ISNUMBER(M27),ROUND(M27*(1-Condizioni!$B$2),2),"")</f>
        <v/>
      </c>
      <c r="P27" s="17" t="inlineStr">
        <is>
          <t>No</t>
        </is>
      </c>
    </row>
    <row r="28">
      <c r="A28" s="14" t="inlineStr">
        <is>
          <t>Pelledoca</t>
        </is>
      </c>
      <c r="B28" s="14" t="inlineStr">
        <is>
          <t>Susan Duckling e il Caso del Gioiello Rubato</t>
        </is>
      </c>
      <c r="C28" s="14" t="inlineStr">
        <is>
          <t>Maddalena Schiavo; ill. Veronica Truttero</t>
        </is>
      </c>
      <c r="D28" s="14" t="inlineStr">
        <is>
          <t>Piccole Piume (font ad alta leggibilità)</t>
        </is>
      </c>
      <c r="E28" s="14" t="inlineStr">
        <is>
          <t>Dai 6 anni</t>
        </is>
      </c>
      <c r="F28" s="14" t="inlineStr">
        <is>
          <t>Prime letture (6-8)</t>
        </is>
      </c>
      <c r="G28" s="14" t="inlineStr">
        <is>
          <t>Narrativa</t>
        </is>
      </c>
      <c r="H28" s="14" t="inlineStr"/>
      <c r="I28" s="14" t="inlineStr">
        <is>
          <t>No</t>
        </is>
      </c>
      <c r="J28" s="14" t="inlineStr">
        <is>
          <t>Catalogo</t>
        </is>
      </c>
      <c r="K28" s="14" t="inlineStr">
        <is>
          <t>prime letture, narrativa</t>
        </is>
      </c>
      <c r="L28" s="14" t="inlineStr">
        <is>
          <t>Catalogo Pelledoca 2025 (ISBN 9788832790795)</t>
        </is>
      </c>
      <c r="M28" s="16" t="n">
        <v>12</v>
      </c>
      <c r="N28" s="14" t="inlineStr">
        <is>
          <t>Catalogo Pelledoca 2025</t>
        </is>
      </c>
      <c r="O28" s="16">
        <f>IF(ISNUMBER(M28),ROUND(M28*(1-Condizioni!$B$2),2),"")</f>
        <v/>
      </c>
      <c r="P28" s="17" t="inlineStr">
        <is>
          <t>No</t>
        </is>
      </c>
    </row>
    <row r="29">
      <c r="A29" s="14" t="inlineStr">
        <is>
          <t>Pelledoca</t>
        </is>
      </c>
      <c r="B29" s="14" t="inlineStr">
        <is>
          <t>Susan Duckling e il Caso del Raffreddore Scomparso</t>
        </is>
      </c>
      <c r="C29" s="14" t="inlineStr">
        <is>
          <t>Maddalena Schiavo; ill. Laura Zani</t>
        </is>
      </c>
      <c r="D29" s="14" t="inlineStr">
        <is>
          <t>Piccole Piume (font ad alta leggibilità)</t>
        </is>
      </c>
      <c r="E29" s="14" t="inlineStr">
        <is>
          <t>Dai 6 anni</t>
        </is>
      </c>
      <c r="F29" s="14" t="inlineStr">
        <is>
          <t>Prime letture (6-8)</t>
        </is>
      </c>
      <c r="G29" s="14" t="inlineStr">
        <is>
          <t>Narrativa</t>
        </is>
      </c>
      <c r="H29" s="14" t="inlineStr"/>
      <c r="I29" s="14" t="inlineStr">
        <is>
          <t>No</t>
        </is>
      </c>
      <c r="J29" s="14" t="inlineStr">
        <is>
          <t>Catalogo</t>
        </is>
      </c>
      <c r="K29" s="14" t="inlineStr">
        <is>
          <t>prime letture, narrativa</t>
        </is>
      </c>
      <c r="L29" s="14" t="inlineStr">
        <is>
          <t>Catalogo Pelledoca 2025 (ISBN 9788832790412)</t>
        </is>
      </c>
      <c r="M29" s="16" t="n">
        <v>11</v>
      </c>
      <c r="N29" s="14" t="inlineStr">
        <is>
          <t>Catalogo Pelledoca 2025</t>
        </is>
      </c>
      <c r="O29" s="16">
        <f>IF(ISNUMBER(M29),ROUND(M29*(1-Condizioni!$B$2),2),"")</f>
        <v/>
      </c>
      <c r="P29" s="17" t="inlineStr">
        <is>
          <t>No</t>
        </is>
      </c>
    </row>
    <row r="30">
      <c r="A30" s="14" t="inlineStr">
        <is>
          <t>Pelledoca</t>
        </is>
      </c>
      <c r="B30" s="14" t="inlineStr">
        <is>
          <t>Susan Duckling e il Caso del Regalo di Compleanno</t>
        </is>
      </c>
      <c r="C30" s="14" t="inlineStr">
        <is>
          <t>Maddalena Schiavo; ill. Laura Zani</t>
        </is>
      </c>
      <c r="D30" s="14" t="inlineStr">
        <is>
          <t>Piccole Piume (font ad alta leggibilità)</t>
        </is>
      </c>
      <c r="E30" s="14" t="inlineStr">
        <is>
          <t>Dai 6 anni</t>
        </is>
      </c>
      <c r="F30" s="14" t="inlineStr">
        <is>
          <t>Prime letture (6-8)</t>
        </is>
      </c>
      <c r="G30" s="14" t="inlineStr">
        <is>
          <t>Narrativa</t>
        </is>
      </c>
      <c r="H30" s="14" t="inlineStr"/>
      <c r="I30" s="14" t="inlineStr">
        <is>
          <t>No</t>
        </is>
      </c>
      <c r="J30" s="14" t="inlineStr">
        <is>
          <t>Catalogo</t>
        </is>
      </c>
      <c r="K30" s="14" t="inlineStr">
        <is>
          <t>prime letture, narrativa</t>
        </is>
      </c>
      <c r="L30" s="14" t="inlineStr">
        <is>
          <t>Catalogo Pelledoca 2025 (ISBN 9788832790405)</t>
        </is>
      </c>
      <c r="M30" s="16" t="n">
        <v>11</v>
      </c>
      <c r="N30" s="14" t="inlineStr">
        <is>
          <t>Catalogo Pelledoca 2025</t>
        </is>
      </c>
      <c r="O30" s="16">
        <f>IF(ISNUMBER(M30),ROUND(M30*(1-Condizioni!$B$2),2),"")</f>
        <v/>
      </c>
      <c r="P30" s="17" t="inlineStr">
        <is>
          <t>Sì</t>
        </is>
      </c>
    </row>
    <row r="31">
      <c r="A31" s="14" t="inlineStr">
        <is>
          <t>Pelledoca</t>
        </is>
      </c>
      <c r="B31" s="14" t="inlineStr">
        <is>
          <t>Susan Duckling e il Caso della Farfalla Scomparsa</t>
        </is>
      </c>
      <c r="C31" s="14" t="inlineStr">
        <is>
          <t>Maddalena Schiavo; ill. Veronica Truttero</t>
        </is>
      </c>
      <c r="D31" s="14" t="inlineStr">
        <is>
          <t>Piccole Piume (font ad alta leggibilità)</t>
        </is>
      </c>
      <c r="E31" s="14" t="inlineStr">
        <is>
          <t>Dai 6 anni</t>
        </is>
      </c>
      <c r="F31" s="14" t="inlineStr">
        <is>
          <t>Prime letture (6-8)</t>
        </is>
      </c>
      <c r="G31" s="14" t="inlineStr">
        <is>
          <t>Narrativa</t>
        </is>
      </c>
      <c r="H31" s="14" t="inlineStr"/>
      <c r="I31" s="14" t="inlineStr">
        <is>
          <t>No</t>
        </is>
      </c>
      <c r="J31" s="14" t="inlineStr">
        <is>
          <t>Catalogo</t>
        </is>
      </c>
      <c r="K31" s="14" t="inlineStr">
        <is>
          <t>prime letture, narrativa</t>
        </is>
      </c>
      <c r="L31" s="14" t="inlineStr">
        <is>
          <t>Catalogo Pelledoca 2025 (ISBN 9788832790801)</t>
        </is>
      </c>
      <c r="M31" s="16" t="n">
        <v>12</v>
      </c>
      <c r="N31" s="14" t="inlineStr">
        <is>
          <t>Catalogo Pelledoca 2025</t>
        </is>
      </c>
      <c r="O31" s="16">
        <f>IF(ISNUMBER(M31),ROUND(M31*(1-Condizioni!$B$2),2),"")</f>
        <v/>
      </c>
      <c r="P31" s="17" t="inlineStr">
        <is>
          <t>No</t>
        </is>
      </c>
    </row>
    <row r="32">
      <c r="A32" s="14" t="inlineStr">
        <is>
          <t>Pelledoca</t>
        </is>
      </c>
      <c r="B32" s="14" t="inlineStr">
        <is>
          <t>Susan Duckling e il Caso delle Uova Scomparse</t>
        </is>
      </c>
      <c r="C32" s="14" t="inlineStr">
        <is>
          <t>Maddalena Schiavo; ill. Veronica Truttero</t>
        </is>
      </c>
      <c r="D32" s="14" t="inlineStr">
        <is>
          <t>Piccole Piume (font ad alta leggibilità)</t>
        </is>
      </c>
      <c r="E32" s="14" t="inlineStr">
        <is>
          <t>Dai 6 anni</t>
        </is>
      </c>
      <c r="F32" s="14" t="inlineStr">
        <is>
          <t>Prime letture (6-8)</t>
        </is>
      </c>
      <c r="G32" s="14" t="inlineStr">
        <is>
          <t>Narrativa</t>
        </is>
      </c>
      <c r="H32" s="14" t="inlineStr"/>
      <c r="I32" s="14" t="inlineStr">
        <is>
          <t>No</t>
        </is>
      </c>
      <c r="J32" s="14" t="inlineStr">
        <is>
          <t>Catalogo</t>
        </is>
      </c>
      <c r="K32" s="14" t="inlineStr">
        <is>
          <t>prime letture, narrativa</t>
        </is>
      </c>
      <c r="L32" s="14" t="inlineStr">
        <is>
          <t>Catalogo Pelledoca 2025 (ISBN 9788832790641)</t>
        </is>
      </c>
      <c r="M32" s="16" t="n">
        <v>12</v>
      </c>
      <c r="N32" s="14" t="inlineStr">
        <is>
          <t>Catalogo Pelledoca 2025</t>
        </is>
      </c>
      <c r="O32" s="16">
        <f>IF(ISNUMBER(M32),ROUND(M32*(1-Condizioni!$B$2),2),"")</f>
        <v/>
      </c>
      <c r="P32" s="17" t="inlineStr">
        <is>
          <t>No</t>
        </is>
      </c>
    </row>
    <row r="33">
      <c r="A33" s="14" t="inlineStr">
        <is>
          <t>Pelledoca</t>
        </is>
      </c>
      <c r="B33" s="14" t="inlineStr">
        <is>
          <t>Tutta Colpa del Buio</t>
        </is>
      </c>
      <c r="C33" s="14" t="inlineStr">
        <is>
          <t>Matteo Grimaldi; ill. Ilaria Perversi</t>
        </is>
      </c>
      <c r="D33" s="14" t="inlineStr">
        <is>
          <t>Piccole Piume (font ad alta leggibilità)</t>
        </is>
      </c>
      <c r="E33" s="14" t="inlineStr">
        <is>
          <t>Dai 7 anni</t>
        </is>
      </c>
      <c r="F33" s="14" t="inlineStr">
        <is>
          <t>Prime letture (6-8)</t>
        </is>
      </c>
      <c r="G33" s="14" t="inlineStr">
        <is>
          <t>Narrativa</t>
        </is>
      </c>
      <c r="H33" s="14" t="inlineStr"/>
      <c r="I33" s="14" t="inlineStr">
        <is>
          <t>No</t>
        </is>
      </c>
      <c r="J33" s="14" t="inlineStr">
        <is>
          <t>Catalogo</t>
        </is>
      </c>
      <c r="K33" s="14" t="inlineStr">
        <is>
          <t>prime letture, narrativa</t>
        </is>
      </c>
      <c r="L33" s="14" t="inlineStr">
        <is>
          <t>Catalogo Pelledoca 2025 (ISBN 9788832790788)</t>
        </is>
      </c>
      <c r="M33" s="16" t="n">
        <v>12</v>
      </c>
      <c r="N33" s="14" t="inlineStr">
        <is>
          <t>Catalogo Pelledoca 2025</t>
        </is>
      </c>
      <c r="O33" s="16">
        <f>IF(ISNUMBER(M33),ROUND(M33*(1-Condizioni!$B$2),2),"")</f>
        <v/>
      </c>
      <c r="P33" s="17" t="inlineStr">
        <is>
          <t>No</t>
        </is>
      </c>
    </row>
    <row r="34">
      <c r="A34" s="14" t="inlineStr">
        <is>
          <t>Pelledoca</t>
        </is>
      </c>
      <c r="B34" s="14" t="inlineStr">
        <is>
          <t>Zeffirina Dove Sei?</t>
        </is>
      </c>
      <c r="C34" s="14" t="inlineStr">
        <is>
          <t>Chiara Lorenzoni; ill. Marggherita Alleggri</t>
        </is>
      </c>
      <c r="D34" s="14" t="inlineStr">
        <is>
          <t>Piccole Piume (font ad alta leggibilità)</t>
        </is>
      </c>
      <c r="E34" s="14" t="inlineStr">
        <is>
          <t>Dai 7 anni</t>
        </is>
      </c>
      <c r="F34" s="14" t="inlineStr">
        <is>
          <t>Prime letture (6-8)</t>
        </is>
      </c>
      <c r="G34" s="14" t="inlineStr">
        <is>
          <t>Narrativa</t>
        </is>
      </c>
      <c r="H34" s="14" t="inlineStr"/>
      <c r="I34" s="14" t="inlineStr">
        <is>
          <t>No</t>
        </is>
      </c>
      <c r="J34" s="14" t="inlineStr">
        <is>
          <t>Catalogo</t>
        </is>
      </c>
      <c r="K34" s="14" t="inlineStr">
        <is>
          <t>prime letture, narrativa</t>
        </is>
      </c>
      <c r="L34" s="14" t="inlineStr">
        <is>
          <t>Catalogo Pelledoca 2025 (ISBN 9788832790542)</t>
        </is>
      </c>
      <c r="M34" s="16" t="n">
        <v>11</v>
      </c>
      <c r="N34" s="14" t="inlineStr">
        <is>
          <t>Catalogo Pelledoca 2025</t>
        </is>
      </c>
      <c r="O34" s="16">
        <f>IF(ISNUMBER(M34),ROUND(M34*(1-Condizioni!$B$2),2),"")</f>
        <v/>
      </c>
      <c r="P34" s="17" t="inlineStr">
        <is>
          <t>No</t>
        </is>
      </c>
    </row>
    <row r="35">
      <c r="A35" s="14" t="inlineStr">
        <is>
          <t>Pelledoca</t>
        </is>
      </c>
      <c r="B35" s="14" t="inlineStr">
        <is>
          <t>Casapelledoca</t>
        </is>
      </c>
      <c r="C35" s="14" t="inlineStr">
        <is>
          <t>Beatrice Masini; ill. Lorenzo Conti</t>
        </is>
      </c>
      <c r="D35" s="14" t="inlineStr">
        <is>
          <t>OcchiAperti</t>
        </is>
      </c>
      <c r="E35" s="14" t="inlineStr">
        <is>
          <t>Dagli 8 anni</t>
        </is>
      </c>
      <c r="F35" s="14" t="inlineStr">
        <is>
          <t>8+</t>
        </is>
      </c>
      <c r="G35" s="14" t="inlineStr">
        <is>
          <t>Narrativa</t>
        </is>
      </c>
      <c r="H35" s="14" t="inlineStr"/>
      <c r="I35" s="14" t="inlineStr">
        <is>
          <t>No</t>
        </is>
      </c>
      <c r="J35" s="14" t="inlineStr">
        <is>
          <t>Catalogo</t>
        </is>
      </c>
      <c r="K35" s="14" t="inlineStr">
        <is>
          <t>8+, narrativa</t>
        </is>
      </c>
      <c r="L35" s="14" t="inlineStr">
        <is>
          <t>Catalogo Pelledoca 2025 (ISBN 9788832790191)</t>
        </is>
      </c>
      <c r="M35" s="16" t="n">
        <v>18</v>
      </c>
      <c r="N35" s="14" t="inlineStr">
        <is>
          <t>Catalogo Pelledoca 2025</t>
        </is>
      </c>
      <c r="O35" s="16">
        <f>IF(ISNUMBER(M35),ROUND(M35*(1-Condizioni!$B$2),2),"")</f>
        <v/>
      </c>
      <c r="P35" s="17" t="inlineStr">
        <is>
          <t>No</t>
        </is>
      </c>
    </row>
    <row r="36">
      <c r="A36" s="14" t="inlineStr">
        <is>
          <t>Pelledoca</t>
        </is>
      </c>
      <c r="B36" s="14" t="inlineStr">
        <is>
          <t>Piccola Mappa delle Paure</t>
        </is>
      </c>
      <c r="C36" s="14" t="inlineStr">
        <is>
          <t>Andrea Valente; ill. Sonia Zucchini</t>
        </is>
      </c>
      <c r="D36" s="14" t="inlineStr">
        <is>
          <t>OcchiAperti</t>
        </is>
      </c>
      <c r="E36" s="14" t="inlineStr">
        <is>
          <t>Dai 9 anni</t>
        </is>
      </c>
      <c r="F36" s="14" t="inlineStr">
        <is>
          <t>9+</t>
        </is>
      </c>
      <c r="G36" s="14" t="inlineStr">
        <is>
          <t>Narrativa</t>
        </is>
      </c>
      <c r="H36" s="14" t="inlineStr"/>
      <c r="I36" s="14" t="inlineStr">
        <is>
          <t>No</t>
        </is>
      </c>
      <c r="J36" s="14" t="inlineStr">
        <is>
          <t>Catalogo</t>
        </is>
      </c>
      <c r="K36" s="14" t="inlineStr">
        <is>
          <t>9+, narrativa</t>
        </is>
      </c>
      <c r="L36" s="14" t="inlineStr">
        <is>
          <t>Catalogo Pelledoca 2025 (ISBN 9788832790047)</t>
        </is>
      </c>
      <c r="M36" s="16" t="n">
        <v>18</v>
      </c>
      <c r="N36" s="14" t="inlineStr">
        <is>
          <t>Catalogo Pelledoca 2025</t>
        </is>
      </c>
      <c r="O36" s="16">
        <f>IF(ISNUMBER(M36),ROUND(M36*(1-Condizioni!$B$2),2),"")</f>
        <v/>
      </c>
      <c r="P36" s="17" t="inlineStr">
        <is>
          <t>No</t>
        </is>
      </c>
    </row>
    <row r="37">
      <c r="A37" s="14" t="inlineStr">
        <is>
          <t>Pelledoca</t>
        </is>
      </c>
      <c r="B37" s="14" t="inlineStr">
        <is>
          <t>Vedo Nero</t>
        </is>
      </c>
      <c r="C37" s="14" t="inlineStr">
        <is>
          <t>Andrea Valente; ill. Anna Pini</t>
        </is>
      </c>
      <c r="D37" s="14" t="inlineStr">
        <is>
          <t>OcchiAperti</t>
        </is>
      </c>
      <c r="E37" s="14" t="inlineStr">
        <is>
          <t>Dai 9 anni</t>
        </is>
      </c>
      <c r="F37" s="14" t="inlineStr">
        <is>
          <t>9+</t>
        </is>
      </c>
      <c r="G37" s="14" t="inlineStr">
        <is>
          <t>Narrativa</t>
        </is>
      </c>
      <c r="H37" s="14" t="inlineStr"/>
      <c r="I37" s="14" t="inlineStr">
        <is>
          <t>No</t>
        </is>
      </c>
      <c r="J37" s="14" t="inlineStr">
        <is>
          <t>Catalogo</t>
        </is>
      </c>
      <c r="K37" s="14" t="inlineStr">
        <is>
          <t>9+, narrativa</t>
        </is>
      </c>
      <c r="L37" s="14" t="inlineStr">
        <is>
          <t>Catalogo Pelledoca 2025 (ISBN 9788832790245)</t>
        </is>
      </c>
      <c r="M37" s="16" t="n">
        <v>18</v>
      </c>
      <c r="N37" s="14" t="inlineStr">
        <is>
          <t>Catalogo Pelledoca 2025</t>
        </is>
      </c>
      <c r="O37" s="16">
        <f>IF(ISNUMBER(M37),ROUND(M37*(1-Condizioni!$B$2),2),"")</f>
        <v/>
      </c>
      <c r="P37" s="17" t="inlineStr">
        <is>
          <t>No</t>
        </is>
      </c>
    </row>
    <row r="38">
      <c r="A38" s="14" t="inlineStr">
        <is>
          <t>Pelledoca</t>
        </is>
      </c>
      <c r="B38" s="14" t="inlineStr">
        <is>
          <t>Due Hotel e un Delitto</t>
        </is>
      </c>
      <c r="C38" s="14" t="inlineStr">
        <is>
          <t>Erika Torre</t>
        </is>
      </c>
      <c r="D38" s="14" t="inlineStr">
        <is>
          <t>NeroInchiostro</t>
        </is>
      </c>
      <c r="E38" s="14" t="inlineStr">
        <is>
          <t>Dai 10 anni</t>
        </is>
      </c>
      <c r="F38" s="14" t="inlineStr">
        <is>
          <t>10+</t>
        </is>
      </c>
      <c r="G38" s="14" t="inlineStr">
        <is>
          <t>Romanzo</t>
        </is>
      </c>
      <c r="H38" s="14" t="inlineStr"/>
      <c r="I38" s="14" t="inlineStr">
        <is>
          <t>No</t>
        </is>
      </c>
      <c r="J38" s="14" t="inlineStr">
        <is>
          <t>Catalogo</t>
        </is>
      </c>
      <c r="K38" s="14" t="inlineStr">
        <is>
          <t>10+, romanzo, narrativa</t>
        </is>
      </c>
      <c r="L38" s="14" t="inlineStr">
        <is>
          <t>Catalogo Pelledoca 2025 (ISBN 9788832790443)</t>
        </is>
      </c>
      <c r="M38" s="16" t="n">
        <v>16</v>
      </c>
      <c r="N38" s="14" t="inlineStr">
        <is>
          <t>Catalogo Pelledoca 2025</t>
        </is>
      </c>
      <c r="O38" s="16">
        <f>IF(ISNUMBER(M38),ROUND(M38*(1-Condizioni!$B$2),2),"")</f>
        <v/>
      </c>
      <c r="P38" s="17" t="inlineStr">
        <is>
          <t>No</t>
        </is>
      </c>
    </row>
    <row r="39">
      <c r="A39" s="14" t="inlineStr">
        <is>
          <t>Pelledoca</t>
        </is>
      </c>
      <c r="B39" s="14" t="inlineStr">
        <is>
          <t>Emma e i Fantini Detective</t>
        </is>
      </c>
      <c r="C39" s="14" t="inlineStr">
        <is>
          <t>Laura Orsolini</t>
        </is>
      </c>
      <c r="D39" s="14" t="inlineStr">
        <is>
          <t>NeroInchiostro</t>
        </is>
      </c>
      <c r="E39" s="14" t="inlineStr">
        <is>
          <t>Dai 10 anni</t>
        </is>
      </c>
      <c r="F39" s="14" t="inlineStr">
        <is>
          <t>10+</t>
        </is>
      </c>
      <c r="G39" s="14" t="inlineStr">
        <is>
          <t>Romanzo</t>
        </is>
      </c>
      <c r="H39" s="14" t="inlineStr"/>
      <c r="I39" s="14" t="inlineStr">
        <is>
          <t>No</t>
        </is>
      </c>
      <c r="J39" s="14" t="inlineStr">
        <is>
          <t>Catalogo</t>
        </is>
      </c>
      <c r="K39" s="14" t="inlineStr">
        <is>
          <t>10+, romanzo, narrativa</t>
        </is>
      </c>
      <c r="L39" s="14" t="inlineStr">
        <is>
          <t>Catalogo Pelledoca 2025 (ISBN 9788832790757)</t>
        </is>
      </c>
      <c r="M39" s="16" t="n">
        <v>16</v>
      </c>
      <c r="N39" s="14" t="inlineStr">
        <is>
          <t>Catalogo Pelledoca 2025</t>
        </is>
      </c>
      <c r="O39" s="16">
        <f>IF(ISNUMBER(M39),ROUND(M39*(1-Condizioni!$B$2),2),"")</f>
        <v/>
      </c>
      <c r="P39" s="17" t="inlineStr">
        <is>
          <t>No</t>
        </is>
      </c>
    </row>
    <row r="40">
      <c r="A40" s="14" t="inlineStr">
        <is>
          <t>Pelledoca</t>
        </is>
      </c>
      <c r="B40" s="14" t="inlineStr">
        <is>
          <t>Il Mistero del Cadavere Senza Testa</t>
        </is>
      </c>
      <c r="C40" s="14" t="inlineStr">
        <is>
          <t>Luca Occhi</t>
        </is>
      </c>
      <c r="D40" s="14" t="inlineStr">
        <is>
          <t>NeroInchiostro</t>
        </is>
      </c>
      <c r="E40" s="14" t="inlineStr">
        <is>
          <t>Dai 10 anni</t>
        </is>
      </c>
      <c r="F40" s="14" t="inlineStr">
        <is>
          <t>10+</t>
        </is>
      </c>
      <c r="G40" s="14" t="inlineStr">
        <is>
          <t>Romanzo</t>
        </is>
      </c>
      <c r="H40" s="14" t="inlineStr"/>
      <c r="I40" s="14" t="inlineStr">
        <is>
          <t>No</t>
        </is>
      </c>
      <c r="J40" s="14" t="inlineStr">
        <is>
          <t>Catalogo</t>
        </is>
      </c>
      <c r="K40" s="14" t="inlineStr">
        <is>
          <t>10+, romanzo, narrativa</t>
        </is>
      </c>
      <c r="L40" s="14" t="inlineStr">
        <is>
          <t>Catalogo Pelledoca 2025 (ISBN 9788832790733)</t>
        </is>
      </c>
      <c r="M40" s="16" t="n">
        <v>16</v>
      </c>
      <c r="N40" s="14" t="inlineStr">
        <is>
          <t>Catalogo Pelledoca 2025</t>
        </is>
      </c>
      <c r="O40" s="16">
        <f>IF(ISNUMBER(M40),ROUND(M40*(1-Condizioni!$B$2),2),"")</f>
        <v/>
      </c>
      <c r="P40" s="17" t="inlineStr">
        <is>
          <t>Sì</t>
        </is>
      </c>
    </row>
    <row r="41">
      <c r="A41" s="14" t="inlineStr">
        <is>
          <t>Pelledoca</t>
        </is>
      </c>
      <c r="B41" s="14" t="inlineStr">
        <is>
          <t>Il Ponte dei Cani Suicidi</t>
        </is>
      </c>
      <c r="C41" s="14" t="inlineStr">
        <is>
          <t>Daniele Nicastro</t>
        </is>
      </c>
      <c r="D41" s="14" t="inlineStr">
        <is>
          <t>NeroInchiostro</t>
        </is>
      </c>
      <c r="E41" s="14" t="inlineStr">
        <is>
          <t>Dai 10 anni</t>
        </is>
      </c>
      <c r="F41" s="14" t="inlineStr">
        <is>
          <t>10+</t>
        </is>
      </c>
      <c r="G41" s="14" t="inlineStr">
        <is>
          <t>Romanzo</t>
        </is>
      </c>
      <c r="H41" s="14" t="inlineStr"/>
      <c r="I41" s="14" t="inlineStr">
        <is>
          <t>No</t>
        </is>
      </c>
      <c r="J41" s="14" t="inlineStr">
        <is>
          <t>Catalogo</t>
        </is>
      </c>
      <c r="K41" s="14" t="inlineStr">
        <is>
          <t>10+, romanzo, narrativa</t>
        </is>
      </c>
      <c r="L41" s="14" t="inlineStr">
        <is>
          <t>Catalogo Pelledoca 2025 (ISBN 9788832790474)</t>
        </is>
      </c>
      <c r="M41" s="16" t="n">
        <v>16</v>
      </c>
      <c r="N41" s="14" t="inlineStr">
        <is>
          <t>Catalogo Pelledoca 2025</t>
        </is>
      </c>
      <c r="O41" s="16">
        <f>IF(ISNUMBER(M41),ROUND(M41*(1-Condizioni!$B$2),2),"")</f>
        <v/>
      </c>
      <c r="P41" s="17" t="inlineStr">
        <is>
          <t>No</t>
        </is>
      </c>
    </row>
    <row r="42">
      <c r="A42" s="14" t="inlineStr">
        <is>
          <t>Pelledoca</t>
        </is>
      </c>
      <c r="B42" s="14" t="inlineStr">
        <is>
          <t>Omicidio in Ricetta</t>
        </is>
      </c>
      <c r="C42" s="14" t="inlineStr">
        <is>
          <t>Fabrizio Altieri</t>
        </is>
      </c>
      <c r="D42" s="14" t="inlineStr">
        <is>
          <t>NeroInchiostro</t>
        </is>
      </c>
      <c r="E42" s="14" t="inlineStr">
        <is>
          <t>Dai 10 anni</t>
        </is>
      </c>
      <c r="F42" s="14" t="inlineStr">
        <is>
          <t>10+</t>
        </is>
      </c>
      <c r="G42" s="14" t="inlineStr">
        <is>
          <t>Romanzo</t>
        </is>
      </c>
      <c r="H42" s="14" t="inlineStr"/>
      <c r="I42" s="14" t="inlineStr">
        <is>
          <t>No</t>
        </is>
      </c>
      <c r="J42" s="14" t="inlineStr">
        <is>
          <t>Catalogo</t>
        </is>
      </c>
      <c r="K42" s="14" t="inlineStr">
        <is>
          <t>10+, romanzo, narrativa</t>
        </is>
      </c>
      <c r="L42" s="14" t="inlineStr">
        <is>
          <t>Catalogo Pelledoca 2025 (ISBN 9788832790672)</t>
        </is>
      </c>
      <c r="M42" s="16" t="n">
        <v>16</v>
      </c>
      <c r="N42" s="14" t="inlineStr">
        <is>
          <t>Catalogo Pelledoca 2025</t>
        </is>
      </c>
      <c r="O42" s="16">
        <f>IF(ISNUMBER(M42),ROUND(M42*(1-Condizioni!$B$2),2),"")</f>
        <v/>
      </c>
      <c r="P42" s="17" t="inlineStr">
        <is>
          <t>No</t>
        </is>
      </c>
    </row>
    <row r="43">
      <c r="A43" s="14" t="inlineStr">
        <is>
          <t>Pelledoca</t>
        </is>
      </c>
      <c r="B43" s="14" t="inlineStr">
        <is>
          <t>Uno Scrigno a Doppio Segreto</t>
        </is>
      </c>
      <c r="C43" s="14" t="inlineStr">
        <is>
          <t>Guido Quarzo e Anna Vivarelli</t>
        </is>
      </c>
      <c r="D43" s="14" t="inlineStr">
        <is>
          <t>NeroInchiostro</t>
        </is>
      </c>
      <c r="E43" s="14" t="inlineStr">
        <is>
          <t>Dai 10 anni</t>
        </is>
      </c>
      <c r="F43" s="14" t="inlineStr">
        <is>
          <t>10+</t>
        </is>
      </c>
      <c r="G43" s="14" t="inlineStr">
        <is>
          <t>Romanzo</t>
        </is>
      </c>
      <c r="H43" s="14" t="inlineStr"/>
      <c r="I43" s="14" t="inlineStr">
        <is>
          <t>No</t>
        </is>
      </c>
      <c r="J43" s="14" t="inlineStr">
        <is>
          <t>Catalogo</t>
        </is>
      </c>
      <c r="K43" s="14" t="inlineStr">
        <is>
          <t>10+, romanzo, narrativa</t>
        </is>
      </c>
      <c r="L43" s="14" t="inlineStr">
        <is>
          <t>Catalogo Pelledoca 2025 (ISBN 9788832791099)</t>
        </is>
      </c>
      <c r="M43" s="16" t="n">
        <v>16</v>
      </c>
      <c r="N43" s="14" t="inlineStr">
        <is>
          <t>Catalogo Pelledoca 2025</t>
        </is>
      </c>
      <c r="O43" s="16">
        <f>IF(ISNUMBER(M43),ROUND(M43*(1-Condizioni!$B$2),2),"")</f>
        <v/>
      </c>
      <c r="P43" s="17" t="inlineStr">
        <is>
          <t>Sì</t>
        </is>
      </c>
    </row>
    <row r="44">
      <c r="A44" s="14" t="inlineStr">
        <is>
          <t>Pelledoca</t>
        </is>
      </c>
      <c r="B44" s="14" t="inlineStr">
        <is>
          <t>Uscita di Sicurezza</t>
        </is>
      </c>
      <c r="C44" s="14" t="inlineStr">
        <is>
          <t>Carla Anzile</t>
        </is>
      </c>
      <c r="D44" s="14" t="inlineStr">
        <is>
          <t>NeroInchiostro</t>
        </is>
      </c>
      <c r="E44" s="14" t="inlineStr">
        <is>
          <t>Dai 10 anni</t>
        </is>
      </c>
      <c r="F44" s="14" t="inlineStr">
        <is>
          <t>10+</t>
        </is>
      </c>
      <c r="G44" s="14" t="inlineStr">
        <is>
          <t>Romanzo</t>
        </is>
      </c>
      <c r="H44" s="14" t="inlineStr">
        <is>
          <t>Autismo</t>
        </is>
      </c>
      <c r="I44" s="14" t="inlineStr">
        <is>
          <t>No</t>
        </is>
      </c>
      <c r="J44" s="14" t="inlineStr">
        <is>
          <t>Catalogo</t>
        </is>
      </c>
      <c r="K44" s="14" t="inlineStr">
        <is>
          <t>10+, romanzo, narrativa</t>
        </is>
      </c>
      <c r="L44" s="14" t="inlineStr">
        <is>
          <t>Catalogo Pelledoca 2025 (ISBN 9788832790238)</t>
        </is>
      </c>
      <c r="M44" s="16" t="n">
        <v>16</v>
      </c>
      <c r="N44" s="14" t="inlineStr">
        <is>
          <t>Catalogo Pelledoca 2025</t>
        </is>
      </c>
      <c r="O44" s="16">
        <f>IF(ISNUMBER(M44),ROUND(M44*(1-Condizioni!$B$2),2),"")</f>
        <v/>
      </c>
      <c r="P44" s="17" t="inlineStr">
        <is>
          <t>Sì</t>
        </is>
      </c>
    </row>
    <row r="45">
      <c r="A45" s="14" t="inlineStr">
        <is>
          <t>Pelledoca</t>
        </is>
      </c>
      <c r="B45" s="14" t="inlineStr">
        <is>
          <t>Villa Mannara</t>
        </is>
      </c>
      <c r="C45" s="14" t="inlineStr">
        <is>
          <t>Laura Orsolini</t>
        </is>
      </c>
      <c r="D45" s="14" t="inlineStr">
        <is>
          <t>NeroInchiostro</t>
        </is>
      </c>
      <c r="E45" s="14" t="inlineStr">
        <is>
          <t>Dai 10 anni</t>
        </is>
      </c>
      <c r="F45" s="14" t="inlineStr">
        <is>
          <t>10+</t>
        </is>
      </c>
      <c r="G45" s="14" t="inlineStr">
        <is>
          <t>Romanzo</t>
        </is>
      </c>
      <c r="H45" s="14" t="inlineStr"/>
      <c r="I45" s="14" t="inlineStr">
        <is>
          <t>No</t>
        </is>
      </c>
      <c r="J45" s="14" t="inlineStr">
        <is>
          <t>Catalogo</t>
        </is>
      </c>
      <c r="K45" s="14" t="inlineStr">
        <is>
          <t>10+, romanzo, narrativa</t>
        </is>
      </c>
      <c r="L45" s="14" t="inlineStr">
        <is>
          <t>Catalogo Pelledoca 2025 (ISBN 9788832790252)</t>
        </is>
      </c>
      <c r="M45" s="16" t="n">
        <v>16</v>
      </c>
      <c r="N45" s="14" t="inlineStr">
        <is>
          <t>Catalogo Pelledoca 2025</t>
        </is>
      </c>
      <c r="O45" s="16">
        <f>IF(ISNUMBER(M45),ROUND(M45*(1-Condizioni!$B$2),2),"")</f>
        <v/>
      </c>
      <c r="P45" s="17" t="inlineStr">
        <is>
          <t>Sì</t>
        </is>
      </c>
    </row>
    <row r="46">
      <c r="A46" s="14" t="inlineStr">
        <is>
          <t>Pelledoca</t>
        </is>
      </c>
      <c r="B46" s="14" t="inlineStr">
        <is>
          <t>10 Indizi per Agatha</t>
        </is>
      </c>
      <c r="C46" s="14" t="inlineStr">
        <is>
          <t>Gigliola Alvisi</t>
        </is>
      </c>
      <c r="D46" s="14" t="inlineStr">
        <is>
          <t>NeroInchiostro</t>
        </is>
      </c>
      <c r="E46" s="14" t="inlineStr">
        <is>
          <t>Dagli 11 anni</t>
        </is>
      </c>
      <c r="F46" s="14" t="inlineStr">
        <is>
          <t>Scuola media (11-13)</t>
        </is>
      </c>
      <c r="G46" s="14" t="inlineStr">
        <is>
          <t>Romanzo</t>
        </is>
      </c>
      <c r="H46" s="14" t="inlineStr"/>
      <c r="I46" s="14" t="inlineStr">
        <is>
          <t>No</t>
        </is>
      </c>
      <c r="J46" s="14" t="inlineStr">
        <is>
          <t>Catalogo</t>
        </is>
      </c>
      <c r="K46" s="14" t="inlineStr">
        <is>
          <t>prima/seconda/terza media, romanzo, narrativa</t>
        </is>
      </c>
      <c r="L46" s="14" t="inlineStr">
        <is>
          <t>Catalogo Pelledoca 2025 (ISBN 9788832790276)</t>
        </is>
      </c>
      <c r="M46" s="16" t="n">
        <v>16</v>
      </c>
      <c r="N46" s="14" t="inlineStr">
        <is>
          <t>Catalogo Pelledoca 2025</t>
        </is>
      </c>
      <c r="O46" s="16">
        <f>IF(ISNUMBER(M46),ROUND(M46*(1-Condizioni!$B$2),2),"")</f>
        <v/>
      </c>
      <c r="P46" s="17" t="inlineStr">
        <is>
          <t>No</t>
        </is>
      </c>
    </row>
    <row r="47">
      <c r="A47" s="14" t="inlineStr">
        <is>
          <t>Pelledoca</t>
        </is>
      </c>
      <c r="B47" s="14" t="inlineStr">
        <is>
          <t>Alive</t>
        </is>
      </c>
      <c r="C47" s="14" t="inlineStr">
        <is>
          <t>Alessandro Pasquinucci</t>
        </is>
      </c>
      <c r="D47" s="14" t="inlineStr">
        <is>
          <t>NeroInchiostro</t>
        </is>
      </c>
      <c r="E47" s="14" t="inlineStr">
        <is>
          <t>Dai 12 anni</t>
        </is>
      </c>
      <c r="F47" s="14" t="inlineStr">
        <is>
          <t>Scuola media (11-13)</t>
        </is>
      </c>
      <c r="G47" s="14" t="inlineStr">
        <is>
          <t>Romanzo</t>
        </is>
      </c>
      <c r="H47" s="14" t="inlineStr"/>
      <c r="I47" s="14" t="inlineStr">
        <is>
          <t>No</t>
        </is>
      </c>
      <c r="J47" s="14" t="inlineStr">
        <is>
          <t>Catalogo</t>
        </is>
      </c>
      <c r="K47" s="14" t="inlineStr">
        <is>
          <t>prima/seconda/terza media, romanzo, narrativa</t>
        </is>
      </c>
      <c r="L47" s="14" t="inlineStr">
        <is>
          <t>Catalogo Pelledoca 2025 (ISBN 9788832790467)</t>
        </is>
      </c>
      <c r="M47" s="16" t="n">
        <v>16</v>
      </c>
      <c r="N47" s="14" t="inlineStr">
        <is>
          <t>Catalogo Pelledoca 2025</t>
        </is>
      </c>
      <c r="O47" s="16">
        <f>IF(ISNUMBER(M47),ROUND(M47*(1-Condizioni!$B$2),2),"")</f>
        <v/>
      </c>
      <c r="P47" s="17" t="inlineStr">
        <is>
          <t>Sì</t>
        </is>
      </c>
    </row>
    <row r="48">
      <c r="A48" s="14" t="inlineStr">
        <is>
          <t>Pelledoca</t>
        </is>
      </c>
      <c r="B48" s="14" t="inlineStr">
        <is>
          <t>Anselmo e Greta</t>
        </is>
      </c>
      <c r="C48" s="14" t="inlineStr">
        <is>
          <t>Francesco Formaggi; ill. Marino Neri</t>
        </is>
      </c>
      <c r="D48" s="14" t="inlineStr">
        <is>
          <t>OcchiAperti</t>
        </is>
      </c>
      <c r="E48" s="14" t="inlineStr">
        <is>
          <t>Dagli 11 anni</t>
        </is>
      </c>
      <c r="F48" s="14" t="inlineStr">
        <is>
          <t>Scuola media (11-13)</t>
        </is>
      </c>
      <c r="G48" s="14" t="inlineStr">
        <is>
          <t>Narrativa</t>
        </is>
      </c>
      <c r="H48" s="14" t="inlineStr"/>
      <c r="I48" s="14" t="inlineStr">
        <is>
          <t>No</t>
        </is>
      </c>
      <c r="J48" s="14" t="inlineStr">
        <is>
          <t>Catalogo</t>
        </is>
      </c>
      <c r="K48" s="14" t="inlineStr">
        <is>
          <t>prima/seconda/terza media, narrativa</t>
        </is>
      </c>
      <c r="L48" s="14" t="inlineStr">
        <is>
          <t>Catalogo Pelledoca 2025 (ISBN 9788832790290)</t>
        </is>
      </c>
      <c r="M48" s="16" t="n">
        <v>18</v>
      </c>
      <c r="N48" s="14" t="inlineStr">
        <is>
          <t>Catalogo Pelledoca 2025</t>
        </is>
      </c>
      <c r="O48" s="16">
        <f>IF(ISNUMBER(M48),ROUND(M48*(1-Condizioni!$B$2),2),"")</f>
        <v/>
      </c>
      <c r="P48" s="17" t="inlineStr">
        <is>
          <t>No</t>
        </is>
      </c>
    </row>
    <row r="49">
      <c r="A49" s="14" t="inlineStr">
        <is>
          <t>Pelledoca</t>
        </is>
      </c>
      <c r="B49" s="14" t="inlineStr">
        <is>
          <t>Ari e il Maestro di Veleni</t>
        </is>
      </c>
      <c r="C49" s="14" t="inlineStr">
        <is>
          <t>Paolo Roversi; ill. Andrea Franchini</t>
        </is>
      </c>
      <c r="D49" s="14" t="inlineStr">
        <is>
          <t>OcchiAperti</t>
        </is>
      </c>
      <c r="E49" s="14" t="inlineStr">
        <is>
          <t>Dagli 11 anni</t>
        </is>
      </c>
      <c r="F49" s="14" t="inlineStr">
        <is>
          <t>Scuola media (11-13)</t>
        </is>
      </c>
      <c r="G49" s="14" t="inlineStr">
        <is>
          <t>Narrativa</t>
        </is>
      </c>
      <c r="H49" s="14" t="inlineStr"/>
      <c r="I49" s="14" t="inlineStr">
        <is>
          <t>No</t>
        </is>
      </c>
      <c r="J49" s="14" t="inlineStr">
        <is>
          <t>Catalogo</t>
        </is>
      </c>
      <c r="K49" s="14" t="inlineStr">
        <is>
          <t>prima/seconda/terza media, narrativa</t>
        </is>
      </c>
      <c r="L49" s="14" t="inlineStr">
        <is>
          <t>Catalogo Pelledoca 2025 (ISBN 9788832790337)</t>
        </is>
      </c>
      <c r="M49" s="16" t="n">
        <v>18</v>
      </c>
      <c r="N49" s="14" t="inlineStr">
        <is>
          <t>Catalogo Pelledoca 2025</t>
        </is>
      </c>
      <c r="O49" s="16">
        <f>IF(ISNUMBER(M49),ROUND(M49*(1-Condizioni!$B$2),2),"")</f>
        <v/>
      </c>
      <c r="P49" s="17" t="inlineStr">
        <is>
          <t>No</t>
        </is>
      </c>
    </row>
    <row r="50">
      <c r="A50" s="14" t="inlineStr">
        <is>
          <t>Pelledoca</t>
        </is>
      </c>
      <c r="B50" s="14" t="inlineStr">
        <is>
          <t>Bambina d’Ombra</t>
        </is>
      </c>
      <c r="C50" s="14" t="inlineStr">
        <is>
          <t>Brian Freschi; ill. Giulia Pianiggiani</t>
        </is>
      </c>
      <c r="D50" s="14" t="inlineStr">
        <is>
          <t>OcchiAperti</t>
        </is>
      </c>
      <c r="E50" s="14" t="inlineStr">
        <is>
          <t>Dai 13 anni</t>
        </is>
      </c>
      <c r="F50" s="14" t="inlineStr">
        <is>
          <t>Scuola media (11-13)</t>
        </is>
      </c>
      <c r="G50" s="14" t="inlineStr">
        <is>
          <t>Narrativa</t>
        </is>
      </c>
      <c r="H50" s="14" t="inlineStr"/>
      <c r="I50" s="14" t="inlineStr">
        <is>
          <t>No</t>
        </is>
      </c>
      <c r="J50" s="14" t="inlineStr">
        <is>
          <t>Catalogo</t>
        </is>
      </c>
      <c r="K50" s="14" t="inlineStr">
        <is>
          <t>prima/seconda/terza media, narrativa</t>
        </is>
      </c>
      <c r="L50" s="14" t="inlineStr">
        <is>
          <t>Catalogo Pelledoca 2025 (ISBN 9788832791181)</t>
        </is>
      </c>
      <c r="M50" s="16" t="n">
        <v>18</v>
      </c>
      <c r="N50" s="14" t="inlineStr">
        <is>
          <t>Catalogo Pelledoca 2025</t>
        </is>
      </c>
      <c r="O50" s="16">
        <f>IF(ISNUMBER(M50),ROUND(M50*(1-Condizioni!$B$2),2),"")</f>
        <v/>
      </c>
      <c r="P50" s="17" t="inlineStr">
        <is>
          <t>Sì</t>
        </is>
      </c>
    </row>
    <row r="51">
      <c r="A51" s="14" t="inlineStr">
        <is>
          <t>Pelledoca</t>
        </is>
      </c>
      <c r="B51" s="14" t="inlineStr">
        <is>
          <t>Blu</t>
        </is>
      </c>
      <c r="C51" s="14" t="inlineStr">
        <is>
          <t>Beatrice Masini; ill. Virginia Mori</t>
        </is>
      </c>
      <c r="D51" s="14" t="inlineStr">
        <is>
          <t>OcchiAperti</t>
        </is>
      </c>
      <c r="E51" s="14" t="inlineStr">
        <is>
          <t>Dai 12 anni</t>
        </is>
      </c>
      <c r="F51" s="14" t="inlineStr">
        <is>
          <t>Scuola media (11-13)</t>
        </is>
      </c>
      <c r="G51" s="14" t="inlineStr">
        <is>
          <t>Narrativa</t>
        </is>
      </c>
      <c r="H51" s="14" t="inlineStr"/>
      <c r="I51" s="14" t="inlineStr">
        <is>
          <t>No</t>
        </is>
      </c>
      <c r="J51" s="14" t="inlineStr">
        <is>
          <t>Catalogo</t>
        </is>
      </c>
      <c r="K51" s="14" t="inlineStr">
        <is>
          <t>prima/seconda/terza media, narrativa</t>
        </is>
      </c>
      <c r="L51" s="14" t="inlineStr">
        <is>
          <t>Catalogo Pelledoca 2025 (ISBN 9788832790030)</t>
        </is>
      </c>
      <c r="M51" s="16" t="n">
        <v>18</v>
      </c>
      <c r="N51" s="14" t="inlineStr">
        <is>
          <t>Catalogo Pelledoca 2025</t>
        </is>
      </c>
      <c r="O51" s="16">
        <f>IF(ISNUMBER(M51),ROUND(M51*(1-Condizioni!$B$2),2),"")</f>
        <v/>
      </c>
      <c r="P51" s="17" t="inlineStr">
        <is>
          <t>No</t>
        </is>
      </c>
    </row>
    <row r="52">
      <c r="A52" s="14" t="inlineStr">
        <is>
          <t>Pelledoca</t>
        </is>
      </c>
      <c r="B52" s="14" t="inlineStr">
        <is>
          <t>Blue Tattoo</t>
        </is>
      </c>
      <c r="C52" s="14" t="inlineStr">
        <is>
          <t>Laura Orsolini</t>
        </is>
      </c>
      <c r="D52" s="14" t="inlineStr">
        <is>
          <t>NeroInchiostro</t>
        </is>
      </c>
      <c r="E52" s="14" t="inlineStr">
        <is>
          <t>Dai 13 anni</t>
        </is>
      </c>
      <c r="F52" s="14" t="inlineStr">
        <is>
          <t>Scuola media (11-13)</t>
        </is>
      </c>
      <c r="G52" s="14" t="inlineStr">
        <is>
          <t>Romanzo</t>
        </is>
      </c>
      <c r="H52" s="14" t="inlineStr"/>
      <c r="I52" s="14" t="inlineStr">
        <is>
          <t>No</t>
        </is>
      </c>
      <c r="J52" s="14" t="inlineStr">
        <is>
          <t>Catalogo</t>
        </is>
      </c>
      <c r="K52" s="14" t="inlineStr">
        <is>
          <t>prima/seconda/terza media, romanzo, narrativa</t>
        </is>
      </c>
      <c r="L52" s="14" t="inlineStr">
        <is>
          <t>Catalogo Pelledoca 2025 (ISBN 9788832791211)</t>
        </is>
      </c>
      <c r="M52" s="16" t="n">
        <v>16</v>
      </c>
      <c r="N52" s="14" t="inlineStr">
        <is>
          <t>Catalogo Pelledoca 2025</t>
        </is>
      </c>
      <c r="O52" s="16">
        <f>IF(ISNUMBER(M52),ROUND(M52*(1-Condizioni!$B$2),2),"")</f>
        <v/>
      </c>
      <c r="P52" s="17" t="inlineStr">
        <is>
          <t>No</t>
        </is>
      </c>
    </row>
    <row r="53">
      <c r="A53" s="14" t="inlineStr">
        <is>
          <t>Pelledoca</t>
        </is>
      </c>
      <c r="B53" s="14" t="inlineStr">
        <is>
          <t>Brucia la Strega</t>
        </is>
      </c>
      <c r="C53" s="14" t="inlineStr">
        <is>
          <t>Teo Benedetti</t>
        </is>
      </c>
      <c r="D53" s="14" t="inlineStr">
        <is>
          <t>NeroInchiostro</t>
        </is>
      </c>
      <c r="E53" s="14" t="inlineStr">
        <is>
          <t>Dagli 11 anni</t>
        </is>
      </c>
      <c r="F53" s="14" t="inlineStr">
        <is>
          <t>Scuola media (11-13)</t>
        </is>
      </c>
      <c r="G53" s="14" t="inlineStr">
        <is>
          <t>Romanzo</t>
        </is>
      </c>
      <c r="H53" s="14" t="inlineStr"/>
      <c r="I53" s="14" t="inlineStr">
        <is>
          <t>No</t>
        </is>
      </c>
      <c r="J53" s="14" t="inlineStr">
        <is>
          <t>Catalogo</t>
        </is>
      </c>
      <c r="K53" s="14" t="inlineStr">
        <is>
          <t>prima/seconda/terza media, romanzo, narrativa</t>
        </is>
      </c>
      <c r="L53" s="14" t="inlineStr">
        <is>
          <t>Catalogo Pelledoca 2025 (ISBN 9788832790689)</t>
        </is>
      </c>
      <c r="M53" s="16" t="n">
        <v>16</v>
      </c>
      <c r="N53" s="14" t="inlineStr">
        <is>
          <t>Catalogo Pelledoca 2025</t>
        </is>
      </c>
      <c r="O53" s="16">
        <f>IF(ISNUMBER(M53),ROUND(M53*(1-Condizioni!$B$2),2),"")</f>
        <v/>
      </c>
      <c r="P53" s="17" t="inlineStr">
        <is>
          <t>No</t>
        </is>
      </c>
    </row>
    <row r="54">
      <c r="A54" s="14" t="inlineStr">
        <is>
          <t>Pelledoca</t>
        </is>
      </c>
      <c r="B54" s="14" t="inlineStr">
        <is>
          <t>Cinque Giorni</t>
        </is>
      </c>
      <c r="C54" s="14" t="inlineStr">
        <is>
          <t>Lucia Giustini</t>
        </is>
      </c>
      <c r="D54" s="14" t="inlineStr">
        <is>
          <t>NeroInchiostro</t>
        </is>
      </c>
      <c r="E54" s="14" t="inlineStr">
        <is>
          <t>Dai 12 anni</t>
        </is>
      </c>
      <c r="F54" s="14" t="inlineStr">
        <is>
          <t>Scuola media (11-13)</t>
        </is>
      </c>
      <c r="G54" s="14" t="inlineStr">
        <is>
          <t>Romanzo</t>
        </is>
      </c>
      <c r="H54" s="14" t="inlineStr"/>
      <c r="I54" s="14" t="inlineStr">
        <is>
          <t>No</t>
        </is>
      </c>
      <c r="J54" s="14" t="inlineStr">
        <is>
          <t>Catalogo</t>
        </is>
      </c>
      <c r="K54" s="14" t="inlineStr">
        <is>
          <t>prima/seconda/terza media, romanzo, narrativa</t>
        </is>
      </c>
      <c r="L54" s="14" t="inlineStr">
        <is>
          <t>Catalogo Pelledoca 2025 (ISBN 9788832790726)</t>
        </is>
      </c>
      <c r="M54" s="16" t="n">
        <v>16</v>
      </c>
      <c r="N54" s="14" t="inlineStr">
        <is>
          <t>Catalogo Pelledoca 2025</t>
        </is>
      </c>
      <c r="O54" s="16">
        <f>IF(ISNUMBER(M54),ROUND(M54*(1-Condizioni!$B$2),2),"")</f>
        <v/>
      </c>
      <c r="P54" s="17" t="inlineStr">
        <is>
          <t>No</t>
        </is>
      </c>
    </row>
    <row r="55">
      <c r="A55" s="14" t="inlineStr">
        <is>
          <t>Pelledoca</t>
        </is>
      </c>
      <c r="B55" s="14" t="inlineStr">
        <is>
          <t>Comanda, Comanda, Comanda</t>
        </is>
      </c>
      <c r="C55" s="14" t="inlineStr">
        <is>
          <t>Teo Benedetti</t>
        </is>
      </c>
      <c r="D55" s="14" t="inlineStr">
        <is>
          <t>NeroInchiostro</t>
        </is>
      </c>
      <c r="E55" s="14" t="inlineStr">
        <is>
          <t>Dagli 11 anni</t>
        </is>
      </c>
      <c r="F55" s="14" t="inlineStr">
        <is>
          <t>Scuola media (11-13)</t>
        </is>
      </c>
      <c r="G55" s="14" t="inlineStr">
        <is>
          <t>Romanzo</t>
        </is>
      </c>
      <c r="H55" s="14" t="inlineStr"/>
      <c r="I55" s="14" t="inlineStr">
        <is>
          <t>No</t>
        </is>
      </c>
      <c r="J55" s="14" t="inlineStr">
        <is>
          <t>Catalogo</t>
        </is>
      </c>
      <c r="K55" s="14" t="inlineStr">
        <is>
          <t>prima/seconda/terza media, romanzo, narrativa</t>
        </is>
      </c>
      <c r="L55" s="14" t="inlineStr">
        <is>
          <t>Catalogo Pelledoca 2025 (ISBN 9788832791204)</t>
        </is>
      </c>
      <c r="M55" s="16" t="n">
        <v>16</v>
      </c>
      <c r="N55" s="14" t="inlineStr">
        <is>
          <t>Catalogo Pelledoca 2025</t>
        </is>
      </c>
      <c r="O55" s="16">
        <f>IF(ISNUMBER(M55),ROUND(M55*(1-Condizioni!$B$2),2),"")</f>
        <v/>
      </c>
      <c r="P55" s="17" t="inlineStr">
        <is>
          <t>No</t>
        </is>
      </c>
    </row>
    <row r="56">
      <c r="A56" s="14" t="inlineStr">
        <is>
          <t>Pelledoca</t>
        </is>
      </c>
      <c r="B56" s="14" t="inlineStr">
        <is>
          <t>Complici del Vento</t>
        </is>
      </c>
      <c r="C56" s="14" t="inlineStr">
        <is>
          <t>Otto Gabos; ill. Otto Gabos</t>
        </is>
      </c>
      <c r="D56" s="14" t="inlineStr">
        <is>
          <t>OcchiAperti</t>
        </is>
      </c>
      <c r="E56" s="14" t="inlineStr">
        <is>
          <t>Dagli 11 anni</t>
        </is>
      </c>
      <c r="F56" s="14" t="inlineStr">
        <is>
          <t>Scuola media (11-13)</t>
        </is>
      </c>
      <c r="G56" s="14" t="inlineStr">
        <is>
          <t>Narrativa</t>
        </is>
      </c>
      <c r="H56" s="14" t="inlineStr"/>
      <c r="I56" s="14" t="inlineStr">
        <is>
          <t>No</t>
        </is>
      </c>
      <c r="J56" s="14" t="inlineStr">
        <is>
          <t>Catalogo</t>
        </is>
      </c>
      <c r="K56" s="14" t="inlineStr">
        <is>
          <t>prima/seconda/terza media, narrativa</t>
        </is>
      </c>
      <c r="L56" s="14" t="inlineStr">
        <is>
          <t>Catalogo Pelledoca 2025 (ISBN 9788832790108)</t>
        </is>
      </c>
      <c r="M56" s="16" t="n">
        <v>18</v>
      </c>
      <c r="N56" s="14" t="inlineStr">
        <is>
          <t>Catalogo Pelledoca 2025</t>
        </is>
      </c>
      <c r="O56" s="16">
        <f>IF(ISNUMBER(M56),ROUND(M56*(1-Condizioni!$B$2),2),"")</f>
        <v/>
      </c>
      <c r="P56" s="17" t="inlineStr">
        <is>
          <t>No</t>
        </is>
      </c>
    </row>
    <row r="57">
      <c r="A57" s="14" t="inlineStr">
        <is>
          <t>Pelledoca</t>
        </is>
      </c>
      <c r="B57" s="14" t="inlineStr">
        <is>
          <t>Cuore d’Animale</t>
        </is>
      </c>
      <c r="C57" s="14" t="inlineStr">
        <is>
          <t>Davide Sarti</t>
        </is>
      </c>
      <c r="D57" s="14" t="inlineStr">
        <is>
          <t>NeroInchiostro</t>
        </is>
      </c>
      <c r="E57" s="14" t="inlineStr">
        <is>
          <t>Dagli 11 anni</t>
        </is>
      </c>
      <c r="F57" s="14" t="inlineStr">
        <is>
          <t>Scuola media (11-13)</t>
        </is>
      </c>
      <c r="G57" s="14" t="inlineStr">
        <is>
          <t>Romanzo</t>
        </is>
      </c>
      <c r="H57" s="14" t="inlineStr"/>
      <c r="I57" s="14" t="inlineStr">
        <is>
          <t>No</t>
        </is>
      </c>
      <c r="J57" s="14" t="inlineStr">
        <is>
          <t>Catalogo</t>
        </is>
      </c>
      <c r="K57" s="14" t="inlineStr">
        <is>
          <t>prima/seconda/terza media, romanzo, narrativa</t>
        </is>
      </c>
      <c r="L57" s="14" t="inlineStr">
        <is>
          <t>Catalogo Pelledoca 2025 (ISBN 9788832790658)</t>
        </is>
      </c>
      <c r="M57" s="16" t="n">
        <v>16</v>
      </c>
      <c r="N57" s="14" t="inlineStr">
        <is>
          <t>Catalogo Pelledoca 2025</t>
        </is>
      </c>
      <c r="O57" s="16">
        <f>IF(ISNUMBER(M57),ROUND(M57*(1-Condizioni!$B$2),2),"")</f>
        <v/>
      </c>
      <c r="P57" s="17" t="inlineStr">
        <is>
          <t>No</t>
        </is>
      </c>
    </row>
    <row r="58">
      <c r="A58" s="14" t="inlineStr">
        <is>
          <t>Pelledoca</t>
        </is>
      </c>
      <c r="B58" s="14" t="inlineStr">
        <is>
          <t>Dark Web</t>
        </is>
      </c>
      <c r="C58" s="14" t="inlineStr">
        <is>
          <t>Sara Magnoli</t>
        </is>
      </c>
      <c r="D58" s="14" t="inlineStr">
        <is>
          <t>NeroInchiostro</t>
        </is>
      </c>
      <c r="E58" s="14" t="inlineStr">
        <is>
          <t>Dai 12 anni</t>
        </is>
      </c>
      <c r="F58" s="14" t="inlineStr">
        <is>
          <t>Scuola media (11-13)</t>
        </is>
      </c>
      <c r="G58" s="14" t="inlineStr">
        <is>
          <t>Romanzo</t>
        </is>
      </c>
      <c r="H58" s="14" t="inlineStr">
        <is>
          <t>Social network e influencer</t>
        </is>
      </c>
      <c r="I58" s="14" t="inlineStr">
        <is>
          <t>No</t>
        </is>
      </c>
      <c r="J58" s="14" t="inlineStr">
        <is>
          <t>Catalogo</t>
        </is>
      </c>
      <c r="K58" s="14" t="inlineStr">
        <is>
          <t>prima/seconda/terza media, romanzo, narrativa</t>
        </is>
      </c>
      <c r="L58" s="14" t="inlineStr">
        <is>
          <t>Catalogo Pelledoca 2025 (ISBN 9788832790207)</t>
        </is>
      </c>
      <c r="M58" s="16" t="n">
        <v>16</v>
      </c>
      <c r="N58" s="14" t="inlineStr">
        <is>
          <t>Catalogo Pelledoca 2025</t>
        </is>
      </c>
      <c r="O58" s="16">
        <f>IF(ISNUMBER(M58),ROUND(M58*(1-Condizioni!$B$2),2),"")</f>
        <v/>
      </c>
      <c r="P58" s="17" t="inlineStr">
        <is>
          <t>Sì</t>
        </is>
      </c>
    </row>
    <row r="59">
      <c r="A59" s="14" t="inlineStr">
        <is>
          <t>Pelledoca</t>
        </is>
      </c>
      <c r="B59" s="14" t="inlineStr">
        <is>
          <t>Doppia Indagine per Morte Sospetta</t>
        </is>
      </c>
      <c r="C59" s="14" t="inlineStr">
        <is>
          <t>David Moitet</t>
        </is>
      </c>
      <c r="D59" s="14" t="inlineStr">
        <is>
          <t>NeroInchiostro</t>
        </is>
      </c>
      <c r="E59" s="14" t="inlineStr">
        <is>
          <t>Dagli 11 anni</t>
        </is>
      </c>
      <c r="F59" s="14" t="inlineStr">
        <is>
          <t>Scuola media (11-13)</t>
        </is>
      </c>
      <c r="G59" s="14" t="inlineStr">
        <is>
          <t>Romanzo</t>
        </is>
      </c>
      <c r="H59" s="14" t="inlineStr"/>
      <c r="I59" s="14" t="inlineStr">
        <is>
          <t>No</t>
        </is>
      </c>
      <c r="J59" s="14" t="inlineStr">
        <is>
          <t>Catalogo</t>
        </is>
      </c>
      <c r="K59" s="14" t="inlineStr">
        <is>
          <t>prima/seconda/terza media, romanzo, narrativa</t>
        </is>
      </c>
      <c r="L59" s="14" t="inlineStr">
        <is>
          <t>Catalogo Pelledoca 2025 (ISBN 9788832791129)</t>
        </is>
      </c>
      <c r="M59" s="16" t="n">
        <v>16</v>
      </c>
      <c r="N59" s="14" t="inlineStr">
        <is>
          <t>Catalogo Pelledoca 2025</t>
        </is>
      </c>
      <c r="O59" s="16">
        <f>IF(ISNUMBER(M59),ROUND(M59*(1-Condizioni!$B$2),2),"")</f>
        <v/>
      </c>
      <c r="P59" s="17" t="inlineStr">
        <is>
          <t>No</t>
        </is>
      </c>
    </row>
    <row r="60">
      <c r="A60" s="14" t="inlineStr">
        <is>
          <t>Pelledoca</t>
        </is>
      </c>
      <c r="B60" s="14" t="inlineStr">
        <is>
          <t>Dove Abitano i Mostri</t>
        </is>
      </c>
      <c r="C60" s="14" t="inlineStr">
        <is>
          <t>Benedetta Bonfiglioli</t>
        </is>
      </c>
      <c r="D60" s="14" t="inlineStr">
        <is>
          <t>NeroInchiostro</t>
        </is>
      </c>
      <c r="E60" s="14" t="inlineStr">
        <is>
          <t>Dai 13 anni</t>
        </is>
      </c>
      <c r="F60" s="14" t="inlineStr">
        <is>
          <t>Scuola media (11-13)</t>
        </is>
      </c>
      <c r="G60" s="14" t="inlineStr">
        <is>
          <t>Romanzo</t>
        </is>
      </c>
      <c r="H60" s="14" t="inlineStr"/>
      <c r="I60" s="14" t="inlineStr">
        <is>
          <t>No</t>
        </is>
      </c>
      <c r="J60" s="14" t="inlineStr">
        <is>
          <t>Catalogo</t>
        </is>
      </c>
      <c r="K60" s="14" t="inlineStr">
        <is>
          <t>prima/seconda/terza media, romanzo, narrativa</t>
        </is>
      </c>
      <c r="L60" s="14" t="inlineStr">
        <is>
          <t>Catalogo Pelledoca 2025 (ISBN 9788832790764)</t>
        </is>
      </c>
      <c r="M60" s="16" t="n">
        <v>16</v>
      </c>
      <c r="N60" s="14" t="inlineStr">
        <is>
          <t>Catalogo Pelledoca 2025</t>
        </is>
      </c>
      <c r="O60" s="16">
        <f>IF(ISNUMBER(M60),ROUND(M60*(1-Condizioni!$B$2),2),"")</f>
        <v/>
      </c>
      <c r="P60" s="17" t="inlineStr">
        <is>
          <t>No</t>
        </is>
      </c>
    </row>
    <row r="61">
      <c r="A61" s="14" t="inlineStr">
        <is>
          <t>Pelledoca</t>
        </is>
      </c>
      <c r="B61" s="14" t="inlineStr">
        <is>
          <t>Fino a Vedere il Mare</t>
        </is>
      </c>
      <c r="C61" s="14" t="inlineStr">
        <is>
          <t>Milvia</t>
        </is>
      </c>
      <c r="D61" s="14" t="inlineStr">
        <is>
          <t>NeroInchiostro</t>
        </is>
      </c>
      <c r="E61" s="14" t="inlineStr">
        <is>
          <t>Dai 12 anni</t>
        </is>
      </c>
      <c r="F61" s="14" t="inlineStr">
        <is>
          <t>Scuola media (11-13)</t>
        </is>
      </c>
      <c r="G61" s="14" t="inlineStr">
        <is>
          <t>Romanzo</t>
        </is>
      </c>
      <c r="H61" s="14" t="inlineStr"/>
      <c r="I61" s="14" t="inlineStr">
        <is>
          <t>No</t>
        </is>
      </c>
      <c r="J61" s="14" t="inlineStr">
        <is>
          <t>Catalogo</t>
        </is>
      </c>
      <c r="K61" s="14" t="inlineStr">
        <is>
          <t>prima/seconda/terza media, romanzo, narrativa</t>
        </is>
      </c>
      <c r="L61" s="14" t="inlineStr">
        <is>
          <t>Catalogo Pelledoca 2025 (ISBN 9788832790481)</t>
        </is>
      </c>
      <c r="M61" s="16" t="n">
        <v>16</v>
      </c>
      <c r="N61" s="14" t="inlineStr">
        <is>
          <t>Catalogo Pelledoca 2025</t>
        </is>
      </c>
      <c r="O61" s="16">
        <f>IF(ISNUMBER(M61),ROUND(M61*(1-Condizioni!$B$2),2),"")</f>
        <v/>
      </c>
      <c r="P61" s="17" t="inlineStr">
        <is>
          <t>No</t>
        </is>
      </c>
    </row>
    <row r="62">
      <c r="A62" s="14" t="inlineStr">
        <is>
          <t>Pelledoca</t>
        </is>
      </c>
      <c r="B62" s="14" t="inlineStr">
        <is>
          <t>Fiori Mortali</t>
        </is>
      </c>
      <c r="C62" s="14" t="inlineStr">
        <is>
          <t>Cristina Brambilla; ill. Francesco</t>
        </is>
      </c>
      <c r="D62" s="14" t="inlineStr">
        <is>
          <t>OcchiAperti</t>
        </is>
      </c>
      <c r="E62" s="14" t="inlineStr">
        <is>
          <t>Dagli 11 anni</t>
        </is>
      </c>
      <c r="F62" s="14" t="inlineStr">
        <is>
          <t>Scuola media (11-13)</t>
        </is>
      </c>
      <c r="G62" s="14" t="inlineStr">
        <is>
          <t>Narrativa</t>
        </is>
      </c>
      <c r="H62" s="14" t="inlineStr"/>
      <c r="I62" s="14" t="inlineStr">
        <is>
          <t>No</t>
        </is>
      </c>
      <c r="J62" s="14" t="inlineStr">
        <is>
          <t>Catalogo</t>
        </is>
      </c>
      <c r="K62" s="14" t="inlineStr">
        <is>
          <t>prima/seconda/terza media, narrativa</t>
        </is>
      </c>
      <c r="L62" s="14" t="inlineStr">
        <is>
          <t>Catalogo Pelledoca 2025 (ISBN 9788832790627)</t>
        </is>
      </c>
      <c r="M62" s="16" t="n">
        <v>18</v>
      </c>
      <c r="N62" s="14" t="inlineStr">
        <is>
          <t>Catalogo Pelledoca 2025</t>
        </is>
      </c>
      <c r="O62" s="16">
        <f>IF(ISNUMBER(M62),ROUND(M62*(1-Condizioni!$B$2),2),"")</f>
        <v/>
      </c>
      <c r="P62" s="17" t="inlineStr">
        <is>
          <t>No</t>
        </is>
      </c>
    </row>
    <row r="63">
      <c r="A63" s="14" t="inlineStr">
        <is>
          <t>Pelledoca</t>
        </is>
      </c>
      <c r="B63" s="14" t="inlineStr">
        <is>
          <t>Frammenti di Oscurità</t>
        </is>
      </c>
      <c r="C63" s="14" t="inlineStr">
        <is>
          <t>Stefano Cornago</t>
        </is>
      </c>
      <c r="D63" s="14" t="inlineStr">
        <is>
          <t>NeroInchiostro</t>
        </is>
      </c>
      <c r="E63" s="14" t="inlineStr">
        <is>
          <t>Dai 12 anni</t>
        </is>
      </c>
      <c r="F63" s="14" t="inlineStr">
        <is>
          <t>Scuola media (11-13)</t>
        </is>
      </c>
      <c r="G63" s="14" t="inlineStr">
        <is>
          <t>Romanzo</t>
        </is>
      </c>
      <c r="H63" s="14" t="inlineStr"/>
      <c r="I63" s="14" t="inlineStr">
        <is>
          <t>No</t>
        </is>
      </c>
      <c r="J63" s="14" t="inlineStr">
        <is>
          <t>Catalogo</t>
        </is>
      </c>
      <c r="K63" s="14" t="inlineStr">
        <is>
          <t>prima/seconda/terza media, romanzo, narrativa</t>
        </is>
      </c>
      <c r="L63" s="14" t="inlineStr">
        <is>
          <t>Catalogo Pelledoca 2025 (ISBN 9788832790900)</t>
        </is>
      </c>
      <c r="M63" s="16" t="n">
        <v>16</v>
      </c>
      <c r="N63" s="14" t="inlineStr">
        <is>
          <t>Catalogo Pelledoca 2025</t>
        </is>
      </c>
      <c r="O63" s="16">
        <f>IF(ISNUMBER(M63),ROUND(M63*(1-Condizioni!$B$2),2),"")</f>
        <v/>
      </c>
      <c r="P63" s="17" t="inlineStr">
        <is>
          <t>No</t>
        </is>
      </c>
    </row>
    <row r="64">
      <c r="A64" s="14" t="inlineStr">
        <is>
          <t>Pelledoca</t>
        </is>
      </c>
      <c r="B64" s="14" t="inlineStr">
        <is>
          <t>Fuori Dal Branco</t>
        </is>
      </c>
      <c r="C64" s="14" t="inlineStr">
        <is>
          <t>Sara Magnoli</t>
        </is>
      </c>
      <c r="D64" s="14" t="inlineStr">
        <is>
          <t>NeroInchiostro</t>
        </is>
      </c>
      <c r="E64" s="14" t="inlineStr">
        <is>
          <t>Dai 12 anni</t>
        </is>
      </c>
      <c r="F64" s="14" t="inlineStr">
        <is>
          <t>Scuola media (11-13)</t>
        </is>
      </c>
      <c r="G64" s="14" t="inlineStr">
        <is>
          <t>Romanzo</t>
        </is>
      </c>
      <c r="H64" s="14" t="inlineStr">
        <is>
          <t>Baby gang e pressione del gruppo</t>
        </is>
      </c>
      <c r="I64" s="14" t="inlineStr">
        <is>
          <t>No</t>
        </is>
      </c>
      <c r="J64" s="14" t="inlineStr">
        <is>
          <t>Catalogo</t>
        </is>
      </c>
      <c r="K64" s="14" t="inlineStr">
        <is>
          <t>prima/seconda/terza media, romanzo, narrativa</t>
        </is>
      </c>
      <c r="L64" s="14" t="inlineStr">
        <is>
          <t>Catalogo Pelledoca 2025 (ISBN 9788832790450)</t>
        </is>
      </c>
      <c r="M64" s="16" t="n">
        <v>16</v>
      </c>
      <c r="N64" s="14" t="inlineStr">
        <is>
          <t>Catalogo Pelledoca 2025</t>
        </is>
      </c>
      <c r="O64" s="16">
        <f>IF(ISNUMBER(M64),ROUND(M64*(1-Condizioni!$B$2),2),"")</f>
        <v/>
      </c>
      <c r="P64" s="17" t="inlineStr">
        <is>
          <t>Sì</t>
        </is>
      </c>
    </row>
    <row r="65">
      <c r="A65" s="14" t="inlineStr">
        <is>
          <t>Pelledoca</t>
        </is>
      </c>
      <c r="B65" s="14" t="inlineStr">
        <is>
          <t>I Bambini di Baltimore House</t>
        </is>
      </c>
      <c r="C65" s="14" t="inlineStr">
        <is>
          <t>Davide Calì; ill. Riccardo Renzi</t>
        </is>
      </c>
      <c r="D65" s="14" t="inlineStr">
        <is>
          <t>OcchiAperti</t>
        </is>
      </c>
      <c r="E65" s="14" t="inlineStr">
        <is>
          <t>Dai 12 anni</t>
        </is>
      </c>
      <c r="F65" s="14" t="inlineStr">
        <is>
          <t>Scuola media (11-13)</t>
        </is>
      </c>
      <c r="G65" s="14" t="inlineStr">
        <is>
          <t>Narrativa</t>
        </is>
      </c>
      <c r="H65" s="14" t="inlineStr"/>
      <c r="I65" s="14" t="inlineStr">
        <is>
          <t>No</t>
        </is>
      </c>
      <c r="J65" s="14" t="inlineStr">
        <is>
          <t>Catalogo</t>
        </is>
      </c>
      <c r="K65" s="14" t="inlineStr">
        <is>
          <t>prima/seconda/terza media, narrativa</t>
        </is>
      </c>
      <c r="L65" s="14" t="inlineStr">
        <is>
          <t>Catalogo Pelledoca 2025 (ISBN 9788832790313)</t>
        </is>
      </c>
      <c r="M65" s="16" t="n">
        <v>18</v>
      </c>
      <c r="N65" s="14" t="inlineStr">
        <is>
          <t>Catalogo Pelledoca 2025</t>
        </is>
      </c>
      <c r="O65" s="16">
        <f>IF(ISNUMBER(M65),ROUND(M65*(1-Condizioni!$B$2),2),"")</f>
        <v/>
      </c>
      <c r="P65" s="17" t="inlineStr">
        <is>
          <t>No</t>
        </is>
      </c>
    </row>
    <row r="66">
      <c r="A66" s="14" t="inlineStr">
        <is>
          <t>Pelledoca</t>
        </is>
      </c>
      <c r="B66" s="14" t="inlineStr">
        <is>
          <t>I Delitti delle Malebolge</t>
        </is>
      </c>
      <c r="C66" s="14" t="inlineStr">
        <is>
          <t>Antonino Fiore</t>
        </is>
      </c>
      <c r="D66" s="14" t="inlineStr">
        <is>
          <t>NeroInchiostro</t>
        </is>
      </c>
      <c r="E66" s="14" t="inlineStr">
        <is>
          <t>Dai 12 anni</t>
        </is>
      </c>
      <c r="F66" s="14" t="inlineStr">
        <is>
          <t>Scuola media (11-13)</t>
        </is>
      </c>
      <c r="G66" s="14" t="inlineStr">
        <is>
          <t>Romanzo</t>
        </is>
      </c>
      <c r="H66" s="14" t="inlineStr"/>
      <c r="I66" s="14" t="inlineStr">
        <is>
          <t>No</t>
        </is>
      </c>
      <c r="J66" s="14" t="inlineStr">
        <is>
          <t>Catalogo</t>
        </is>
      </c>
      <c r="K66" s="14" t="inlineStr">
        <is>
          <t>prima/seconda/terza media, romanzo, narrativa</t>
        </is>
      </c>
      <c r="L66" s="14" t="inlineStr">
        <is>
          <t>Catalogo Pelledoca 2025 (ISBN 9788832791310)</t>
        </is>
      </c>
      <c r="M66" s="16" t="n">
        <v>16</v>
      </c>
      <c r="N66" s="14" t="inlineStr">
        <is>
          <t>Catalogo Pelledoca 2025</t>
        </is>
      </c>
      <c r="O66" s="16">
        <f>IF(ISNUMBER(M66),ROUND(M66*(1-Condizioni!$B$2),2),"")</f>
        <v/>
      </c>
      <c r="P66" s="17" t="inlineStr">
        <is>
          <t>No</t>
        </is>
      </c>
    </row>
    <row r="67">
      <c r="A67" s="14" t="inlineStr">
        <is>
          <t>Pelledoca</t>
        </is>
      </c>
      <c r="B67" s="14" t="inlineStr">
        <is>
          <t>I Misteri del Circo Trepidini</t>
        </is>
      </c>
      <c r="C67" s="14" t="inlineStr">
        <is>
          <t>Chiara Lorenzoni; ill. Laura Re</t>
        </is>
      </c>
      <c r="D67" s="14" t="inlineStr">
        <is>
          <t>OcchiAperti</t>
        </is>
      </c>
      <c r="E67" s="14" t="inlineStr">
        <is>
          <t>Dagli 11 anni</t>
        </is>
      </c>
      <c r="F67" s="14" t="inlineStr">
        <is>
          <t>Scuola media (11-13)</t>
        </is>
      </c>
      <c r="G67" s="14" t="inlineStr">
        <is>
          <t>Narrativa</t>
        </is>
      </c>
      <c r="H67" s="14" t="inlineStr"/>
      <c r="I67" s="14" t="inlineStr">
        <is>
          <t>No</t>
        </is>
      </c>
      <c r="J67" s="14" t="inlineStr">
        <is>
          <t>Catalogo</t>
        </is>
      </c>
      <c r="K67" s="14" t="inlineStr">
        <is>
          <t>prima/seconda/terza media, narrativa</t>
        </is>
      </c>
      <c r="L67" s="14" t="inlineStr">
        <is>
          <t>Catalogo Pelledoca 2025 (ISBN 9788832790092)</t>
        </is>
      </c>
      <c r="M67" s="16" t="n">
        <v>18</v>
      </c>
      <c r="N67" s="14" t="inlineStr">
        <is>
          <t>Catalogo Pelledoca 2025</t>
        </is>
      </c>
      <c r="O67" s="16">
        <f>IF(ISNUMBER(M67),ROUND(M67*(1-Condizioni!$B$2),2),"")</f>
        <v/>
      </c>
      <c r="P67" s="17" t="inlineStr">
        <is>
          <t>No</t>
        </is>
      </c>
    </row>
    <row r="68">
      <c r="A68" s="14" t="inlineStr">
        <is>
          <t>Pelledoca</t>
        </is>
      </c>
      <c r="B68" s="14" t="inlineStr">
        <is>
          <t>I Misteri del Lago Nero</t>
        </is>
      </c>
      <c r="C68" s="14" t="inlineStr">
        <is>
          <t>Luca Occhi</t>
        </is>
      </c>
      <c r="D68" s="14" t="inlineStr">
        <is>
          <t>NeroInchiostro</t>
        </is>
      </c>
      <c r="E68" s="14" t="inlineStr">
        <is>
          <t>Dagli 11 anni</t>
        </is>
      </c>
      <c r="F68" s="14" t="inlineStr">
        <is>
          <t>Scuola media (11-13)</t>
        </is>
      </c>
      <c r="G68" s="14" t="inlineStr">
        <is>
          <t>Romanzo</t>
        </is>
      </c>
      <c r="H68" s="14" t="inlineStr"/>
      <c r="I68" s="14" t="inlineStr">
        <is>
          <t>No</t>
        </is>
      </c>
      <c r="J68" s="14" t="inlineStr">
        <is>
          <t>Catalogo</t>
        </is>
      </c>
      <c r="K68" s="14" t="inlineStr">
        <is>
          <t>prima/seconda/terza media, romanzo, narrativa</t>
        </is>
      </c>
      <c r="L68" s="14" t="inlineStr">
        <is>
          <t>Catalogo Pelledoca 2025 (ISBN 9788832790320)</t>
        </is>
      </c>
      <c r="M68" s="16" t="n">
        <v>16</v>
      </c>
      <c r="N68" s="14" t="inlineStr">
        <is>
          <t>Catalogo Pelledoca 2025</t>
        </is>
      </c>
      <c r="O68" s="16">
        <f>IF(ISNUMBER(M68),ROUND(M68*(1-Condizioni!$B$2),2),"")</f>
        <v/>
      </c>
      <c r="P68" s="17" t="inlineStr">
        <is>
          <t>No</t>
        </is>
      </c>
    </row>
    <row r="69">
      <c r="A69" s="14" t="inlineStr">
        <is>
          <t>Pelledoca</t>
        </is>
      </c>
      <c r="B69" s="14" t="inlineStr">
        <is>
          <t>I Ragazzi della Fossa</t>
        </is>
      </c>
      <c r="C69" s="14" t="inlineStr">
        <is>
          <t>Cristina Brambilla</t>
        </is>
      </c>
      <c r="D69" s="14" t="inlineStr">
        <is>
          <t>NeroInchiostro</t>
        </is>
      </c>
      <c r="E69" s="14" t="inlineStr">
        <is>
          <t>Dagli 11 anni</t>
        </is>
      </c>
      <c r="F69" s="14" t="inlineStr">
        <is>
          <t>Scuola media (11-13)</t>
        </is>
      </c>
      <c r="G69" s="14" t="inlineStr">
        <is>
          <t>Romanzo</t>
        </is>
      </c>
      <c r="H69" s="14" t="inlineStr"/>
      <c r="I69" s="14" t="inlineStr">
        <is>
          <t>No</t>
        </is>
      </c>
      <c r="J69" s="14" t="inlineStr">
        <is>
          <t>Catalogo</t>
        </is>
      </c>
      <c r="K69" s="14" t="inlineStr">
        <is>
          <t>prima/seconda/terza media, romanzo, narrativa</t>
        </is>
      </c>
      <c r="L69" s="14" t="inlineStr">
        <is>
          <t>Catalogo Pelledoca 2025 (ISBN 9788832790894)</t>
        </is>
      </c>
      <c r="M69" s="16" t="n">
        <v>16</v>
      </c>
      <c r="N69" s="14" t="inlineStr">
        <is>
          <t>Catalogo Pelledoca 2025</t>
        </is>
      </c>
      <c r="O69" s="16">
        <f>IF(ISNUMBER(M69),ROUND(M69*(1-Condizioni!$B$2),2),"")</f>
        <v/>
      </c>
      <c r="P69" s="17" t="inlineStr">
        <is>
          <t>No</t>
        </is>
      </c>
    </row>
    <row r="70">
      <c r="A70" s="14" t="inlineStr">
        <is>
          <t>Pelledoca</t>
        </is>
      </c>
      <c r="B70" s="14" t="inlineStr">
        <is>
          <t>Il Caso Elisa P.</t>
        </is>
      </c>
      <c r="C70" s="14" t="inlineStr">
        <is>
          <t>Chiara Cacco</t>
        </is>
      </c>
      <c r="D70" s="14" t="inlineStr">
        <is>
          <t>NeroInchiostro</t>
        </is>
      </c>
      <c r="E70" s="14" t="inlineStr">
        <is>
          <t>Dai 12 anni</t>
        </is>
      </c>
      <c r="F70" s="14" t="inlineStr">
        <is>
          <t>Scuola media (11-13)</t>
        </is>
      </c>
      <c r="G70" s="14" t="inlineStr">
        <is>
          <t>Romanzo</t>
        </is>
      </c>
      <c r="H70" s="14" t="inlineStr">
        <is>
          <t>Bullismo ed emarginazione</t>
        </is>
      </c>
      <c r="I70" s="14" t="inlineStr">
        <is>
          <t>No</t>
        </is>
      </c>
      <c r="J70" s="14" t="inlineStr">
        <is>
          <t>Catalogo</t>
        </is>
      </c>
      <c r="K70" s="14" t="inlineStr">
        <is>
          <t>prima/seconda/terza media, romanzo, narrativa, bullismo</t>
        </is>
      </c>
      <c r="L70" s="14" t="inlineStr">
        <is>
          <t>Catalogo Pelledoca 2025 (ISBN 9788832790863)</t>
        </is>
      </c>
      <c r="M70" s="16" t="n">
        <v>16</v>
      </c>
      <c r="N70" s="14" t="inlineStr">
        <is>
          <t>Catalogo Pelledoca 2025</t>
        </is>
      </c>
      <c r="O70" s="16">
        <f>IF(ISNUMBER(M70),ROUND(M70*(1-Condizioni!$B$2),2),"")</f>
        <v/>
      </c>
      <c r="P70" s="17" t="inlineStr">
        <is>
          <t>Sì</t>
        </is>
      </c>
    </row>
    <row r="71">
      <c r="A71" s="14" t="inlineStr">
        <is>
          <t>Pelledoca</t>
        </is>
      </c>
      <c r="B71" s="14" t="inlineStr">
        <is>
          <t>Il Cuore in Guerra</t>
        </is>
      </c>
      <c r="C71" s="14" t="inlineStr">
        <is>
          <t>Sara Magnoli; ill. Riccardo Ambrosi</t>
        </is>
      </c>
      <c r="D71" s="14" t="inlineStr">
        <is>
          <t>OcchiAperti</t>
        </is>
      </c>
      <c r="E71" s="14" t="inlineStr">
        <is>
          <t>Dai 12 anni</t>
        </is>
      </c>
      <c r="F71" s="14" t="inlineStr">
        <is>
          <t>Scuola media (11-13)</t>
        </is>
      </c>
      <c r="G71" s="14" t="inlineStr">
        <is>
          <t>Narrativa</t>
        </is>
      </c>
      <c r="H71" s="14" t="inlineStr"/>
      <c r="I71" s="14" t="inlineStr">
        <is>
          <t>No</t>
        </is>
      </c>
      <c r="J71" s="14" t="inlineStr">
        <is>
          <t>Catalogo</t>
        </is>
      </c>
      <c r="K71" s="14" t="inlineStr">
        <is>
          <t>prima/seconda/terza media, narrativa</t>
        </is>
      </c>
      <c r="L71" s="14" t="inlineStr">
        <is>
          <t>Catalogo Pelledoca 2025 (ISBN 9788832790818)</t>
        </is>
      </c>
      <c r="M71" s="16" t="n">
        <v>18</v>
      </c>
      <c r="N71" s="14" t="inlineStr">
        <is>
          <t>Catalogo Pelledoca 2025</t>
        </is>
      </c>
      <c r="O71" s="16">
        <f>IF(ISNUMBER(M71),ROUND(M71*(1-Condizioni!$B$2),2),"")</f>
        <v/>
      </c>
      <c r="P71" s="17" t="inlineStr">
        <is>
          <t>No</t>
        </is>
      </c>
    </row>
    <row r="72">
      <c r="A72" s="14" t="inlineStr">
        <is>
          <t>Pelledoca</t>
        </is>
      </c>
      <c r="B72" s="14" t="inlineStr">
        <is>
          <t>Il Gemello Maledetto</t>
        </is>
      </c>
      <c r="C72" s="14" t="inlineStr">
        <is>
          <t>Fulvia Degl'Innocenti</t>
        </is>
      </c>
      <c r="D72" s="14" t="inlineStr">
        <is>
          <t>NeroInchiostro</t>
        </is>
      </c>
      <c r="E72" s="14" t="inlineStr">
        <is>
          <t>Dagli 11 anni</t>
        </is>
      </c>
      <c r="F72" s="14" t="inlineStr">
        <is>
          <t>Scuola media (11-13)</t>
        </is>
      </c>
      <c r="G72" s="14" t="inlineStr">
        <is>
          <t>Romanzo</t>
        </is>
      </c>
      <c r="H72" s="14" t="inlineStr">
        <is>
          <t>Affido</t>
        </is>
      </c>
      <c r="I72" s="14" t="inlineStr">
        <is>
          <t>No</t>
        </is>
      </c>
      <c r="J72" s="14" t="inlineStr">
        <is>
          <t>Catalogo</t>
        </is>
      </c>
      <c r="K72" s="14" t="inlineStr">
        <is>
          <t>prima/seconda/terza media, romanzo, narrativa</t>
        </is>
      </c>
      <c r="L72" s="14" t="inlineStr">
        <is>
          <t>Catalogo Pelledoca 2025 (ISBN 9788832790535)</t>
        </is>
      </c>
      <c r="M72" s="16" t="n">
        <v>16</v>
      </c>
      <c r="N72" s="14" t="inlineStr">
        <is>
          <t>Catalogo Pelledoca 2025</t>
        </is>
      </c>
      <c r="O72" s="16">
        <f>IF(ISNUMBER(M72),ROUND(M72*(1-Condizioni!$B$2),2),"")</f>
        <v/>
      </c>
      <c r="P72" s="17" t="inlineStr">
        <is>
          <t>No</t>
        </is>
      </c>
    </row>
    <row r="73">
      <c r="A73" s="14" t="inlineStr">
        <is>
          <t>Pelledoca</t>
        </is>
      </c>
      <c r="B73" s="14" t="inlineStr">
        <is>
          <t>Il Gioco della Paura</t>
        </is>
      </c>
      <c r="C73" s="14" t="inlineStr">
        <is>
          <t>Maren Stoffels; trad. Anna Becchi</t>
        </is>
      </c>
      <c r="D73" s="14" t="inlineStr">
        <is>
          <t>NeroInchiostro</t>
        </is>
      </c>
      <c r="E73" s="14" t="inlineStr">
        <is>
          <t>Dai 13 anni</t>
        </is>
      </c>
      <c r="F73" s="14" t="inlineStr">
        <is>
          <t>Scuola media (11-13)</t>
        </is>
      </c>
      <c r="G73" s="14" t="inlineStr">
        <is>
          <t>Romanzo</t>
        </is>
      </c>
      <c r="H73" s="14" t="inlineStr"/>
      <c r="I73" s="14" t="inlineStr">
        <is>
          <t>No</t>
        </is>
      </c>
      <c r="J73" s="14" t="inlineStr">
        <is>
          <t>Catalogo</t>
        </is>
      </c>
      <c r="K73" s="14" t="inlineStr">
        <is>
          <t>prima/seconda/terza media, romanzo, narrativa</t>
        </is>
      </c>
      <c r="L73" s="14" t="inlineStr">
        <is>
          <t>Catalogo Pelledoca 2025 (ISBN 9788832790177)</t>
        </is>
      </c>
      <c r="M73" s="16" t="n">
        <v>16</v>
      </c>
      <c r="N73" s="14" t="inlineStr">
        <is>
          <t>Catalogo Pelledoca 2025</t>
        </is>
      </c>
      <c r="O73" s="16">
        <f>IF(ISNUMBER(M73),ROUND(M73*(1-Condizioni!$B$2),2),"")</f>
        <v/>
      </c>
      <c r="P73" s="17" t="inlineStr">
        <is>
          <t>No</t>
        </is>
      </c>
    </row>
    <row r="74">
      <c r="A74" s="14" t="inlineStr">
        <is>
          <t>Pelledoca</t>
        </is>
      </c>
      <c r="B74" s="14" t="inlineStr">
        <is>
          <t>Il Libro dei Morti</t>
        </is>
      </c>
      <c r="C74" s="14" t="inlineStr">
        <is>
          <t>Annalisa Strada</t>
        </is>
      </c>
      <c r="D74" s="14" t="inlineStr">
        <is>
          <t>NeroInchiostro</t>
        </is>
      </c>
      <c r="E74" s="14" t="inlineStr">
        <is>
          <t>Dai 12 anni</t>
        </is>
      </c>
      <c r="F74" s="14" t="inlineStr">
        <is>
          <t>Scuola media (11-13)</t>
        </is>
      </c>
      <c r="G74" s="14" t="inlineStr">
        <is>
          <t>Romanzo</t>
        </is>
      </c>
      <c r="H74" s="14" t="inlineStr"/>
      <c r="I74" s="14" t="inlineStr">
        <is>
          <t>No</t>
        </is>
      </c>
      <c r="J74" s="14" t="inlineStr">
        <is>
          <t>Catalogo</t>
        </is>
      </c>
      <c r="K74" s="14" t="inlineStr">
        <is>
          <t>prima/seconda/terza media, romanzo, narrativa</t>
        </is>
      </c>
      <c r="L74" s="14" t="inlineStr">
        <is>
          <t>Catalogo Pelledoca 2025 (ISBN 9788832790382)</t>
        </is>
      </c>
      <c r="M74" s="16" t="n">
        <v>16</v>
      </c>
      <c r="N74" s="14" t="inlineStr">
        <is>
          <t>Catalogo Pelledoca 2025</t>
        </is>
      </c>
      <c r="O74" s="16">
        <f>IF(ISNUMBER(M74),ROUND(M74*(1-Condizioni!$B$2),2),"")</f>
        <v/>
      </c>
      <c r="P74" s="17" t="inlineStr">
        <is>
          <t>No</t>
        </is>
      </c>
    </row>
    <row r="75">
      <c r="A75" s="14" t="inlineStr">
        <is>
          <t>Pelledoca</t>
        </is>
      </c>
      <c r="B75" s="14" t="inlineStr">
        <is>
          <t>Il Mistero delle Stelle Scomparse</t>
        </is>
      </c>
      <c r="C75" s="14" t="inlineStr">
        <is>
          <t>Luca Occhi</t>
        </is>
      </c>
      <c r="D75" s="14" t="inlineStr">
        <is>
          <t>NeroInchiostro</t>
        </is>
      </c>
      <c r="E75" s="14" t="inlineStr">
        <is>
          <t>Dagli 11 anni</t>
        </is>
      </c>
      <c r="F75" s="14" t="inlineStr">
        <is>
          <t>Scuola media (11-13)</t>
        </is>
      </c>
      <c r="G75" s="14" t="inlineStr">
        <is>
          <t>Romanzo</t>
        </is>
      </c>
      <c r="H75" s="14" t="inlineStr"/>
      <c r="I75" s="14" t="inlineStr">
        <is>
          <t>No</t>
        </is>
      </c>
      <c r="J75" s="14" t="inlineStr">
        <is>
          <t>Catalogo</t>
        </is>
      </c>
      <c r="K75" s="14" t="inlineStr">
        <is>
          <t>prima/seconda/terza media, romanzo, narrativa</t>
        </is>
      </c>
      <c r="L75" s="14" t="inlineStr">
        <is>
          <t>Catalogo Pelledoca 2025 (ISBN 9788832791228)</t>
        </is>
      </c>
      <c r="M75" s="16" t="n">
        <v>16</v>
      </c>
      <c r="N75" s="14" t="inlineStr">
        <is>
          <t>Catalogo Pelledoca 2025</t>
        </is>
      </c>
      <c r="O75" s="16">
        <f>IF(ISNUMBER(M75),ROUND(M75*(1-Condizioni!$B$2),2),"")</f>
        <v/>
      </c>
      <c r="P75" s="17" t="inlineStr">
        <is>
          <t>No</t>
        </is>
      </c>
    </row>
    <row r="76">
      <c r="A76" s="14" t="inlineStr">
        <is>
          <t>Pelledoca</t>
        </is>
      </c>
      <c r="B76" s="14" t="inlineStr">
        <is>
          <t>Il Racconto di Dracula</t>
        </is>
      </c>
      <c r="C76" s="14" t="inlineStr">
        <is>
          <t>Serenella Quarello; ill. Fabiana Bocchi</t>
        </is>
      </c>
      <c r="D76" s="14" t="inlineStr">
        <is>
          <t>OcchiAperti</t>
        </is>
      </c>
      <c r="E76" s="14" t="inlineStr">
        <is>
          <t>Dai 12 anni</t>
        </is>
      </c>
      <c r="F76" s="14" t="inlineStr">
        <is>
          <t>Scuola media (11-13)</t>
        </is>
      </c>
      <c r="G76" s="14" t="inlineStr">
        <is>
          <t>Narrativa</t>
        </is>
      </c>
      <c r="H76" s="14" t="inlineStr"/>
      <c r="I76" s="14" t="inlineStr">
        <is>
          <t>No</t>
        </is>
      </c>
      <c r="J76" s="14" t="inlineStr">
        <is>
          <t>Catalogo</t>
        </is>
      </c>
      <c r="K76" s="14" t="inlineStr">
        <is>
          <t>prima/seconda/terza media, narrativa</t>
        </is>
      </c>
      <c r="L76" s="14" t="inlineStr">
        <is>
          <t>Catalogo Pelledoca 2025 (ISBN 9788832790269)</t>
        </is>
      </c>
      <c r="M76" s="16" t="n">
        <v>18</v>
      </c>
      <c r="N76" s="14" t="inlineStr">
        <is>
          <t>Catalogo Pelledoca 2025</t>
        </is>
      </c>
      <c r="O76" s="16">
        <f>IF(ISNUMBER(M76),ROUND(M76*(1-Condizioni!$B$2),2),"")</f>
        <v/>
      </c>
      <c r="P76" s="17" t="inlineStr">
        <is>
          <t>No</t>
        </is>
      </c>
    </row>
    <row r="77">
      <c r="A77" s="14" t="inlineStr">
        <is>
          <t>Pelledoca</t>
        </is>
      </c>
      <c r="B77" s="14" t="inlineStr">
        <is>
          <t>In Fondo al Buio</t>
        </is>
      </c>
      <c r="C77" s="14" t="inlineStr">
        <is>
          <t>Raffaella Romagnolo</t>
        </is>
      </c>
      <c r="D77" s="14" t="inlineStr">
        <is>
          <t>NeroInchiostro</t>
        </is>
      </c>
      <c r="E77" s="14" t="inlineStr">
        <is>
          <t>Dagli 11 anni</t>
        </is>
      </c>
      <c r="F77" s="14" t="inlineStr">
        <is>
          <t>Scuola media (11-13)</t>
        </is>
      </c>
      <c r="G77" s="14" t="inlineStr">
        <is>
          <t>Romanzo</t>
        </is>
      </c>
      <c r="H77" s="14" t="inlineStr">
        <is>
          <t>Memoria della Shoah</t>
        </is>
      </c>
      <c r="I77" s="14" t="inlineStr">
        <is>
          <t>No</t>
        </is>
      </c>
      <c r="J77" s="14" t="inlineStr">
        <is>
          <t>Catalogo</t>
        </is>
      </c>
      <c r="K77" s="14" t="inlineStr">
        <is>
          <t>prima/seconda/terza media, romanzo, narrativa</t>
        </is>
      </c>
      <c r="L77" s="14" t="inlineStr">
        <is>
          <t>Catalogo Pelledoca 2025 (ISBN 9788832791112)</t>
        </is>
      </c>
      <c r="M77" s="16" t="n">
        <v>16</v>
      </c>
      <c r="N77" s="14" t="inlineStr">
        <is>
          <t>Catalogo Pelledoca 2025</t>
        </is>
      </c>
      <c r="O77" s="16">
        <f>IF(ISNUMBER(M77),ROUND(M77*(1-Condizioni!$B$2),2),"")</f>
        <v/>
      </c>
      <c r="P77" s="17" t="inlineStr">
        <is>
          <t>No</t>
        </is>
      </c>
    </row>
    <row r="78">
      <c r="A78" s="14" t="inlineStr">
        <is>
          <t>Pelledoca</t>
        </is>
      </c>
      <c r="B78" s="14" t="inlineStr">
        <is>
          <t>Indizi per Posta</t>
        </is>
      </c>
      <c r="C78" s="14" t="inlineStr">
        <is>
          <t>Mariapaola Pesce</t>
        </is>
      </c>
      <c r="D78" s="14" t="inlineStr">
        <is>
          <t>NeroInchiostro</t>
        </is>
      </c>
      <c r="E78" s="14" t="inlineStr">
        <is>
          <t>Dagli 11 anni</t>
        </is>
      </c>
      <c r="F78" s="14" t="inlineStr">
        <is>
          <t>Scuola media (11-13)</t>
        </is>
      </c>
      <c r="G78" s="14" t="inlineStr">
        <is>
          <t>Romanzo</t>
        </is>
      </c>
      <c r="H78" s="14" t="inlineStr"/>
      <c r="I78" s="14" t="inlineStr">
        <is>
          <t>No</t>
        </is>
      </c>
      <c r="J78" s="14" t="inlineStr">
        <is>
          <t>Catalogo</t>
        </is>
      </c>
      <c r="K78" s="14" t="inlineStr">
        <is>
          <t>prima/seconda/terza media, romanzo, narrativa</t>
        </is>
      </c>
      <c r="L78" s="14" t="inlineStr">
        <is>
          <t>Catalogo Pelledoca 2025 (ISBN 9788832791242)</t>
        </is>
      </c>
      <c r="M78" s="16" t="n">
        <v>16</v>
      </c>
      <c r="N78" s="14" t="inlineStr">
        <is>
          <t>Catalogo Pelledoca 2025</t>
        </is>
      </c>
      <c r="O78" s="16">
        <f>IF(ISNUMBER(M78),ROUND(M78*(1-Condizioni!$B$2),2),"")</f>
        <v/>
      </c>
      <c r="P78" s="17" t="inlineStr">
        <is>
          <t>No</t>
        </is>
      </c>
    </row>
    <row r="79">
      <c r="A79" s="14" t="inlineStr">
        <is>
          <t>Pelledoca</t>
        </is>
      </c>
      <c r="B79" s="14" t="inlineStr">
        <is>
          <t>Jackpot</t>
        </is>
      </c>
      <c r="C79" s="14" t="inlineStr">
        <is>
          <t>Stephan Knösel</t>
        </is>
      </c>
      <c r="D79" s="14" t="inlineStr">
        <is>
          <t>NeroInchiostro</t>
        </is>
      </c>
      <c r="E79" s="14" t="inlineStr">
        <is>
          <t>Dagli 11 anni</t>
        </is>
      </c>
      <c r="F79" s="14" t="inlineStr">
        <is>
          <t>Scuola media (11-13)</t>
        </is>
      </c>
      <c r="G79" s="14" t="inlineStr">
        <is>
          <t>Romanzo</t>
        </is>
      </c>
      <c r="H79" s="14" t="inlineStr"/>
      <c r="I79" s="14" t="inlineStr">
        <is>
          <t>No</t>
        </is>
      </c>
      <c r="J79" s="14" t="inlineStr">
        <is>
          <t>Catalogo</t>
        </is>
      </c>
      <c r="K79" s="14" t="inlineStr">
        <is>
          <t>prima/seconda/terza media, romanzo, narrativa</t>
        </is>
      </c>
      <c r="L79" s="14" t="inlineStr">
        <is>
          <t>Catalogo Pelledoca 2025 (ISBN 9788832790115)</t>
        </is>
      </c>
      <c r="M79" s="16" t="n">
        <v>15</v>
      </c>
      <c r="N79" s="14" t="inlineStr">
        <is>
          <t>Catalogo Pelledoca 2025</t>
        </is>
      </c>
      <c r="O79" s="16">
        <f>IF(ISNUMBER(M79),ROUND(M79*(1-Condizioni!$B$2),2),"")</f>
        <v/>
      </c>
      <c r="P79" s="17" t="inlineStr">
        <is>
          <t>No</t>
        </is>
      </c>
    </row>
    <row r="80">
      <c r="A80" s="14" t="inlineStr">
        <is>
          <t>Pelledoca</t>
        </is>
      </c>
      <c r="B80" s="14" t="inlineStr">
        <is>
          <t>La Barabuia</t>
        </is>
      </c>
      <c r="C80" s="14" t="inlineStr">
        <is>
          <t>Gabriele Nanni</t>
        </is>
      </c>
      <c r="D80" s="14" t="inlineStr">
        <is>
          <t>NeroInchiostro</t>
        </is>
      </c>
      <c r="E80" s="14" t="inlineStr">
        <is>
          <t>Dai 12 anni</t>
        </is>
      </c>
      <c r="F80" s="14" t="inlineStr">
        <is>
          <t>Scuola media (11-13)</t>
        </is>
      </c>
      <c r="G80" s="14" t="inlineStr">
        <is>
          <t>Romanzo</t>
        </is>
      </c>
      <c r="H80" s="14" t="inlineStr"/>
      <c r="I80" s="14" t="inlineStr">
        <is>
          <t>No</t>
        </is>
      </c>
      <c r="J80" s="14" t="inlineStr">
        <is>
          <t>Catalogo</t>
        </is>
      </c>
      <c r="K80" s="14" t="inlineStr">
        <is>
          <t>prima/seconda/terza media, romanzo, narrativa</t>
        </is>
      </c>
      <c r="L80" s="14" t="inlineStr">
        <is>
          <t>Catalogo Pelledoca 2025 (ISBN 9788832791013)</t>
        </is>
      </c>
      <c r="M80" s="16" t="n">
        <v>16</v>
      </c>
      <c r="N80" s="14" t="inlineStr">
        <is>
          <t>Catalogo Pelledoca 2025</t>
        </is>
      </c>
      <c r="O80" s="16">
        <f>IF(ISNUMBER(M80),ROUND(M80*(1-Condizioni!$B$2),2),"")</f>
        <v/>
      </c>
      <c r="P80" s="17" t="inlineStr">
        <is>
          <t>Sì</t>
        </is>
      </c>
    </row>
    <row r="81">
      <c r="A81" s="14" t="inlineStr">
        <is>
          <t>Pelledoca</t>
        </is>
      </c>
      <c r="B81" s="14" t="inlineStr">
        <is>
          <t>La Bestia di Waltanna</t>
        </is>
      </c>
      <c r="C81" s="14" t="inlineStr">
        <is>
          <t>Nicola Cinquetti</t>
        </is>
      </c>
      <c r="D81" s="14" t="inlineStr">
        <is>
          <t>NeroInchiostro</t>
        </is>
      </c>
      <c r="E81" s="14" t="inlineStr">
        <is>
          <t>Dagli 11 anni</t>
        </is>
      </c>
      <c r="F81" s="14" t="inlineStr">
        <is>
          <t>Scuola media (11-13)</t>
        </is>
      </c>
      <c r="G81" s="14" t="inlineStr">
        <is>
          <t>Romanzo</t>
        </is>
      </c>
      <c r="H81" s="14" t="inlineStr"/>
      <c r="I81" s="14" t="inlineStr">
        <is>
          <t>No</t>
        </is>
      </c>
      <c r="J81" s="14" t="inlineStr">
        <is>
          <t>Catalogo</t>
        </is>
      </c>
      <c r="K81" s="14" t="inlineStr">
        <is>
          <t>prima/seconda/terza media, romanzo, narrativa</t>
        </is>
      </c>
      <c r="L81" s="14" t="inlineStr">
        <is>
          <t>Catalogo Pelledoca 2025 (ISBN 9788832791372)</t>
        </is>
      </c>
      <c r="M81" s="16" t="n">
        <v>16</v>
      </c>
      <c r="N81" s="14" t="inlineStr">
        <is>
          <t>Catalogo Pelledoca 2025</t>
        </is>
      </c>
      <c r="O81" s="16">
        <f>IF(ISNUMBER(M81),ROUND(M81*(1-Condizioni!$B$2),2),"")</f>
        <v/>
      </c>
      <c r="P81" s="17" t="inlineStr">
        <is>
          <t>No</t>
        </is>
      </c>
    </row>
    <row r="82">
      <c r="A82" s="14" t="inlineStr">
        <is>
          <t>Pelledoca</t>
        </is>
      </c>
      <c r="B82" s="14" t="inlineStr">
        <is>
          <t>La Canzone che Uccide</t>
        </is>
      </c>
      <c r="C82" s="14" t="inlineStr">
        <is>
          <t>Gianluca Barbera</t>
        </is>
      </c>
      <c r="D82" s="14" t="inlineStr">
        <is>
          <t>NeroInchiostro</t>
        </is>
      </c>
      <c r="E82" s="14" t="inlineStr">
        <is>
          <t>Dai 13 anni</t>
        </is>
      </c>
      <c r="F82" s="14" t="inlineStr">
        <is>
          <t>Scuola media (11-13)</t>
        </is>
      </c>
      <c r="G82" s="14" t="inlineStr">
        <is>
          <t>Romanzo</t>
        </is>
      </c>
      <c r="H82" s="14" t="inlineStr"/>
      <c r="I82" s="14" t="inlineStr">
        <is>
          <t>No</t>
        </is>
      </c>
      <c r="J82" s="14" t="inlineStr">
        <is>
          <t>Catalogo</t>
        </is>
      </c>
      <c r="K82" s="14" t="inlineStr">
        <is>
          <t>prima/seconda/terza media, romanzo, narrativa</t>
        </is>
      </c>
      <c r="L82" s="14" t="inlineStr">
        <is>
          <t>Catalogo Pelledoca 2025 (ISBN 9788832791020)</t>
        </is>
      </c>
      <c r="M82" s="16" t="n">
        <v>16</v>
      </c>
      <c r="N82" s="14" t="inlineStr">
        <is>
          <t>Catalogo Pelledoca 2025</t>
        </is>
      </c>
      <c r="O82" s="16">
        <f>IF(ISNUMBER(M82),ROUND(M82*(1-Condizioni!$B$2),2),"")</f>
        <v/>
      </c>
      <c r="P82" s="17" t="inlineStr">
        <is>
          <t>No</t>
        </is>
      </c>
    </row>
    <row r="83">
      <c r="A83" s="14" t="inlineStr">
        <is>
          <t>Pelledoca</t>
        </is>
      </c>
      <c r="B83" s="14" t="inlineStr">
        <is>
          <t>La Fuga di Pat</t>
        </is>
      </c>
      <c r="C83" s="14" t="inlineStr">
        <is>
          <t>Roberto Piumini</t>
        </is>
      </c>
      <c r="D83" s="14" t="inlineStr">
        <is>
          <t>NeroInchiostro</t>
        </is>
      </c>
      <c r="E83" s="14" t="inlineStr">
        <is>
          <t>Dagli 11 anni</t>
        </is>
      </c>
      <c r="F83" s="14" t="inlineStr">
        <is>
          <t>Scuola media (11-13)</t>
        </is>
      </c>
      <c r="G83" s="14" t="inlineStr">
        <is>
          <t>Romanzo</t>
        </is>
      </c>
      <c r="H83" s="14" t="inlineStr"/>
      <c r="I83" s="14" t="inlineStr">
        <is>
          <t>No</t>
        </is>
      </c>
      <c r="J83" s="14" t="inlineStr">
        <is>
          <t>Catalogo</t>
        </is>
      </c>
      <c r="K83" s="14" t="inlineStr">
        <is>
          <t>prima/seconda/terza media, romanzo, narrativa</t>
        </is>
      </c>
      <c r="L83" s="14" t="inlineStr">
        <is>
          <t>Catalogo Pelledoca 2025 (ISBN 9788832790696)</t>
        </is>
      </c>
      <c r="M83" s="16" t="n">
        <v>16</v>
      </c>
      <c r="N83" s="14" t="inlineStr">
        <is>
          <t>Catalogo Pelledoca 2025</t>
        </is>
      </c>
      <c r="O83" s="16">
        <f>IF(ISNUMBER(M83),ROUND(M83*(1-Condizioni!$B$2),2),"")</f>
        <v/>
      </c>
      <c r="P83" s="17" t="inlineStr">
        <is>
          <t>Sì</t>
        </is>
      </c>
    </row>
    <row r="84">
      <c r="A84" s="14" t="inlineStr">
        <is>
          <t>Pelledoca</t>
        </is>
      </c>
      <c r="B84" s="14" t="inlineStr">
        <is>
          <t>La Macchina Tigre</t>
        </is>
      </c>
      <c r="C84" s="14" t="inlineStr">
        <is>
          <t>Laura Pariani e Nicola Fantini</t>
        </is>
      </c>
      <c r="D84" s="14" t="inlineStr">
        <is>
          <t>NeroInchiostro</t>
        </is>
      </c>
      <c r="E84" s="14" t="inlineStr">
        <is>
          <t>Dagli 11 anni</t>
        </is>
      </c>
      <c r="F84" s="14" t="inlineStr">
        <is>
          <t>Scuola media (11-13)</t>
        </is>
      </c>
      <c r="G84" s="14" t="inlineStr">
        <is>
          <t>Romanzo</t>
        </is>
      </c>
      <c r="H84" s="14" t="inlineStr"/>
      <c r="I84" s="14" t="inlineStr">
        <is>
          <t>No</t>
        </is>
      </c>
      <c r="J84" s="14" t="inlineStr">
        <is>
          <t>Catalogo</t>
        </is>
      </c>
      <c r="K84" s="14" t="inlineStr">
        <is>
          <t>prima/seconda/terza media, romanzo, narrativa</t>
        </is>
      </c>
      <c r="L84" s="14" t="inlineStr">
        <is>
          <t>Catalogo Pelledoca 2025 (ISBN 9788832790078)</t>
        </is>
      </c>
      <c r="M84" s="16" t="n">
        <v>16</v>
      </c>
      <c r="N84" s="14" t="inlineStr">
        <is>
          <t>Catalogo Pelledoca 2025</t>
        </is>
      </c>
      <c r="O84" s="16">
        <f>IF(ISNUMBER(M84),ROUND(M84*(1-Condizioni!$B$2),2),"")</f>
        <v/>
      </c>
      <c r="P84" s="17" t="inlineStr">
        <is>
          <t>No</t>
        </is>
      </c>
    </row>
    <row r="85">
      <c r="A85" s="14" t="inlineStr">
        <is>
          <t>Pelledoca</t>
        </is>
      </c>
      <c r="B85" s="14" t="inlineStr">
        <is>
          <t>La Principessa Senza Pelle</t>
        </is>
      </c>
      <c r="C85" s="14" t="inlineStr">
        <is>
          <t>Lorenzo Piccolo; ill. Silvia Pertile</t>
        </is>
      </c>
      <c r="D85" s="14" t="inlineStr">
        <is>
          <t>OcchiAperti</t>
        </is>
      </c>
      <c r="E85" s="14" t="inlineStr">
        <is>
          <t>Dagli 11 anni</t>
        </is>
      </c>
      <c r="F85" s="14" t="inlineStr">
        <is>
          <t>Scuola media (11-13)</t>
        </is>
      </c>
      <c r="G85" s="14" t="inlineStr">
        <is>
          <t>Narrativa</t>
        </is>
      </c>
      <c r="H85" s="14" t="inlineStr"/>
      <c r="I85" s="14" t="inlineStr">
        <is>
          <t>No</t>
        </is>
      </c>
      <c r="J85" s="14" t="inlineStr">
        <is>
          <t>Catalogo</t>
        </is>
      </c>
      <c r="K85" s="14" t="inlineStr">
        <is>
          <t>prima/seconda/terza media, narrativa</t>
        </is>
      </c>
      <c r="L85" s="14" t="inlineStr">
        <is>
          <t>Catalogo Pelledoca 2025 (ISBN 9788832790825)</t>
        </is>
      </c>
      <c r="M85" s="16" t="n">
        <v>18</v>
      </c>
      <c r="N85" s="14" t="inlineStr">
        <is>
          <t>Catalogo Pelledoca 2025</t>
        </is>
      </c>
      <c r="O85" s="16">
        <f>IF(ISNUMBER(M85),ROUND(M85*(1-Condizioni!$B$2),2),"")</f>
        <v/>
      </c>
      <c r="P85" s="17" t="inlineStr">
        <is>
          <t>No</t>
        </is>
      </c>
    </row>
    <row r="86">
      <c r="A86" s="14" t="inlineStr">
        <is>
          <t>Pelledoca</t>
        </is>
      </c>
      <c r="B86" s="14" t="inlineStr">
        <is>
          <t>La Prova</t>
        </is>
      </c>
      <c r="C86" s="14" t="inlineStr">
        <is>
          <t>Luisa Mattia</t>
        </is>
      </c>
      <c r="D86" s="14" t="inlineStr">
        <is>
          <t>NeroInchiostro</t>
        </is>
      </c>
      <c r="E86" s="14" t="inlineStr">
        <is>
          <t>Dai 12 anni</t>
        </is>
      </c>
      <c r="F86" s="14" t="inlineStr">
        <is>
          <t>Scuola media (11-13)</t>
        </is>
      </c>
      <c r="G86" s="14" t="inlineStr">
        <is>
          <t>Romanzo</t>
        </is>
      </c>
      <c r="H86" s="14" t="inlineStr"/>
      <c r="I86" s="14" t="inlineStr">
        <is>
          <t>No</t>
        </is>
      </c>
      <c r="J86" s="14" t="inlineStr">
        <is>
          <t>Catalogo</t>
        </is>
      </c>
      <c r="K86" s="14" t="inlineStr">
        <is>
          <t>prima/seconda/terza media, romanzo, narrativa</t>
        </is>
      </c>
      <c r="L86" s="14" t="inlineStr">
        <is>
          <t>Catalogo Pelledoca 2025 (ISBN 9788832790597)</t>
        </is>
      </c>
      <c r="M86" s="16" t="n">
        <v>16</v>
      </c>
      <c r="N86" s="14" t="inlineStr">
        <is>
          <t>Catalogo Pelledoca 2025</t>
        </is>
      </c>
      <c r="O86" s="16">
        <f>IF(ISNUMBER(M86),ROUND(M86*(1-Condizioni!$B$2),2),"")</f>
        <v/>
      </c>
      <c r="P86" s="17" t="inlineStr">
        <is>
          <t>No</t>
        </is>
      </c>
    </row>
    <row r="87">
      <c r="A87" s="14" t="inlineStr">
        <is>
          <t>Pelledoca</t>
        </is>
      </c>
      <c r="B87" s="14" t="inlineStr">
        <is>
          <t>La Regina delle Api</t>
        </is>
      </c>
      <c r="C87" s="14" t="inlineStr">
        <is>
          <t>Beatrice Sesino</t>
        </is>
      </c>
      <c r="D87" s="14" t="inlineStr">
        <is>
          <t>NeroInchiostro</t>
        </is>
      </c>
      <c r="E87" s="14" t="inlineStr">
        <is>
          <t>Dagli 11 anni</t>
        </is>
      </c>
      <c r="F87" s="14" t="inlineStr">
        <is>
          <t>Scuola media (11-13)</t>
        </is>
      </c>
      <c r="G87" s="14" t="inlineStr">
        <is>
          <t>Romanzo</t>
        </is>
      </c>
      <c r="H87" s="14" t="inlineStr"/>
      <c r="I87" s="14" t="inlineStr">
        <is>
          <t>No</t>
        </is>
      </c>
      <c r="J87" s="14" t="inlineStr">
        <is>
          <t>Catalogo</t>
        </is>
      </c>
      <c r="K87" s="14" t="inlineStr">
        <is>
          <t>prima/seconda/terza media, romanzo, narrativa</t>
        </is>
      </c>
      <c r="L87" s="14" t="inlineStr">
        <is>
          <t>Catalogo Pelledoca 2025 (ISBN 9788832791419)</t>
        </is>
      </c>
      <c r="M87" s="16" t="n">
        <v>16</v>
      </c>
      <c r="N87" s="14" t="inlineStr">
        <is>
          <t>Catalogo Pelledoca 2025</t>
        </is>
      </c>
      <c r="O87" s="16">
        <f>IF(ISNUMBER(M87),ROUND(M87*(1-Condizioni!$B$2),2),"")</f>
        <v/>
      </c>
      <c r="P87" s="17" t="inlineStr">
        <is>
          <t>No</t>
        </is>
      </c>
    </row>
    <row r="88">
      <c r="A88" s="14" t="inlineStr">
        <is>
          <t>Pelledoca</t>
        </is>
      </c>
      <c r="B88" s="14" t="inlineStr">
        <is>
          <t>La Spada non Mi Ha Salvata</t>
        </is>
      </c>
      <c r="C88" s="14" t="inlineStr">
        <is>
          <t>Matteo Corradini</t>
        </is>
      </c>
      <c r="D88" s="14" t="inlineStr">
        <is>
          <t>NeroInchiostro</t>
        </is>
      </c>
      <c r="E88" s="14" t="inlineStr">
        <is>
          <t>Dai 12 anni</t>
        </is>
      </c>
      <c r="F88" s="14" t="inlineStr">
        <is>
          <t>Scuola media (11-13)</t>
        </is>
      </c>
      <c r="G88" s="14" t="inlineStr">
        <is>
          <t>Romanzo</t>
        </is>
      </c>
      <c r="H88" s="14" t="inlineStr">
        <is>
          <t>Memoria (Helene Mayer)</t>
        </is>
      </c>
      <c r="I88" s="14" t="inlineStr">
        <is>
          <t>No</t>
        </is>
      </c>
      <c r="J88" s="14" t="inlineStr">
        <is>
          <t>Catalogo</t>
        </is>
      </c>
      <c r="K88" s="14" t="inlineStr">
        <is>
          <t>prima/seconda/terza media, romanzo, narrativa</t>
        </is>
      </c>
      <c r="L88" s="14" t="inlineStr">
        <is>
          <t>Catalogo Pelledoca 2025 (ISBN 9788832791198)</t>
        </is>
      </c>
      <c r="M88" s="16" t="n">
        <v>16</v>
      </c>
      <c r="N88" s="14" t="inlineStr">
        <is>
          <t>Catalogo Pelledoca 2025</t>
        </is>
      </c>
      <c r="O88" s="16">
        <f>IF(ISNUMBER(M88),ROUND(M88*(1-Condizioni!$B$2),2),"")</f>
        <v/>
      </c>
      <c r="P88" s="17" t="inlineStr">
        <is>
          <t>No</t>
        </is>
      </c>
    </row>
    <row r="89">
      <c r="A89" s="14" t="inlineStr">
        <is>
          <t>Pelledoca</t>
        </is>
      </c>
      <c r="B89" s="14" t="inlineStr">
        <is>
          <t>La Trappola del Tempo</t>
        </is>
      </c>
      <c r="C89" s="14" t="inlineStr">
        <is>
          <t>Valeria Corciolani</t>
        </is>
      </c>
      <c r="D89" s="14" t="inlineStr">
        <is>
          <t>NeroInchiostro</t>
        </is>
      </c>
      <c r="E89" s="14" t="inlineStr">
        <is>
          <t>Dai 12 anni</t>
        </is>
      </c>
      <c r="F89" s="14" t="inlineStr">
        <is>
          <t>Scuola media (11-13)</t>
        </is>
      </c>
      <c r="G89" s="14" t="inlineStr">
        <is>
          <t>Romanzo</t>
        </is>
      </c>
      <c r="H89" s="14" t="inlineStr"/>
      <c r="I89" s="14" t="inlineStr">
        <is>
          <t>No</t>
        </is>
      </c>
      <c r="J89" s="14" t="inlineStr">
        <is>
          <t>Catalogo</t>
        </is>
      </c>
      <c r="K89" s="14" t="inlineStr">
        <is>
          <t>prima/seconda/terza media, romanzo, narrativa</t>
        </is>
      </c>
      <c r="L89" s="14" t="inlineStr">
        <is>
          <t>Catalogo Pelledoca 2025 (ISBN 9788832791426)</t>
        </is>
      </c>
      <c r="M89" s="16" t="n">
        <v>16</v>
      </c>
      <c r="N89" s="14" t="inlineStr">
        <is>
          <t>Catalogo Pelledoca 2025</t>
        </is>
      </c>
      <c r="O89" s="16">
        <f>IF(ISNUMBER(M89),ROUND(M89*(1-Condizioni!$B$2),2),"")</f>
        <v/>
      </c>
      <c r="P89" s="17" t="inlineStr">
        <is>
          <t>No</t>
        </is>
      </c>
    </row>
    <row r="90">
      <c r="A90" s="14" t="inlineStr">
        <is>
          <t>Pelledoca</t>
        </is>
      </c>
      <c r="B90" s="14" t="inlineStr">
        <is>
          <t>La Vendetta del Bosco</t>
        </is>
      </c>
      <c r="C90" s="14" t="inlineStr">
        <is>
          <t>Teo Benedetti</t>
        </is>
      </c>
      <c r="D90" s="14" t="inlineStr">
        <is>
          <t>NeroInchiostro</t>
        </is>
      </c>
      <c r="E90" s="14" t="inlineStr">
        <is>
          <t>Dagli 11 anni</t>
        </is>
      </c>
      <c r="F90" s="14" t="inlineStr">
        <is>
          <t>Scuola media (11-13)</t>
        </is>
      </c>
      <c r="G90" s="14" t="inlineStr">
        <is>
          <t>Romanzo</t>
        </is>
      </c>
      <c r="H90" s="14" t="inlineStr"/>
      <c r="I90" s="14" t="inlineStr">
        <is>
          <t>No</t>
        </is>
      </c>
      <c r="J90" s="14" t="inlineStr">
        <is>
          <t>Catalogo</t>
        </is>
      </c>
      <c r="K90" s="14" t="inlineStr">
        <is>
          <t>prima/seconda/terza media, romanzo, narrativa</t>
        </is>
      </c>
      <c r="L90" s="14" t="inlineStr">
        <is>
          <t>Catalogo Pelledoca 2025 (ISBN 9788832790399)</t>
        </is>
      </c>
      <c r="M90" s="16" t="n">
        <v>16</v>
      </c>
      <c r="N90" s="14" t="inlineStr">
        <is>
          <t>Catalogo Pelledoca 2025</t>
        </is>
      </c>
      <c r="O90" s="16">
        <f>IF(ISNUMBER(M90),ROUND(M90*(1-Condizioni!$B$2),2),"")</f>
        <v/>
      </c>
      <c r="P90" s="17" t="inlineStr">
        <is>
          <t>No</t>
        </is>
      </c>
    </row>
    <row r="91">
      <c r="A91" s="14" t="inlineStr">
        <is>
          <t>Pelledoca</t>
        </is>
      </c>
      <c r="B91" s="14" t="inlineStr">
        <is>
          <t>Le Avventure del Giovane Lovecraft</t>
        </is>
      </c>
      <c r="C91" s="14" t="inlineStr">
        <is>
          <t>Miriam Palombi; ill. Andrea Oberosler</t>
        </is>
      </c>
      <c r="D91" s="14" t="inlineStr">
        <is>
          <t>OcchiAperti</t>
        </is>
      </c>
      <c r="E91" s="14" t="inlineStr">
        <is>
          <t>Dagli 11 anni</t>
        </is>
      </c>
      <c r="F91" s="14" t="inlineStr">
        <is>
          <t>Scuola media (11-13)</t>
        </is>
      </c>
      <c r="G91" s="14" t="inlineStr">
        <is>
          <t>Narrativa</t>
        </is>
      </c>
      <c r="H91" s="14" t="inlineStr"/>
      <c r="I91" s="14" t="inlineStr">
        <is>
          <t>No</t>
        </is>
      </c>
      <c r="J91" s="14" t="inlineStr">
        <is>
          <t>Catalogo</t>
        </is>
      </c>
      <c r="K91" s="14" t="inlineStr">
        <is>
          <t>prima/seconda/terza media, narrativa</t>
        </is>
      </c>
      <c r="L91" s="14" t="inlineStr">
        <is>
          <t>Catalogo Pelledoca 2025 (ISBN 9788832791174)</t>
        </is>
      </c>
      <c r="M91" s="16" t="n">
        <v>18</v>
      </c>
      <c r="N91" s="14" t="inlineStr">
        <is>
          <t>Catalogo Pelledoca 2025</t>
        </is>
      </c>
      <c r="O91" s="16">
        <f>IF(ISNUMBER(M91),ROUND(M91*(1-Condizioni!$B$2),2),"")</f>
        <v/>
      </c>
      <c r="P91" s="17" t="inlineStr">
        <is>
          <t>No</t>
        </is>
      </c>
    </row>
    <row r="92">
      <c r="A92" s="14" t="inlineStr">
        <is>
          <t>Pelledoca</t>
        </is>
      </c>
      <c r="B92" s="14" t="inlineStr">
        <is>
          <t>Le Regole della Rabbia</t>
        </is>
      </c>
      <c r="C92" s="14" t="inlineStr">
        <is>
          <t>Mariapaola Pesce</t>
        </is>
      </c>
      <c r="D92" s="14" t="inlineStr">
        <is>
          <t>NeroInchiostro</t>
        </is>
      </c>
      <c r="E92" s="14" t="inlineStr">
        <is>
          <t>Dai 12 anni</t>
        </is>
      </c>
      <c r="F92" s="14" t="inlineStr">
        <is>
          <t>Scuola media (11-13)</t>
        </is>
      </c>
      <c r="G92" s="14" t="inlineStr">
        <is>
          <t>Romanzo</t>
        </is>
      </c>
      <c r="H92" s="14" t="inlineStr">
        <is>
          <t>Perdita e rabbia</t>
        </is>
      </c>
      <c r="I92" s="14" t="inlineStr">
        <is>
          <t>No</t>
        </is>
      </c>
      <c r="J92" s="14" t="inlineStr">
        <is>
          <t>Catalogo</t>
        </is>
      </c>
      <c r="K92" s="14" t="inlineStr">
        <is>
          <t>prima/seconda/terza media, romanzo, narrativa</t>
        </is>
      </c>
      <c r="L92" s="14" t="inlineStr">
        <is>
          <t>Catalogo Pelledoca 2025 (ISBN 9788832790498)</t>
        </is>
      </c>
      <c r="M92" s="16" t="n">
        <v>16</v>
      </c>
      <c r="N92" s="14" t="inlineStr">
        <is>
          <t>Catalogo Pelledoca 2025</t>
        </is>
      </c>
      <c r="O92" s="16">
        <f>IF(ISNUMBER(M92),ROUND(M92*(1-Condizioni!$B$2),2),"")</f>
        <v/>
      </c>
      <c r="P92" s="17" t="inlineStr">
        <is>
          <t>No</t>
        </is>
      </c>
    </row>
    <row r="93">
      <c r="A93" s="14" t="inlineStr">
        <is>
          <t>Pelledoca</t>
        </is>
      </c>
      <c r="B93" s="14" t="inlineStr">
        <is>
          <t>Lo Scheletro del Pozzo</t>
        </is>
      </c>
      <c r="C93" s="14" t="inlineStr">
        <is>
          <t>Chiara Valentina Segré</t>
        </is>
      </c>
      <c r="D93" s="14" t="inlineStr">
        <is>
          <t>NeroInchiostro</t>
        </is>
      </c>
      <c r="E93" s="14" t="inlineStr">
        <is>
          <t>Dagli 11 anni</t>
        </is>
      </c>
      <c r="F93" s="14" t="inlineStr">
        <is>
          <t>Scuola media (11-13)</t>
        </is>
      </c>
      <c r="G93" s="14" t="inlineStr">
        <is>
          <t>Romanzo</t>
        </is>
      </c>
      <c r="H93" s="14" t="inlineStr"/>
      <c r="I93" s="14" t="inlineStr">
        <is>
          <t>No</t>
        </is>
      </c>
      <c r="J93" s="14" t="inlineStr">
        <is>
          <t>Catalogo</t>
        </is>
      </c>
      <c r="K93" s="14" t="inlineStr">
        <is>
          <t>prima/seconda/terza media, romanzo, narrativa</t>
        </is>
      </c>
      <c r="L93" s="14" t="inlineStr">
        <is>
          <t>Catalogo Pelledoca 2025 (ISBN 9788832791303)</t>
        </is>
      </c>
      <c r="M93" s="16" t="n">
        <v>16</v>
      </c>
      <c r="N93" s="14" t="inlineStr">
        <is>
          <t>Catalogo Pelledoca 2025</t>
        </is>
      </c>
      <c r="O93" s="16">
        <f>IF(ISNUMBER(M93),ROUND(M93*(1-Condizioni!$B$2),2),"")</f>
        <v/>
      </c>
      <c r="P93" s="17" t="inlineStr">
        <is>
          <t>No</t>
        </is>
      </c>
    </row>
    <row r="94">
      <c r="A94" s="14" t="inlineStr">
        <is>
          <t>Pelledoca</t>
        </is>
      </c>
      <c r="B94" s="14" t="inlineStr">
        <is>
          <t>Lo Spettro del Tunnel</t>
        </is>
      </c>
      <c r="C94" s="14" t="inlineStr">
        <is>
          <t>Paolo d’Altan</t>
        </is>
      </c>
      <c r="D94" s="14" t="inlineStr">
        <is>
          <t>OcchiAperti</t>
        </is>
      </c>
      <c r="E94" s="14" t="inlineStr">
        <is>
          <t>Dai 13 anni</t>
        </is>
      </c>
      <c r="F94" s="14" t="inlineStr">
        <is>
          <t>Scuola media (11-13)</t>
        </is>
      </c>
      <c r="G94" s="14" t="inlineStr">
        <is>
          <t>Silent book</t>
        </is>
      </c>
      <c r="H94" s="14" t="inlineStr"/>
      <c r="I94" s="14" t="inlineStr">
        <is>
          <t>No</t>
        </is>
      </c>
      <c r="J94" s="14" t="inlineStr">
        <is>
          <t>Catalogo</t>
        </is>
      </c>
      <c r="K94" s="14" t="inlineStr">
        <is>
          <t>prima/seconda/terza media</t>
        </is>
      </c>
      <c r="L94" s="14" t="inlineStr">
        <is>
          <t>Catalogo Pelledoca 2025 (ISBN 9788832790832)</t>
        </is>
      </c>
      <c r="M94" s="16" t="n">
        <v>18</v>
      </c>
      <c r="N94" s="14" t="inlineStr">
        <is>
          <t>Catalogo Pelledoca 2025</t>
        </is>
      </c>
      <c r="O94" s="16">
        <f>IF(ISNUMBER(M94),ROUND(M94*(1-Condizioni!$B$2),2),"")</f>
        <v/>
      </c>
      <c r="P94" s="17" t="inlineStr">
        <is>
          <t>No</t>
        </is>
      </c>
    </row>
    <row r="95">
      <c r="A95" s="14" t="inlineStr">
        <is>
          <t>Pelledoca</t>
        </is>
      </c>
      <c r="B95" s="14" t="inlineStr">
        <is>
          <t>Lunamadre</t>
        </is>
      </c>
      <c r="C95" s="14" t="inlineStr">
        <is>
          <t>Teo Benedetti</t>
        </is>
      </c>
      <c r="D95" s="14" t="inlineStr">
        <is>
          <t>NeroInchiostro</t>
        </is>
      </c>
      <c r="E95" s="14" t="inlineStr">
        <is>
          <t>Dagli 11 anni</t>
        </is>
      </c>
      <c r="F95" s="14" t="inlineStr">
        <is>
          <t>Scuola media (11-13)</t>
        </is>
      </c>
      <c r="G95" s="14" t="inlineStr">
        <is>
          <t>Romanzo</t>
        </is>
      </c>
      <c r="H95" s="14" t="inlineStr"/>
      <c r="I95" s="14" t="inlineStr">
        <is>
          <t>No</t>
        </is>
      </c>
      <c r="J95" s="14" t="inlineStr">
        <is>
          <t>Catalogo</t>
        </is>
      </c>
      <c r="K95" s="14" t="inlineStr">
        <is>
          <t>prima/seconda/terza media, romanzo, narrativa</t>
        </is>
      </c>
      <c r="L95" s="14" t="inlineStr">
        <is>
          <t>Catalogo Pelledoca 2025 (ISBN 9788832790221)</t>
        </is>
      </c>
      <c r="M95" s="16" t="n">
        <v>16</v>
      </c>
      <c r="N95" s="14" t="inlineStr">
        <is>
          <t>Catalogo Pelledoca 2025</t>
        </is>
      </c>
      <c r="O95" s="16">
        <f>IF(ISNUMBER(M95),ROUND(M95*(1-Condizioni!$B$2),2),"")</f>
        <v/>
      </c>
      <c r="P95" s="17" t="inlineStr">
        <is>
          <t>Sì</t>
        </is>
      </c>
    </row>
    <row r="96">
      <c r="A96" s="14" t="inlineStr">
        <is>
          <t>Pelledoca</t>
        </is>
      </c>
      <c r="B96" s="14" t="inlineStr">
        <is>
          <t>L’Amica Fantasma</t>
        </is>
      </c>
      <c r="C96" s="14" t="inlineStr">
        <is>
          <t>Sabrina Rondinelli; ill. Andrea Calisi</t>
        </is>
      </c>
      <c r="D96" s="14" t="inlineStr">
        <is>
          <t>OcchiAperti</t>
        </is>
      </c>
      <c r="E96" s="14" t="inlineStr">
        <is>
          <t>Dai 12 anni</t>
        </is>
      </c>
      <c r="F96" s="14" t="inlineStr">
        <is>
          <t>Scuola media (11-13)</t>
        </is>
      </c>
      <c r="G96" s="14" t="inlineStr">
        <is>
          <t>Narrativa</t>
        </is>
      </c>
      <c r="H96" s="14" t="inlineStr"/>
      <c r="I96" s="14" t="inlineStr">
        <is>
          <t>No</t>
        </is>
      </c>
      <c r="J96" s="14" t="inlineStr">
        <is>
          <t>Catalogo</t>
        </is>
      </c>
      <c r="K96" s="14" t="inlineStr">
        <is>
          <t>prima/seconda/terza media, narrativa</t>
        </is>
      </c>
      <c r="L96" s="14" t="inlineStr">
        <is>
          <t>Catalogo Pelledoca 2025 (ISBN 9788832790344)</t>
        </is>
      </c>
      <c r="M96" s="16" t="n">
        <v>18</v>
      </c>
      <c r="N96" s="14" t="inlineStr">
        <is>
          <t>Catalogo Pelledoca 2025</t>
        </is>
      </c>
      <c r="O96" s="16">
        <f>IF(ISNUMBER(M96),ROUND(M96*(1-Condizioni!$B$2),2),"")</f>
        <v/>
      </c>
      <c r="P96" s="17" t="inlineStr">
        <is>
          <t>No</t>
        </is>
      </c>
    </row>
    <row r="97">
      <c r="A97" s="14" t="inlineStr">
        <is>
          <t>Pelledoca</t>
        </is>
      </c>
      <c r="B97" s="14" t="inlineStr">
        <is>
          <t>L’Emporio della Paura</t>
        </is>
      </c>
      <c r="C97" s="14" t="inlineStr">
        <is>
          <t>Chiara Cacco; ill. Benedetta Baraldi</t>
        </is>
      </c>
      <c r="D97" s="14" t="inlineStr">
        <is>
          <t>OcchiAperti</t>
        </is>
      </c>
      <c r="E97" s="14" t="inlineStr">
        <is>
          <t>Dagli 11 anni</t>
        </is>
      </c>
      <c r="F97" s="14" t="inlineStr">
        <is>
          <t>Scuola media (11-13)</t>
        </is>
      </c>
      <c r="G97" s="14" t="inlineStr">
        <is>
          <t>Narrativa</t>
        </is>
      </c>
      <c r="H97" s="14" t="inlineStr"/>
      <c r="I97" s="14" t="inlineStr">
        <is>
          <t>No</t>
        </is>
      </c>
      <c r="J97" s="14" t="inlineStr">
        <is>
          <t>Catalogo</t>
        </is>
      </c>
      <c r="K97" s="14" t="inlineStr">
        <is>
          <t>prima/seconda/terza media, narrativa</t>
        </is>
      </c>
      <c r="L97" s="14" t="inlineStr">
        <is>
          <t>Catalogo Pelledoca 2025 (ISBN 9788832790610)</t>
        </is>
      </c>
      <c r="M97" s="16" t="n">
        <v>18</v>
      </c>
      <c r="N97" s="14" t="inlineStr">
        <is>
          <t>Catalogo Pelledoca 2025</t>
        </is>
      </c>
      <c r="O97" s="16">
        <f>IF(ISNUMBER(M97),ROUND(M97*(1-Condizioni!$B$2),2),"")</f>
        <v/>
      </c>
      <c r="P97" s="17" t="inlineStr">
        <is>
          <t>No</t>
        </is>
      </c>
    </row>
    <row r="98">
      <c r="A98" s="14" t="inlineStr">
        <is>
          <t>Pelledoca</t>
        </is>
      </c>
      <c r="B98" s="14" t="inlineStr">
        <is>
          <t>L’Impero Invisibile</t>
        </is>
      </c>
      <c r="C98" s="14" t="inlineStr">
        <is>
          <t>Gabriele Nanni</t>
        </is>
      </c>
      <c r="D98" s="14" t="inlineStr">
        <is>
          <t>NeroInchiostro</t>
        </is>
      </c>
      <c r="E98" s="14" t="inlineStr">
        <is>
          <t>Dagli 11 anni</t>
        </is>
      </c>
      <c r="F98" s="14" t="inlineStr">
        <is>
          <t>Scuola media (11-13)</t>
        </is>
      </c>
      <c r="G98" s="14" t="inlineStr">
        <is>
          <t>Romanzo</t>
        </is>
      </c>
      <c r="H98" s="14" t="inlineStr"/>
      <c r="I98" s="14" t="inlineStr">
        <is>
          <t>No</t>
        </is>
      </c>
      <c r="J98" s="14" t="inlineStr">
        <is>
          <t>Catalogo</t>
        </is>
      </c>
      <c r="K98" s="14" t="inlineStr">
        <is>
          <t>prima/seconda/terza media, romanzo, narrativa</t>
        </is>
      </c>
      <c r="L98" s="14" t="inlineStr">
        <is>
          <t>Catalogo Pelledoca 2025 (ISBN 9788832790160)</t>
        </is>
      </c>
      <c r="M98" s="16" t="n">
        <v>16</v>
      </c>
      <c r="N98" s="14" t="inlineStr">
        <is>
          <t>Catalogo Pelledoca 2025</t>
        </is>
      </c>
      <c r="O98" s="16">
        <f>IF(ISNUMBER(M98),ROUND(M98*(1-Condizioni!$B$2),2),"")</f>
        <v/>
      </c>
      <c r="P98" s="17" t="inlineStr">
        <is>
          <t>No</t>
        </is>
      </c>
    </row>
    <row r="99">
      <c r="A99" s="14" t="inlineStr">
        <is>
          <t>Pelledoca</t>
        </is>
      </c>
      <c r="B99" s="14" t="inlineStr">
        <is>
          <t>Maledetto Shakespeare</t>
        </is>
      </c>
      <c r="C99" s="14" t="inlineStr">
        <is>
          <t>Francesco Bedini</t>
        </is>
      </c>
      <c r="D99" s="14" t="inlineStr">
        <is>
          <t>NeroInchiostro</t>
        </is>
      </c>
      <c r="E99" s="14" t="inlineStr">
        <is>
          <t>Dai 13 anni</t>
        </is>
      </c>
      <c r="F99" s="14" t="inlineStr">
        <is>
          <t>Scuola media (11-13)</t>
        </is>
      </c>
      <c r="G99" s="14" t="inlineStr">
        <is>
          <t>Romanzo</t>
        </is>
      </c>
      <c r="H99" s="14" t="inlineStr"/>
      <c r="I99" s="14" t="inlineStr">
        <is>
          <t>No</t>
        </is>
      </c>
      <c r="J99" s="14" t="inlineStr">
        <is>
          <t>Catalogo</t>
        </is>
      </c>
      <c r="K99" s="14" t="inlineStr">
        <is>
          <t>prima/seconda/terza media, romanzo, narrativa</t>
        </is>
      </c>
      <c r="L99" s="14" t="inlineStr">
        <is>
          <t>Catalogo Pelledoca 2025 (ISBN 9788832790665)</t>
        </is>
      </c>
      <c r="M99" s="16" t="n">
        <v>16</v>
      </c>
      <c r="N99" s="14" t="inlineStr">
        <is>
          <t>Catalogo Pelledoca 2025</t>
        </is>
      </c>
      <c r="O99" s="16">
        <f>IF(ISNUMBER(M99),ROUND(M99*(1-Condizioni!$B$2),2),"")</f>
        <v/>
      </c>
      <c r="P99" s="17" t="inlineStr">
        <is>
          <t>No</t>
        </is>
      </c>
    </row>
    <row r="100">
      <c r="A100" s="14" t="inlineStr">
        <is>
          <t>Pelledoca</t>
        </is>
      </c>
      <c r="B100" s="14" t="inlineStr">
        <is>
          <t>Mondo Cane</t>
        </is>
      </c>
      <c r="C100" s="14" t="inlineStr">
        <is>
          <t>Juliane Pickel; trad. Francesco M. A. Becchi</t>
        </is>
      </c>
      <c r="D100" s="14" t="inlineStr">
        <is>
          <t>NeroInchiostro</t>
        </is>
      </c>
      <c r="E100" s="14" t="inlineStr">
        <is>
          <t>Dai 13 anni</t>
        </is>
      </c>
      <c r="F100" s="14" t="inlineStr">
        <is>
          <t>Scuola media (11-13)</t>
        </is>
      </c>
      <c r="G100" s="14" t="inlineStr">
        <is>
          <t>Romanzo</t>
        </is>
      </c>
      <c r="H100" s="14" t="inlineStr"/>
      <c r="I100" s="14" t="inlineStr">
        <is>
          <t>No</t>
        </is>
      </c>
      <c r="J100" s="14" t="inlineStr">
        <is>
          <t>Catalogo</t>
        </is>
      </c>
      <c r="K100" s="14" t="inlineStr">
        <is>
          <t>prima/seconda/terza media, romanzo, narrativa</t>
        </is>
      </c>
      <c r="L100" s="14" t="inlineStr">
        <is>
          <t>Catalogo Pelledoca 2025 (ISBN 9788832790528)</t>
        </is>
      </c>
      <c r="M100" s="16" t="n">
        <v>16</v>
      </c>
      <c r="N100" s="14" t="inlineStr">
        <is>
          <t>Catalogo Pelledoca 2025</t>
        </is>
      </c>
      <c r="O100" s="16">
        <f>IF(ISNUMBER(M100),ROUND(M100*(1-Condizioni!$B$2),2),"")</f>
        <v/>
      </c>
      <c r="P100" s="17" t="inlineStr">
        <is>
          <t>No</t>
        </is>
      </c>
    </row>
    <row r="101">
      <c r="A101" s="14" t="inlineStr">
        <is>
          <t>Pelledoca</t>
        </is>
      </c>
      <c r="B101" s="14" t="inlineStr">
        <is>
          <t>Nanu e il Mistero di Cartesio</t>
        </is>
      </c>
      <c r="C101" s="14" t="inlineStr">
        <is>
          <t>Rodolfo Rossi</t>
        </is>
      </c>
      <c r="D101" s="14" t="inlineStr">
        <is>
          <t>NeroInchiostro</t>
        </is>
      </c>
      <c r="E101" s="14" t="inlineStr">
        <is>
          <t>Dai 12 anni</t>
        </is>
      </c>
      <c r="F101" s="14" t="inlineStr">
        <is>
          <t>Scuola media (11-13)</t>
        </is>
      </c>
      <c r="G101" s="14" t="inlineStr">
        <is>
          <t>Romanzo</t>
        </is>
      </c>
      <c r="H101" s="14" t="inlineStr"/>
      <c r="I101" s="14" t="inlineStr">
        <is>
          <t>No</t>
        </is>
      </c>
      <c r="J101" s="14" t="inlineStr">
        <is>
          <t>Catalogo</t>
        </is>
      </c>
      <c r="K101" s="14" t="inlineStr">
        <is>
          <t>prima/seconda/terza media, romanzo, narrativa</t>
        </is>
      </c>
      <c r="L101" s="14" t="inlineStr">
        <is>
          <t>Catalogo Pelledoca 2025 (ISBN 9788832791327)</t>
        </is>
      </c>
      <c r="M101" s="16" t="n">
        <v>16</v>
      </c>
      <c r="N101" s="14" t="inlineStr">
        <is>
          <t>Catalogo Pelledoca 2025</t>
        </is>
      </c>
      <c r="O101" s="16">
        <f>IF(ISNUMBER(M101),ROUND(M101*(1-Condizioni!$B$2),2),"")</f>
        <v/>
      </c>
      <c r="P101" s="17" t="inlineStr">
        <is>
          <t>No</t>
        </is>
      </c>
    </row>
    <row r="102">
      <c r="A102" s="14" t="inlineStr">
        <is>
          <t>Pelledoca</t>
        </is>
      </c>
      <c r="B102" s="14" t="inlineStr">
        <is>
          <t>Ombre Sulla Neve</t>
        </is>
      </c>
      <c r="C102" s="14" t="inlineStr">
        <is>
          <t>Serenella Quarello</t>
        </is>
      </c>
      <c r="D102" s="14" t="inlineStr">
        <is>
          <t>NeroInchiostro</t>
        </is>
      </c>
      <c r="E102" s="14" t="inlineStr">
        <is>
          <t>Dagli 11 anni</t>
        </is>
      </c>
      <c r="F102" s="14" t="inlineStr">
        <is>
          <t>Scuola media (11-13)</t>
        </is>
      </c>
      <c r="G102" s="14" t="inlineStr">
        <is>
          <t>Romanzo</t>
        </is>
      </c>
      <c r="H102" s="14" t="inlineStr"/>
      <c r="I102" s="14" t="inlineStr">
        <is>
          <t>No</t>
        </is>
      </c>
      <c r="J102" s="14" t="inlineStr">
        <is>
          <t>Catalogo</t>
        </is>
      </c>
      <c r="K102" s="14" t="inlineStr">
        <is>
          <t>prima/seconda/terza media, romanzo, narrativa</t>
        </is>
      </c>
      <c r="L102" s="14" t="inlineStr">
        <is>
          <t>Catalogo Pelledoca 2025 (ISBN 9788832790740)</t>
        </is>
      </c>
      <c r="M102" s="16" t="n">
        <v>16</v>
      </c>
      <c r="N102" s="14" t="inlineStr">
        <is>
          <t>Catalogo Pelledoca 2025</t>
        </is>
      </c>
      <c r="O102" s="16">
        <f>IF(ISNUMBER(M102),ROUND(M102*(1-Condizioni!$B$2),2),"")</f>
        <v/>
      </c>
      <c r="P102" s="17" t="inlineStr">
        <is>
          <t>No</t>
        </is>
      </c>
    </row>
    <row r="103">
      <c r="A103" s="14" t="inlineStr">
        <is>
          <t>Pelledoca</t>
        </is>
      </c>
      <c r="B103" s="14" t="inlineStr">
        <is>
          <t>Omicidio sull’Hindenburg</t>
        </is>
      </c>
      <c r="C103" s="14" t="inlineStr">
        <is>
          <t>Fabrizio Altieri</t>
        </is>
      </c>
      <c r="D103" s="14" t="inlineStr">
        <is>
          <t>NeroInchiostro</t>
        </is>
      </c>
      <c r="E103" s="14" t="inlineStr">
        <is>
          <t>Dagli 11 anni</t>
        </is>
      </c>
      <c r="F103" s="14" t="inlineStr">
        <is>
          <t>Scuola media (11-13)</t>
        </is>
      </c>
      <c r="G103" s="14" t="inlineStr">
        <is>
          <t>Romanzo</t>
        </is>
      </c>
      <c r="H103" s="14" t="inlineStr"/>
      <c r="I103" s="14" t="inlineStr">
        <is>
          <t>No</t>
        </is>
      </c>
      <c r="J103" s="14" t="inlineStr">
        <is>
          <t>Catalogo</t>
        </is>
      </c>
      <c r="K103" s="14" t="inlineStr">
        <is>
          <t>prima/seconda/terza media, romanzo, narrativa</t>
        </is>
      </c>
      <c r="L103" s="14" t="inlineStr">
        <is>
          <t>Catalogo Pelledoca 2025 (ISBN 9788832791235)</t>
        </is>
      </c>
      <c r="M103" s="16" t="n">
        <v>16</v>
      </c>
      <c r="N103" s="14" t="inlineStr">
        <is>
          <t>Catalogo Pelledoca 2025</t>
        </is>
      </c>
      <c r="O103" s="16">
        <f>IF(ISNUMBER(M103),ROUND(M103*(1-Condizioni!$B$2),2),"")</f>
        <v/>
      </c>
      <c r="P103" s="17" t="inlineStr">
        <is>
          <t>No</t>
        </is>
      </c>
    </row>
    <row r="104">
      <c r="A104" s="14" t="inlineStr">
        <is>
          <t>Pelledoca</t>
        </is>
      </c>
      <c r="B104" s="14" t="inlineStr">
        <is>
          <t>Orlando</t>
        </is>
      </c>
      <c r="C104" s="14" t="inlineStr">
        <is>
          <t>Beatrice Masini; ill. Daniela Costa</t>
        </is>
      </c>
      <c r="D104" s="14" t="inlineStr">
        <is>
          <t>OcchiAperti</t>
        </is>
      </c>
      <c r="E104" s="14" t="inlineStr">
        <is>
          <t>Dai 13 anni</t>
        </is>
      </c>
      <c r="F104" s="14" t="inlineStr">
        <is>
          <t>Scuola media (11-13)</t>
        </is>
      </c>
      <c r="G104" s="14" t="inlineStr">
        <is>
          <t>Narrativa</t>
        </is>
      </c>
      <c r="H104" s="14" t="inlineStr"/>
      <c r="I104" s="14" t="inlineStr">
        <is>
          <t>No</t>
        </is>
      </c>
      <c r="J104" s="14" t="inlineStr">
        <is>
          <t>Catalogo</t>
        </is>
      </c>
      <c r="K104" s="14" t="inlineStr">
        <is>
          <t>prima/seconda/terza media, narrativa</t>
        </is>
      </c>
      <c r="L104" s="14" t="inlineStr">
        <is>
          <t>Catalogo Pelledoca 2025 (ISBN 9788832791334)</t>
        </is>
      </c>
      <c r="M104" s="16" t="n">
        <v>18</v>
      </c>
      <c r="N104" s="14" t="inlineStr">
        <is>
          <t>Catalogo Pelledoca 2025</t>
        </is>
      </c>
      <c r="O104" s="16">
        <f>IF(ISNUMBER(M104),ROUND(M104*(1-Condizioni!$B$2),2),"")</f>
        <v/>
      </c>
      <c r="P104" s="17" t="inlineStr">
        <is>
          <t>No</t>
        </is>
      </c>
    </row>
    <row r="105">
      <c r="A105" s="14" t="inlineStr">
        <is>
          <t>Pelledoca</t>
        </is>
      </c>
      <c r="B105" s="14" t="inlineStr">
        <is>
          <t>Respira con Me</t>
        </is>
      </c>
      <c r="C105" s="14" t="inlineStr">
        <is>
          <t>Raffaella Romagnolo</t>
        </is>
      </c>
      <c r="D105" s="14" t="inlineStr">
        <is>
          <t>NeroInchiostro</t>
        </is>
      </c>
      <c r="E105" s="14" t="inlineStr">
        <is>
          <t>Dai 12 anni</t>
        </is>
      </c>
      <c r="F105" s="14" t="inlineStr">
        <is>
          <t>Scuola media (11-13)</t>
        </is>
      </c>
      <c r="G105" s="14" t="inlineStr">
        <is>
          <t>Romanzo</t>
        </is>
      </c>
      <c r="H105" s="14" t="inlineStr"/>
      <c r="I105" s="14" t="inlineStr">
        <is>
          <t>No</t>
        </is>
      </c>
      <c r="J105" s="14" t="inlineStr">
        <is>
          <t>Catalogo</t>
        </is>
      </c>
      <c r="K105" s="14" t="inlineStr">
        <is>
          <t>prima/seconda/terza media, romanzo, narrativa</t>
        </is>
      </c>
      <c r="L105" s="14" t="inlineStr">
        <is>
          <t>Catalogo Pelledoca 2025 (ISBN 9788832790139)</t>
        </is>
      </c>
      <c r="M105" s="16" t="n">
        <v>15</v>
      </c>
      <c r="N105" s="14" t="inlineStr">
        <is>
          <t>Catalogo Pelledoca 2025</t>
        </is>
      </c>
      <c r="O105" s="16">
        <f>IF(ISNUMBER(M105),ROUND(M105*(1-Condizioni!$B$2),2),"")</f>
        <v/>
      </c>
      <c r="P105" s="17" t="inlineStr">
        <is>
          <t>No</t>
        </is>
      </c>
    </row>
    <row r="106">
      <c r="A106" s="14" t="inlineStr">
        <is>
          <t>Pelledoca</t>
        </is>
      </c>
      <c r="B106" s="14" t="inlineStr">
        <is>
          <t>Rifugiato Climatico 2722</t>
        </is>
      </c>
      <c r="C106" s="14" t="inlineStr">
        <is>
          <t>David Moitet; trad. Sergio Rossi</t>
        </is>
      </c>
      <c r="D106" s="14" t="inlineStr">
        <is>
          <t>NeroInchiostro</t>
        </is>
      </c>
      <c r="E106" s="14" t="inlineStr">
        <is>
          <t>Dai 12 anni</t>
        </is>
      </c>
      <c r="F106" s="14" t="inlineStr">
        <is>
          <t>Scuola media (11-13)</t>
        </is>
      </c>
      <c r="G106" s="14" t="inlineStr">
        <is>
          <t>Romanzo</t>
        </is>
      </c>
      <c r="H106" s="14" t="inlineStr">
        <is>
          <t>Cambiamento climatico</t>
        </is>
      </c>
      <c r="I106" s="14" t="inlineStr">
        <is>
          <t>No</t>
        </is>
      </c>
      <c r="J106" s="14" t="inlineStr">
        <is>
          <t>Catalogo</t>
        </is>
      </c>
      <c r="K106" s="14" t="inlineStr">
        <is>
          <t>prima/seconda/terza media, romanzo, narrativa</t>
        </is>
      </c>
      <c r="L106" s="14" t="inlineStr">
        <is>
          <t>Catalogo Pelledoca 2025 (ISBN 9788832790429)</t>
        </is>
      </c>
      <c r="M106" s="16" t="n">
        <v>18</v>
      </c>
      <c r="N106" s="14" t="inlineStr">
        <is>
          <t>Catalogo Pelledoca 2025</t>
        </is>
      </c>
      <c r="O106" s="16">
        <f>IF(ISNUMBER(M106),ROUND(M106*(1-Condizioni!$B$2),2),"")</f>
        <v/>
      </c>
      <c r="P106" s="17" t="inlineStr">
        <is>
          <t>No</t>
        </is>
      </c>
    </row>
    <row r="107">
      <c r="A107" s="14" t="inlineStr">
        <is>
          <t>Pelledoca</t>
        </is>
      </c>
      <c r="B107" s="14" t="inlineStr">
        <is>
          <t>Santa Muerte</t>
        </is>
      </c>
      <c r="C107" s="14" t="inlineStr">
        <is>
          <t>Marcus Sedgwick; trad. Giulia Guasco</t>
        </is>
      </c>
      <c r="D107" s="14" t="inlineStr">
        <is>
          <t>NeroInchiostro</t>
        </is>
      </c>
      <c r="E107" s="14" t="inlineStr">
        <is>
          <t>Dai 13 anni</t>
        </is>
      </c>
      <c r="F107" s="14" t="inlineStr">
        <is>
          <t>Scuola media (11-13)</t>
        </is>
      </c>
      <c r="G107" s="14" t="inlineStr">
        <is>
          <t>Romanzo</t>
        </is>
      </c>
      <c r="H107" s="14" t="inlineStr"/>
      <c r="I107" s="14" t="inlineStr">
        <is>
          <t>No</t>
        </is>
      </c>
      <c r="J107" s="14" t="inlineStr">
        <is>
          <t>Catalogo</t>
        </is>
      </c>
      <c r="K107" s="14" t="inlineStr">
        <is>
          <t>prima/seconda/terza media, romanzo, narrativa</t>
        </is>
      </c>
      <c r="L107" s="14" t="inlineStr">
        <is>
          <t>Catalogo Pelledoca 2025 (ISBN 9788832790153)</t>
        </is>
      </c>
      <c r="M107" s="16" t="n">
        <v>16</v>
      </c>
      <c r="N107" s="14" t="inlineStr">
        <is>
          <t>Catalogo Pelledoca 2025</t>
        </is>
      </c>
      <c r="O107" s="16">
        <f>IF(ISNUMBER(M107),ROUND(M107*(1-Condizioni!$B$2),2),"")</f>
        <v/>
      </c>
      <c r="P107" s="17" t="inlineStr">
        <is>
          <t>No</t>
        </is>
      </c>
    </row>
    <row r="108">
      <c r="A108" s="14" t="inlineStr">
        <is>
          <t>Pelledoca</t>
        </is>
      </c>
      <c r="B108" s="14" t="inlineStr">
        <is>
          <t>Sei Fuori</t>
        </is>
      </c>
      <c r="C108" s="14" t="inlineStr">
        <is>
          <t>Antonio Ferrara</t>
        </is>
      </c>
      <c r="D108" s="14" t="inlineStr">
        <is>
          <t>NeroInchiostro</t>
        </is>
      </c>
      <c r="E108" s="14" t="inlineStr">
        <is>
          <t>Dagli 11 anni</t>
        </is>
      </c>
      <c r="F108" s="14" t="inlineStr">
        <is>
          <t>Scuola media (11-13)</t>
        </is>
      </c>
      <c r="G108" s="14" t="inlineStr">
        <is>
          <t>Romanzo</t>
        </is>
      </c>
      <c r="H108" s="14" t="inlineStr">
        <is>
          <t>Malattia rara e crescita</t>
        </is>
      </c>
      <c r="I108" s="14" t="inlineStr">
        <is>
          <t>No</t>
        </is>
      </c>
      <c r="J108" s="14" t="inlineStr">
        <is>
          <t>Catalogo</t>
        </is>
      </c>
      <c r="K108" s="14" t="inlineStr">
        <is>
          <t>prima/seconda/terza media, romanzo, narrativa</t>
        </is>
      </c>
      <c r="L108" s="14" t="inlineStr">
        <is>
          <t>Catalogo Pelledoca 2025 (ISBN 9788832790603)</t>
        </is>
      </c>
      <c r="M108" s="16" t="n">
        <v>16</v>
      </c>
      <c r="N108" s="14" t="inlineStr">
        <is>
          <t>Catalogo Pelledoca 2025</t>
        </is>
      </c>
      <c r="O108" s="16">
        <f>IF(ISNUMBER(M108),ROUND(M108*(1-Condizioni!$B$2),2),"")</f>
        <v/>
      </c>
      <c r="P108" s="17" t="inlineStr">
        <is>
          <t>No</t>
        </is>
      </c>
    </row>
    <row r="109">
      <c r="A109" s="14" t="inlineStr">
        <is>
          <t>Pelledoca</t>
        </is>
      </c>
      <c r="B109" s="14" t="inlineStr">
        <is>
          <t>Senza una Buona Ragione</t>
        </is>
      </c>
      <c r="C109" s="14" t="inlineStr">
        <is>
          <t>Benedetta Bonfiglioli</t>
        </is>
      </c>
      <c r="D109" s="14" t="inlineStr">
        <is>
          <t>NeroInchiostro</t>
        </is>
      </c>
      <c r="E109" s="14" t="inlineStr">
        <is>
          <t>Dai 13 anni</t>
        </is>
      </c>
      <c r="F109" s="14" t="inlineStr">
        <is>
          <t>Scuola media (11-13)</t>
        </is>
      </c>
      <c r="G109" s="14" t="inlineStr">
        <is>
          <t>Romanzo</t>
        </is>
      </c>
      <c r="H109" s="14" t="inlineStr"/>
      <c r="I109" s="14" t="inlineStr">
        <is>
          <t>No</t>
        </is>
      </c>
      <c r="J109" s="14" t="inlineStr">
        <is>
          <t>Catalogo</t>
        </is>
      </c>
      <c r="K109" s="14" t="inlineStr">
        <is>
          <t>prima/seconda/terza media, romanzo, narrativa</t>
        </is>
      </c>
      <c r="L109" s="14" t="inlineStr">
        <is>
          <t>Catalogo Pelledoca 2025 (ISBN 9788832790306)</t>
        </is>
      </c>
      <c r="M109" s="16" t="n">
        <v>16</v>
      </c>
      <c r="N109" s="14" t="inlineStr">
        <is>
          <t>Catalogo Pelledoca 2025</t>
        </is>
      </c>
      <c r="O109" s="16">
        <f>IF(ISNUMBER(M109),ROUND(M109*(1-Condizioni!$B$2),2),"")</f>
        <v/>
      </c>
      <c r="P109" s="17" t="inlineStr">
        <is>
          <t>No</t>
        </is>
      </c>
    </row>
    <row r="110">
      <c r="A110" s="14" t="inlineStr">
        <is>
          <t>Pelledoca</t>
        </is>
      </c>
      <c r="B110" s="14" t="inlineStr">
        <is>
          <t>Sonnambuli, Maledizioni e Lumache</t>
        </is>
      </c>
      <c r="C110" s="14" t="inlineStr">
        <is>
          <t>Martina Wildner; trad. Anna Becchi</t>
        </is>
      </c>
      <c r="D110" s="14" t="inlineStr">
        <is>
          <t>NeroInchiostro</t>
        </is>
      </c>
      <c r="E110" s="14" t="inlineStr">
        <is>
          <t>Dagli 11 anni</t>
        </is>
      </c>
      <c r="F110" s="14" t="inlineStr">
        <is>
          <t>Scuola media (11-13)</t>
        </is>
      </c>
      <c r="G110" s="14" t="inlineStr">
        <is>
          <t>Romanzo</t>
        </is>
      </c>
      <c r="H110" s="14" t="inlineStr"/>
      <c r="I110" s="14" t="inlineStr">
        <is>
          <t>No</t>
        </is>
      </c>
      <c r="J110" s="14" t="inlineStr">
        <is>
          <t>Catalogo</t>
        </is>
      </c>
      <c r="K110" s="14" t="inlineStr">
        <is>
          <t>prima/seconda/terza media, romanzo, narrativa</t>
        </is>
      </c>
      <c r="L110" s="14" t="inlineStr">
        <is>
          <t>Catalogo Pelledoca 2025 (ISBN 9788832790436)</t>
        </is>
      </c>
      <c r="M110" s="16" t="n">
        <v>16</v>
      </c>
      <c r="N110" s="14" t="inlineStr">
        <is>
          <t>Catalogo Pelledoca 2025</t>
        </is>
      </c>
      <c r="O110" s="16">
        <f>IF(ISNUMBER(M110),ROUND(M110*(1-Condizioni!$B$2),2),"")</f>
        <v/>
      </c>
      <c r="P110" s="17" t="inlineStr">
        <is>
          <t>No</t>
        </is>
      </c>
    </row>
    <row r="111">
      <c r="A111" s="14" t="inlineStr">
        <is>
          <t>Pelledoca</t>
        </is>
      </c>
      <c r="B111" s="14" t="inlineStr">
        <is>
          <t>Sottovoce</t>
        </is>
      </c>
      <c r="C111" s="14" t="inlineStr">
        <is>
          <t>Fulvia Degl'Innocenti</t>
        </is>
      </c>
      <c r="D111" s="14" t="inlineStr">
        <is>
          <t>NeroInchiostro</t>
        </is>
      </c>
      <c r="E111" s="14" t="inlineStr">
        <is>
          <t>Dagli 11 anni</t>
        </is>
      </c>
      <c r="F111" s="14" t="inlineStr">
        <is>
          <t>Scuola media (11-13)</t>
        </is>
      </c>
      <c r="G111" s="14" t="inlineStr">
        <is>
          <t>Romanzo</t>
        </is>
      </c>
      <c r="H111" s="14" t="inlineStr"/>
      <c r="I111" s="14" t="inlineStr">
        <is>
          <t>No</t>
        </is>
      </c>
      <c r="J111" s="14" t="inlineStr">
        <is>
          <t>Catalogo</t>
        </is>
      </c>
      <c r="K111" s="14" t="inlineStr">
        <is>
          <t>prima/seconda/terza media, romanzo, narrativa</t>
        </is>
      </c>
      <c r="L111" s="14" t="inlineStr">
        <is>
          <t>Catalogo Pelledoca 2025 (ISBN 9788832790214)</t>
        </is>
      </c>
      <c r="M111" s="16" t="n">
        <v>16</v>
      </c>
      <c r="N111" s="14" t="inlineStr">
        <is>
          <t>Catalogo Pelledoca 2025</t>
        </is>
      </c>
      <c r="O111" s="16">
        <f>IF(ISNUMBER(M111),ROUND(M111*(1-Condizioni!$B$2),2),"")</f>
        <v/>
      </c>
      <c r="P111" s="17" t="inlineStr">
        <is>
          <t>No</t>
        </is>
      </c>
    </row>
    <row r="112">
      <c r="A112" s="14" t="inlineStr">
        <is>
          <t>Pelledoca</t>
        </is>
      </c>
      <c r="B112" s="14" t="inlineStr">
        <is>
          <t>Spiriti Dello Tsunami</t>
        </is>
      </c>
      <c r="C112" s="14" t="inlineStr">
        <is>
          <t>Daniele Nicastro</t>
        </is>
      </c>
      <c r="D112" s="14" t="inlineStr">
        <is>
          <t>NeroInchiostro</t>
        </is>
      </c>
      <c r="E112" s="14" t="inlineStr">
        <is>
          <t>Dai 12 anni</t>
        </is>
      </c>
      <c r="F112" s="14" t="inlineStr">
        <is>
          <t>Scuola media (11-13)</t>
        </is>
      </c>
      <c r="G112" s="14" t="inlineStr">
        <is>
          <t>Romanzo</t>
        </is>
      </c>
      <c r="H112" s="14" t="inlineStr"/>
      <c r="I112" s="14" t="inlineStr">
        <is>
          <t>No</t>
        </is>
      </c>
      <c r="J112" s="14" t="inlineStr">
        <is>
          <t>Catalogo</t>
        </is>
      </c>
      <c r="K112" s="14" t="inlineStr">
        <is>
          <t>prima/seconda/terza media, romanzo, narrativa</t>
        </is>
      </c>
      <c r="L112" s="14" t="inlineStr">
        <is>
          <t>Catalogo Pelledoca 2025 (ISBN 9788832790887)</t>
        </is>
      </c>
      <c r="M112" s="16" t="n">
        <v>16</v>
      </c>
      <c r="N112" s="14" t="inlineStr">
        <is>
          <t>Catalogo Pelledoca 2025</t>
        </is>
      </c>
      <c r="O112" s="16">
        <f>IF(ISNUMBER(M112),ROUND(M112*(1-Condizioni!$B$2),2),"")</f>
        <v/>
      </c>
      <c r="P112" s="17" t="inlineStr">
        <is>
          <t>No</t>
        </is>
      </c>
    </row>
    <row r="113">
      <c r="A113" s="14" t="inlineStr">
        <is>
          <t>Pelledoca</t>
        </is>
      </c>
      <c r="B113" s="14" t="inlineStr">
        <is>
          <t>Sulle Tracce della Verità</t>
        </is>
      </c>
      <c r="C113" s="14" t="inlineStr">
        <is>
          <t>Sergio Badino</t>
        </is>
      </c>
      <c r="D113" s="14" t="inlineStr">
        <is>
          <t>NeroInchiostro</t>
        </is>
      </c>
      <c r="E113" s="14" t="inlineStr">
        <is>
          <t>Dagli 11 anni</t>
        </is>
      </c>
      <c r="F113" s="14" t="inlineStr">
        <is>
          <t>Scuola media (11-13)</t>
        </is>
      </c>
      <c r="G113" s="14" t="inlineStr">
        <is>
          <t>Romanzo</t>
        </is>
      </c>
      <c r="H113" s="14" t="inlineStr"/>
      <c r="I113" s="14" t="inlineStr">
        <is>
          <t>No</t>
        </is>
      </c>
      <c r="J113" s="14" t="inlineStr">
        <is>
          <t>Catalogo</t>
        </is>
      </c>
      <c r="K113" s="14" t="inlineStr">
        <is>
          <t>prima/seconda/terza media, romanzo, narrativa</t>
        </is>
      </c>
      <c r="L113" s="14" t="inlineStr">
        <is>
          <t>Catalogo Pelledoca 2025 (ISBN 9788832791105)</t>
        </is>
      </c>
      <c r="M113" s="16" t="n">
        <v>16</v>
      </c>
      <c r="N113" s="14" t="inlineStr">
        <is>
          <t>Catalogo Pelledoca 2025</t>
        </is>
      </c>
      <c r="O113" s="16">
        <f>IF(ISNUMBER(M113),ROUND(M113*(1-Condizioni!$B$2),2),"")</f>
        <v/>
      </c>
      <c r="P113" s="17" t="inlineStr">
        <is>
          <t>No</t>
        </is>
      </c>
    </row>
    <row r="114">
      <c r="A114" s="14" t="inlineStr">
        <is>
          <t>Pelledoca</t>
        </is>
      </c>
      <c r="B114" s="14" t="inlineStr">
        <is>
          <t>The Next Level</t>
        </is>
      </c>
      <c r="C114" s="14" t="inlineStr">
        <is>
          <t>Carla Anzile</t>
        </is>
      </c>
      <c r="D114" s="14" t="inlineStr">
        <is>
          <t>NeroInchiostro</t>
        </is>
      </c>
      <c r="E114" s="14" t="inlineStr">
        <is>
          <t>Dai 12 anni</t>
        </is>
      </c>
      <c r="F114" s="14" t="inlineStr">
        <is>
          <t>Scuola media (11-13)</t>
        </is>
      </c>
      <c r="G114" s="14" t="inlineStr">
        <is>
          <t>Romanzo</t>
        </is>
      </c>
      <c r="H114" s="14" t="inlineStr">
        <is>
          <t>Videogiochi e realtà</t>
        </is>
      </c>
      <c r="I114" s="14" t="inlineStr">
        <is>
          <t>No</t>
        </is>
      </c>
      <c r="J114" s="14" t="inlineStr">
        <is>
          <t>Catalogo</t>
        </is>
      </c>
      <c r="K114" s="14" t="inlineStr">
        <is>
          <t>prima/seconda/terza media, romanzo, narrativa</t>
        </is>
      </c>
      <c r="L114" s="14" t="inlineStr">
        <is>
          <t>Catalogo Pelledoca 2025 (ISBN 9788832791044)</t>
        </is>
      </c>
      <c r="M114" s="16" t="n">
        <v>16</v>
      </c>
      <c r="N114" s="14" t="inlineStr">
        <is>
          <t>Catalogo Pelledoca 2025</t>
        </is>
      </c>
      <c r="O114" s="16">
        <f>IF(ISNUMBER(M114),ROUND(M114*(1-Condizioni!$B$2),2),"")</f>
        <v/>
      </c>
      <c r="P114" s="17" t="inlineStr">
        <is>
          <t>No</t>
        </is>
      </c>
    </row>
    <row r="115">
      <c r="A115" s="14" t="inlineStr">
        <is>
          <t>Pelledoca</t>
        </is>
      </c>
      <c r="B115" s="14" t="inlineStr">
        <is>
          <t>Ti Ho Visto</t>
        </is>
      </c>
      <c r="C115" s="14" t="inlineStr">
        <is>
          <t>Sara Colaone; ill. Sara Colaone</t>
        </is>
      </c>
      <c r="D115" s="14" t="inlineStr">
        <is>
          <t>OcchiAperti</t>
        </is>
      </c>
      <c r="E115" s="14" t="inlineStr">
        <is>
          <t>Dagli 11 anni</t>
        </is>
      </c>
      <c r="F115" s="14" t="inlineStr">
        <is>
          <t>Scuola media (11-13)</t>
        </is>
      </c>
      <c r="G115" s="14" t="inlineStr">
        <is>
          <t>Narrativa</t>
        </is>
      </c>
      <c r="H115" s="14" t="inlineStr"/>
      <c r="I115" s="14" t="inlineStr">
        <is>
          <t>No</t>
        </is>
      </c>
      <c r="J115" s="14" t="inlineStr">
        <is>
          <t>Catalogo</t>
        </is>
      </c>
      <c r="K115" s="14" t="inlineStr">
        <is>
          <t>prima/seconda/terza media, narrativa</t>
        </is>
      </c>
      <c r="L115" s="14" t="inlineStr">
        <is>
          <t>Catalogo Pelledoca 2025 (ISBN 9788832790184)</t>
        </is>
      </c>
      <c r="M115" s="16" t="n">
        <v>18</v>
      </c>
      <c r="N115" s="14" t="inlineStr">
        <is>
          <t>Catalogo Pelledoca 2025</t>
        </is>
      </c>
      <c r="O115" s="16">
        <f>IF(ISNUMBER(M115),ROUND(M115*(1-Condizioni!$B$2),2),"")</f>
        <v/>
      </c>
      <c r="P115" s="17" t="inlineStr">
        <is>
          <t>No</t>
        </is>
      </c>
    </row>
    <row r="116">
      <c r="A116" s="14" t="inlineStr">
        <is>
          <t>Pelledoca</t>
        </is>
      </c>
      <c r="B116" s="14" t="inlineStr">
        <is>
          <t>Una Lunghissima Notte</t>
        </is>
      </c>
      <c r="C116" s="14" t="inlineStr">
        <is>
          <t>Annalisa Strada</t>
        </is>
      </c>
      <c r="D116" s="14" t="inlineStr">
        <is>
          <t>NeroInchiostro</t>
        </is>
      </c>
      <c r="E116" s="14" t="inlineStr">
        <is>
          <t>Dagli 11 anni</t>
        </is>
      </c>
      <c r="F116" s="14" t="inlineStr">
        <is>
          <t>Scuola media (11-13)</t>
        </is>
      </c>
      <c r="G116" s="14" t="inlineStr">
        <is>
          <t>Romanzo</t>
        </is>
      </c>
      <c r="H116" s="14" t="inlineStr"/>
      <c r="I116" s="14" t="inlineStr">
        <is>
          <t>No</t>
        </is>
      </c>
      <c r="J116" s="14" t="inlineStr">
        <is>
          <t>Catalogo</t>
        </is>
      </c>
      <c r="K116" s="14" t="inlineStr">
        <is>
          <t>prima/seconda/terza media, romanzo, narrativa</t>
        </is>
      </c>
      <c r="L116" s="14" t="inlineStr">
        <is>
          <t>Catalogo Pelledoca 2025 (ISBN 9788832790146)</t>
        </is>
      </c>
      <c r="M116" s="16" t="n">
        <v>16</v>
      </c>
      <c r="N116" s="14" t="inlineStr">
        <is>
          <t>Catalogo Pelledoca 2025</t>
        </is>
      </c>
      <c r="O116" s="16">
        <f>IF(ISNUMBER(M116),ROUND(M116*(1-Condizioni!$B$2),2),"")</f>
        <v/>
      </c>
      <c r="P116" s="17" t="inlineStr">
        <is>
          <t>Sì</t>
        </is>
      </c>
    </row>
    <row r="117">
      <c r="A117" s="14" t="inlineStr">
        <is>
          <t>Pelledoca</t>
        </is>
      </c>
      <c r="B117" s="14" t="inlineStr">
        <is>
          <t>Via della Ratta Morta Numero 1</t>
        </is>
      </c>
      <c r="C117" s="14" t="inlineStr">
        <is>
          <t>Arianna Papini</t>
        </is>
      </c>
      <c r="D117" s="14" t="inlineStr">
        <is>
          <t>OcchiAperti</t>
        </is>
      </c>
      <c r="E117" s="14" t="inlineStr">
        <is>
          <t>Dagli 11 anni</t>
        </is>
      </c>
      <c r="F117" s="14" t="inlineStr">
        <is>
          <t>Scuola media (11-13)</t>
        </is>
      </c>
      <c r="G117" s="14" t="inlineStr">
        <is>
          <t>Narrativa</t>
        </is>
      </c>
      <c r="H117" s="14" t="inlineStr"/>
      <c r="I117" s="14" t="inlineStr">
        <is>
          <t>No</t>
        </is>
      </c>
      <c r="J117" s="14" t="inlineStr">
        <is>
          <t>Catalogo</t>
        </is>
      </c>
      <c r="K117" s="14" t="inlineStr">
        <is>
          <t>prima/seconda/terza media, narrativa</t>
        </is>
      </c>
      <c r="L117" s="14" t="inlineStr">
        <is>
          <t>Catalogo Pelledoca 2025 (ISBN 9788832791341)</t>
        </is>
      </c>
      <c r="M117" s="16" t="n">
        <v>18</v>
      </c>
      <c r="N117" s="14" t="inlineStr">
        <is>
          <t>Catalogo Pelledoca 2025</t>
        </is>
      </c>
      <c r="O117" s="16">
        <f>IF(ISNUMBER(M117),ROUND(M117*(1-Condizioni!$B$2),2),"")</f>
        <v/>
      </c>
      <c r="P117" s="17" t="inlineStr">
        <is>
          <t>No</t>
        </is>
      </c>
    </row>
    <row r="118">
      <c r="A118" s="14" t="inlineStr">
        <is>
          <t>Pelledoca</t>
        </is>
      </c>
      <c r="B118" s="14" t="inlineStr">
        <is>
          <t>The Screen - Impresso nei Miei Occhi</t>
        </is>
      </c>
      <c r="C118" s="14" t="inlineStr">
        <is>
          <t>Alessandro Pasquinucci</t>
        </is>
      </c>
      <c r="D118" s="14" t="inlineStr">
        <is>
          <t>NeroInchiostro</t>
        </is>
      </c>
      <c r="E118" s="14" t="inlineStr">
        <is>
          <t>Dai 14 anni</t>
        </is>
      </c>
      <c r="F118" s="14" t="inlineStr">
        <is>
          <t>Adolescenza (14+)</t>
        </is>
      </c>
      <c r="G118" s="14" t="inlineStr">
        <is>
          <t>Romanzo</t>
        </is>
      </c>
      <c r="H118" s="14" t="inlineStr">
        <is>
          <t>Violenza online</t>
        </is>
      </c>
      <c r="I118" s="14" t="inlineStr">
        <is>
          <t>No</t>
        </is>
      </c>
      <c r="J118" s="14" t="inlineStr">
        <is>
          <t>Catalogo</t>
        </is>
      </c>
      <c r="K118" s="14" t="inlineStr">
        <is>
          <t>adolescenza, romanzo, narrativa</t>
        </is>
      </c>
      <c r="L118" s="14" t="inlineStr">
        <is>
          <t>Catalogo Pelledoca 2025 (ISBN 9788832790870)</t>
        </is>
      </c>
      <c r="M118" s="16" t="n">
        <v>16</v>
      </c>
      <c r="N118" s="14" t="inlineStr">
        <is>
          <t>Catalogo Pelledoca 2025</t>
        </is>
      </c>
      <c r="O118" s="16">
        <f>IF(ISNUMBER(M118),ROUND(M118*(1-Condizioni!$B$2),2),"")</f>
        <v/>
      </c>
      <c r="P118" s="17" t="inlineStr">
        <is>
          <t>No</t>
        </is>
      </c>
    </row>
  </sheetData>
  <autoFilter ref="A1:P11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Momo Edizioni</t>
        </is>
      </c>
      <c r="B2" s="14" t="inlineStr">
        <is>
          <t>Animalia. Il mio primo bestiario</t>
        </is>
      </c>
      <c r="C2" s="14" t="inlineStr">
        <is>
          <t>Marco Iuffrida</t>
        </is>
      </c>
      <c r="D2" s="14" t="inlineStr">
        <is>
          <t>Libri Monelli</t>
        </is>
      </c>
      <c r="E2" s="14" t="inlineStr">
        <is>
          <t>da 4 anni</t>
        </is>
      </c>
      <c r="F2" s="14" t="inlineStr">
        <is>
          <t>3-6 anni</t>
        </is>
      </c>
      <c r="G2" s="14" t="inlineStr">
        <is>
          <t>Albo illustrato</t>
        </is>
      </c>
      <c r="H2" s="14" t="inlineStr">
        <is>
          <t>Rispetto per gli animali e conoscenza di sé</t>
        </is>
      </c>
      <c r="I2" s="14" t="inlineStr">
        <is>
          <t>No</t>
        </is>
      </c>
      <c r="J2" s="14" t="inlineStr">
        <is>
          <t>Catalogo</t>
        </is>
      </c>
      <c r="K2" s="14" t="inlineStr">
        <is>
          <t>3-6 anni</t>
        </is>
      </c>
      <c r="L2" s="14" t="inlineStr">
        <is>
          <t>https://momoedizioni.it/categoria/libri/libri-monelli/</t>
        </is>
      </c>
      <c r="M2" s="16" t="n">
        <v>15</v>
      </c>
      <c r="N2" s="14" t="inlineStr">
        <is>
          <t>Sito Momo Edizioni</t>
        </is>
      </c>
      <c r="O2" s="16">
        <f>IF(ISNUMBER(M2),ROUND(M2*(1-Condizioni!$B$2),2),"")</f>
        <v/>
      </c>
      <c r="P2" s="17" t="inlineStr">
        <is>
          <t>Sì</t>
        </is>
      </c>
    </row>
    <row r="3">
      <c r="A3" s="14" t="inlineStr">
        <is>
          <t>Momo Edizioni</t>
        </is>
      </c>
      <c r="B3" s="14" t="inlineStr">
        <is>
          <t>Che cos'è il sesso?</t>
        </is>
      </c>
      <c r="C3" s="14" t="inlineStr">
        <is>
          <t>Silvio Montanaro e Francesca D’Onofrio; ill. Luisa Montalto</t>
        </is>
      </c>
      <c r="D3" s="14" t="inlineStr">
        <is>
          <t>Libri Monelli</t>
        </is>
      </c>
      <c r="E3" s="14" t="inlineStr">
        <is>
          <t>6-99 anni</t>
        </is>
      </c>
      <c r="F3" s="14" t="inlineStr">
        <is>
          <t>Prime letture (6-8)</t>
        </is>
      </c>
      <c r="G3" s="14" t="inlineStr">
        <is>
          <t>Divulgazione/Saggio</t>
        </is>
      </c>
      <c r="H3" s="14" t="inlineStr">
        <is>
          <t>Educazione affettiva e sessuale</t>
        </is>
      </c>
      <c r="I3" s="14" t="inlineStr">
        <is>
          <t>No</t>
        </is>
      </c>
      <c r="J3" s="14" t="inlineStr">
        <is>
          <t>Catalogo</t>
        </is>
      </c>
      <c r="K3" s="14" t="inlineStr">
        <is>
          <t>prime letture</t>
        </is>
      </c>
      <c r="L3" s="14" t="inlineStr">
        <is>
          <t>https://www.libraccio.it/libro/9791280298102/francesca-d</t>
        </is>
      </c>
      <c r="M3" s="16" t="n">
        <v>15</v>
      </c>
      <c r="N3" s="14" t="inlineStr">
        <is>
          <t>Sito Momo Edizioni</t>
        </is>
      </c>
      <c r="O3" s="16">
        <f>IF(ISNUMBER(M3),ROUND(M3*(1-Condizioni!$B$2),2),"")</f>
        <v/>
      </c>
      <c r="P3" s="17" t="inlineStr">
        <is>
          <t>Sì</t>
        </is>
      </c>
    </row>
    <row r="4">
      <c r="A4" s="14" t="inlineStr">
        <is>
          <t>Momo Edizioni</t>
        </is>
      </c>
      <c r="B4" s="14" t="inlineStr">
        <is>
          <t>Genitori che puzzano</t>
        </is>
      </c>
      <c r="C4" s="14" t="inlineStr">
        <is>
          <t>Gina; ill. Alessio Spataro</t>
        </is>
      </c>
      <c r="D4" s="14" t="inlineStr">
        <is>
          <t>Libri Monelli</t>
        </is>
      </c>
      <c r="E4" s="14" t="inlineStr">
        <is>
          <t>7-99 anni</t>
        </is>
      </c>
      <c r="F4" s="14" t="inlineStr">
        <is>
          <t>Prime letture (6-8)</t>
        </is>
      </c>
      <c r="G4" s="14" t="inlineStr">
        <is>
          <t>Narrativa</t>
        </is>
      </c>
      <c r="H4" s="14" t="inlineStr">
        <is>
          <t>Famiglia e rapporto tra generazioni</t>
        </is>
      </c>
      <c r="I4" s="14" t="inlineStr">
        <is>
          <t>No</t>
        </is>
      </c>
      <c r="J4" s="14" t="inlineStr">
        <is>
          <t>Catalogo</t>
        </is>
      </c>
      <c r="K4" s="14" t="inlineStr">
        <is>
          <t>prime letture, narrativa</t>
        </is>
      </c>
      <c r="L4" s="14" t="inlineStr">
        <is>
          <t>https://momoedizioni.it/categoria/libri/libri-monelli/</t>
        </is>
      </c>
      <c r="M4" s="16" t="n">
        <v>11</v>
      </c>
      <c r="N4" s="14" t="inlineStr">
        <is>
          <t>Sito Momo Edizioni</t>
        </is>
      </c>
      <c r="O4" s="16">
        <f>IF(ISNUMBER(M4),ROUND(M4*(1-Condizioni!$B$2),2),"")</f>
        <v/>
      </c>
      <c r="P4" s="17" t="inlineStr">
        <is>
          <t>Sì</t>
        </is>
      </c>
    </row>
    <row r="5">
      <c r="A5" s="14" t="inlineStr">
        <is>
          <t>Momo Edizioni</t>
        </is>
      </c>
      <c r="B5" s="14" t="inlineStr">
        <is>
          <t>Gli adulti fanno schifo</t>
        </is>
      </c>
      <c r="C5" s="14" t="inlineStr">
        <is>
          <t>Gina; ill. Alessio Spataro</t>
        </is>
      </c>
      <c r="D5" s="14" t="inlineStr">
        <is>
          <t>Libri Monelli</t>
        </is>
      </c>
      <c r="E5" s="14" t="inlineStr">
        <is>
          <t>7-99 anni</t>
        </is>
      </c>
      <c r="F5" s="14" t="inlineStr">
        <is>
          <t>Prime letture (6-8)</t>
        </is>
      </c>
      <c r="G5" s="14" t="inlineStr">
        <is>
          <t>Narrativa</t>
        </is>
      </c>
      <c r="H5" s="14" t="inlineStr">
        <is>
          <t>Ambiente, pace e protagonismo dei ragazzi</t>
        </is>
      </c>
      <c r="I5" s="14" t="inlineStr">
        <is>
          <t>No</t>
        </is>
      </c>
      <c r="J5" s="14" t="inlineStr">
        <is>
          <t>Catalogo</t>
        </is>
      </c>
      <c r="K5" s="14" t="inlineStr">
        <is>
          <t>prime letture, narrativa</t>
        </is>
      </c>
      <c r="L5" s="14" t="inlineStr">
        <is>
          <t>https://momoedizioni.it/categoria/libri/libri-monelli/</t>
        </is>
      </c>
      <c r="M5" s="16" t="n">
        <v>10</v>
      </c>
      <c r="N5" s="14" t="inlineStr">
        <is>
          <t>Sito Momo Edizioni</t>
        </is>
      </c>
      <c r="O5" s="16">
        <f>IF(ISNUMBER(M5),ROUND(M5*(1-Condizioni!$B$2),2),"")</f>
        <v/>
      </c>
      <c r="P5" s="17" t="inlineStr">
        <is>
          <t>Sì</t>
        </is>
      </c>
    </row>
    <row r="6">
      <c r="A6" s="14" t="inlineStr">
        <is>
          <t>Momo Edizioni</t>
        </is>
      </c>
      <c r="B6" s="14" t="inlineStr">
        <is>
          <t>Il lago che combatte</t>
        </is>
      </c>
      <c r="C6" s="14" t="inlineStr">
        <is>
          <t>Militant A (Assalti Frontali); ill. Chiara Fazi</t>
        </is>
      </c>
      <c r="D6" s="14" t="inlineStr">
        <is>
          <t>Libri Monelli</t>
        </is>
      </c>
      <c r="E6" s="14" t="inlineStr">
        <is>
          <t>6-99 anni</t>
        </is>
      </c>
      <c r="F6" s="14" t="inlineStr">
        <is>
          <t>Prime letture (6-8)</t>
        </is>
      </c>
      <c r="G6" s="14" t="inlineStr">
        <is>
          <t>Narrativa</t>
        </is>
      </c>
      <c r="H6" s="14" t="inlineStr">
        <is>
          <t>Ambiente, natura e partecipazione dei cittadini</t>
        </is>
      </c>
      <c r="I6" s="14" t="inlineStr">
        <is>
          <t>No</t>
        </is>
      </c>
      <c r="J6" s="14" t="inlineStr">
        <is>
          <t>Catalogo</t>
        </is>
      </c>
      <c r="K6" s="14" t="inlineStr">
        <is>
          <t>prime letture, narrativa</t>
        </is>
      </c>
      <c r="L6" s="14" t="inlineStr">
        <is>
          <t>https://momoedizioni.it/categoria/libri/libri-monelli/</t>
        </is>
      </c>
      <c r="M6" s="16" t="n">
        <v>18</v>
      </c>
      <c r="N6" s="14" t="inlineStr">
        <is>
          <t>Sito Momo Edizioni</t>
        </is>
      </c>
      <c r="O6" s="16">
        <f>IF(ISNUMBER(M6),ROUND(M6*(1-Condizioni!$B$2),2),"")</f>
        <v/>
      </c>
      <c r="P6" s="17" t="inlineStr">
        <is>
          <t>Sì</t>
        </is>
      </c>
    </row>
    <row r="7">
      <c r="A7" s="14" t="inlineStr">
        <is>
          <t>Momo Edizioni</t>
        </is>
      </c>
      <c r="B7" s="14" t="inlineStr">
        <is>
          <t>Mia patria sono gli oppressi. Don Milani, la scuola, la guerra</t>
        </is>
      </c>
      <c r="C7" s="14" t="inlineStr">
        <is>
          <t>Vanessa Roghi; ill. Marco Petrella</t>
        </is>
      </c>
      <c r="D7" s="14" t="inlineStr">
        <is>
          <t>Libri Monelli</t>
        </is>
      </c>
      <c r="E7" s="14" t="inlineStr">
        <is>
          <t>6-99 anni</t>
        </is>
      </c>
      <c r="F7" s="14" t="inlineStr">
        <is>
          <t>Prime letture (6-8)</t>
        </is>
      </c>
      <c r="G7" s="14" t="inlineStr">
        <is>
          <t>Narrativa</t>
        </is>
      </c>
      <c r="H7" s="14" t="inlineStr">
        <is>
          <t>Giustizia sociale, scuola e pace (don Milani)</t>
        </is>
      </c>
      <c r="I7" s="14" t="inlineStr">
        <is>
          <t>No</t>
        </is>
      </c>
      <c r="J7" s="14" t="inlineStr">
        <is>
          <t>Catalogo</t>
        </is>
      </c>
      <c r="K7" s="14" t="inlineStr">
        <is>
          <t>prime letture, narrativa</t>
        </is>
      </c>
      <c r="L7" s="14" t="inlineStr">
        <is>
          <t>https://momoedizioni.it/categoria/libri/libri-monelli/</t>
        </is>
      </c>
      <c r="M7" s="16" t="n">
        <v>14</v>
      </c>
      <c r="N7" s="14" t="inlineStr">
        <is>
          <t>Sito Momo Edizioni</t>
        </is>
      </c>
      <c r="O7" s="16">
        <f>IF(ISNUMBER(M7),ROUND(M7*(1-Condizioni!$B$2),2),"")</f>
        <v/>
      </c>
      <c r="P7" s="17" t="inlineStr">
        <is>
          <t>Sì</t>
        </is>
      </c>
    </row>
    <row r="8">
      <c r="A8" s="14" t="inlineStr">
        <is>
          <t>Momo Edizioni</t>
        </is>
      </c>
      <c r="B8" s="14" t="inlineStr">
        <is>
          <t>Portami al mare. Un viaggio nel Mediterraneo per piccoli scienziati</t>
        </is>
      </c>
      <c r="C8" s="14" t="inlineStr">
        <is>
          <t>Ernesto Azzurro ed Emanuela Fanelli; ill. Martina Troise</t>
        </is>
      </c>
      <c r="D8" s="14" t="inlineStr">
        <is>
          <t>Libri Monelli</t>
        </is>
      </c>
      <c r="E8" s="14" t="inlineStr">
        <is>
          <t>6-99 anni</t>
        </is>
      </c>
      <c r="F8" s="14" t="inlineStr">
        <is>
          <t>Prime letture (6-8)</t>
        </is>
      </c>
      <c r="G8" s="14" t="inlineStr">
        <is>
          <t>Divulgazione/Saggio</t>
        </is>
      </c>
      <c r="H8" s="14" t="inlineStr">
        <is>
          <t>Ambiente, mare e biodiversità</t>
        </is>
      </c>
      <c r="I8" s="14" t="inlineStr">
        <is>
          <t>No</t>
        </is>
      </c>
      <c r="J8" s="14" t="inlineStr">
        <is>
          <t>Catalogo</t>
        </is>
      </c>
      <c r="K8" s="14" t="inlineStr">
        <is>
          <t>prime letture</t>
        </is>
      </c>
      <c r="L8" s="14" t="inlineStr">
        <is>
          <t>https://momoedizioni.it/categoria/libri/libri-monelli/</t>
        </is>
      </c>
      <c r="M8" s="16" t="n">
        <v>15</v>
      </c>
      <c r="N8" s="14" t="inlineStr">
        <is>
          <t>Sito Momo Edizioni</t>
        </is>
      </c>
      <c r="O8" s="16">
        <f>IF(ISNUMBER(M8),ROUND(M8*(1-Condizioni!$B$2),2),"")</f>
        <v/>
      </c>
      <c r="P8" s="17" t="inlineStr">
        <is>
          <t>Sì</t>
        </is>
      </c>
    </row>
    <row r="9">
      <c r="A9" s="14" t="inlineStr">
        <is>
          <t>Momo Edizioni</t>
        </is>
      </c>
      <c r="B9" s="14" t="inlineStr">
        <is>
          <t>SOS Oceano. Impariamo a difendere il mare</t>
        </is>
      </c>
      <c r="C9" s="14" t="inlineStr">
        <is>
          <t>Ernesto Azzurro ed Emanuela Fanelli; ill. Bruna e Martina Troise</t>
        </is>
      </c>
      <c r="D9" s="14" t="inlineStr">
        <is>
          <t>Libri Monelli</t>
        </is>
      </c>
      <c r="E9" s="14" t="inlineStr">
        <is>
          <t>da 6 anni</t>
        </is>
      </c>
      <c r="F9" s="14" t="inlineStr">
        <is>
          <t>Prime letture (6-8)</t>
        </is>
      </c>
      <c r="G9" s="14" t="inlineStr">
        <is>
          <t>Divulgazione/Saggio</t>
        </is>
      </c>
      <c r="H9" s="14" t="inlineStr">
        <is>
          <t>Ambiente, inquinamento e tutela del mare</t>
        </is>
      </c>
      <c r="I9" s="14" t="inlineStr">
        <is>
          <t>No</t>
        </is>
      </c>
      <c r="J9" s="14" t="inlineStr">
        <is>
          <t>Catalogo</t>
        </is>
      </c>
      <c r="K9" s="14" t="inlineStr">
        <is>
          <t>prime letture</t>
        </is>
      </c>
      <c r="L9" s="14" t="inlineStr">
        <is>
          <t>https://momoedizioni.it/categoria/libri/libri-monelli/</t>
        </is>
      </c>
      <c r="M9" s="16" t="n">
        <v>15</v>
      </c>
      <c r="N9" s="14" t="inlineStr">
        <is>
          <t>Sito Momo Edizioni</t>
        </is>
      </c>
      <c r="O9" s="16">
        <f>IF(ISNUMBER(M9),ROUND(M9*(1-Condizioni!$B$2),2),"")</f>
        <v/>
      </c>
      <c r="P9" s="17" t="inlineStr">
        <is>
          <t>Sì</t>
        </is>
      </c>
    </row>
    <row r="10">
      <c r="A10" s="14" t="inlineStr">
        <is>
          <t>Momo Edizioni</t>
        </is>
      </c>
      <c r="B10" s="14" t="inlineStr">
        <is>
          <t>Libera dal ciclo</t>
        </is>
      </c>
      <c r="C10" s="14" t="inlineStr">
        <is>
          <t>Flavia Fazi</t>
        </is>
      </c>
      <c r="D10" s="14" t="inlineStr">
        <is>
          <t>Libri Monelli</t>
        </is>
      </c>
      <c r="E10" s="14" t="inlineStr">
        <is>
          <t>da 10 anni</t>
        </is>
      </c>
      <c r="F10" s="14" t="inlineStr">
        <is>
          <t>10+</t>
        </is>
      </c>
      <c r="G10" s="14" t="inlineStr">
        <is>
          <t>Divulgazione/Saggio</t>
        </is>
      </c>
      <c r="H10" s="14" t="inlineStr">
        <is>
          <t>Società e attualità</t>
        </is>
      </c>
      <c r="I10" s="14" t="inlineStr">
        <is>
          <t>No</t>
        </is>
      </c>
      <c r="J10" s="14" t="inlineStr">
        <is>
          <t>Catalogo</t>
        </is>
      </c>
      <c r="K10" s="14" t="inlineStr">
        <is>
          <t>10+</t>
        </is>
      </c>
      <c r="L10" s="14" t="inlineStr">
        <is>
          <t>https://momoedizioni.it/categoria/libri/libri-monelli/</t>
        </is>
      </c>
      <c r="M10" s="16" t="n">
        <v>10</v>
      </c>
      <c r="N10" s="14" t="inlineStr">
        <is>
          <t>Sito Momo Edizioni</t>
        </is>
      </c>
      <c r="O10" s="16">
        <f>IF(ISNUMBER(M10),ROUND(M10*(1-Condizioni!$B$2),2),"")</f>
        <v/>
      </c>
      <c r="P10" s="17" t="inlineStr">
        <is>
          <t>Sì</t>
        </is>
      </c>
    </row>
    <row r="11">
      <c r="A11" s="14" t="inlineStr">
        <is>
          <t>Momo Edizioni</t>
        </is>
      </c>
      <c r="B11" s="14" t="inlineStr">
        <is>
          <t>Ad occhi aperti</t>
        </is>
      </c>
      <c r="C11" s="14" t="inlineStr">
        <is>
          <t>Vanessa Roghi; ill. Irma Alonzo</t>
        </is>
      </c>
      <c r="D11" s="14" t="inlineStr">
        <is>
          <t>Libri Monelli</t>
        </is>
      </c>
      <c r="E11" s="14" t="inlineStr">
        <is>
          <t>11-99 anni</t>
        </is>
      </c>
      <c r="F11" s="14" t="inlineStr">
        <is>
          <t>Scuola media (11-13)</t>
        </is>
      </c>
      <c r="G11" s="14" t="inlineStr">
        <is>
          <t>Narrativa</t>
        </is>
      </c>
      <c r="H11" s="14" t="inlineStr">
        <is>
          <t>Dipendenze e riduzione del danno</t>
        </is>
      </c>
      <c r="I11" s="14" t="inlineStr">
        <is>
          <t>No</t>
        </is>
      </c>
      <c r="J11" s="14" t="inlineStr">
        <is>
          <t>Catalogo</t>
        </is>
      </c>
      <c r="K11" s="14" t="inlineStr">
        <is>
          <t>prima/seconda/terza media, narrativa</t>
        </is>
      </c>
      <c r="L11" s="14" t="inlineStr">
        <is>
          <t>https://momoedizioni.it/categoria/libri/libri-monelli/</t>
        </is>
      </c>
      <c r="M11" s="16" t="n">
        <v>15</v>
      </c>
      <c r="N11" s="14" t="inlineStr">
        <is>
          <t>Sito Momo Edizioni</t>
        </is>
      </c>
      <c r="O11" s="16">
        <f>IF(ISNUMBER(M11),ROUND(M11*(1-Condizioni!$B$2),2),"")</f>
        <v/>
      </c>
      <c r="P11" s="17" t="inlineStr">
        <is>
          <t>Sì</t>
        </is>
      </c>
    </row>
    <row r="12">
      <c r="A12" s="14" t="inlineStr">
        <is>
          <t>Momo Edizioni</t>
        </is>
      </c>
      <c r="B12" s="14" t="inlineStr">
        <is>
          <t>Il carcere è un mondo di carta</t>
        </is>
      </c>
      <c r="C12" s="14" t="inlineStr">
        <is>
          <t>Valentina Calderone e Marica Fantauzzi; ill. Ginevra Vacalebre</t>
        </is>
      </c>
      <c r="D12" s="14" t="inlineStr">
        <is>
          <t>Libri Monelli</t>
        </is>
      </c>
      <c r="E12" s="14" t="inlineStr">
        <is>
          <t>11-99 anni</t>
        </is>
      </c>
      <c r="F12" s="14" t="inlineStr">
        <is>
          <t>Scuola media (11-13)</t>
        </is>
      </c>
      <c r="G12" s="14" t="inlineStr">
        <is>
          <t>Narrativa</t>
        </is>
      </c>
      <c r="H12" s="14" t="inlineStr">
        <is>
          <t>Carcere, diritti e dignità della persona</t>
        </is>
      </c>
      <c r="I12" s="14" t="inlineStr">
        <is>
          <t>No</t>
        </is>
      </c>
      <c r="J12" s="14" t="inlineStr">
        <is>
          <t>Catalogo</t>
        </is>
      </c>
      <c r="K12" s="14" t="inlineStr">
        <is>
          <t>prima/seconda/terza media, narrativa</t>
        </is>
      </c>
      <c r="L12" s="14" t="inlineStr">
        <is>
          <t>https://momoedizioni.it/categoria/libri/libri-monelli/</t>
        </is>
      </c>
      <c r="M12" s="16" t="n">
        <v>15</v>
      </c>
      <c r="N12" s="14" t="inlineStr">
        <is>
          <t>Sito Momo Edizioni</t>
        </is>
      </c>
      <c r="O12" s="16">
        <f>IF(ISNUMBER(M12),ROUND(M12*(1-Condizioni!$B$2),2),"")</f>
        <v/>
      </c>
      <c r="P12" s="17" t="inlineStr">
        <is>
          <t>Sì</t>
        </is>
      </c>
    </row>
    <row r="13">
      <c r="A13" s="14" t="inlineStr">
        <is>
          <t>Momo Edizioni</t>
        </is>
      </c>
      <c r="B13" s="14" t="inlineStr">
        <is>
          <t>A cosa servono le cose?</t>
        </is>
      </c>
      <c r="C13" s="14" t="inlineStr">
        <is>
          <t>Tina Napoli; ill. Marco Petrella</t>
        </is>
      </c>
      <c r="D13" s="14" t="inlineStr">
        <is>
          <t>Libri Monelli</t>
        </is>
      </c>
      <c r="E13" s="14" t="inlineStr">
        <is>
          <t>da 9 anni</t>
        </is>
      </c>
      <c r="F13" s="14" t="inlineStr">
        <is>
          <t>9+</t>
        </is>
      </c>
      <c r="G13" s="14" t="inlineStr">
        <is>
          <t>Albo illustrato</t>
        </is>
      </c>
      <c r="H13" s="14" t="inlineStr">
        <is>
          <t>Consumo consapevole, diritti e sfruttamento minorile</t>
        </is>
      </c>
      <c r="I13" s="14" t="inlineStr">
        <is>
          <t>No</t>
        </is>
      </c>
      <c r="J13" s="14" t="inlineStr">
        <is>
          <t>Verificata (IBS / editore)</t>
        </is>
      </c>
      <c r="K13" s="14" t="inlineStr">
        <is>
          <t>9+</t>
        </is>
      </c>
      <c r="L13" s="14" t="inlineStr">
        <is>
          <t>https://momoedizioni.it/categoria/libri/libri-monelli/</t>
        </is>
      </c>
      <c r="M13" s="16" t="n">
        <v>15</v>
      </c>
      <c r="N13" s="14" t="inlineStr">
        <is>
          <t>Sito Momo Edizioni</t>
        </is>
      </c>
      <c r="O13" s="16">
        <f>IF(ISNUMBER(M13),ROUND(M13*(1-Condizioni!$B$2),2),"")</f>
        <v/>
      </c>
      <c r="P13" s="17" t="inlineStr">
        <is>
          <t>Sì</t>
        </is>
      </c>
    </row>
    <row r="14">
      <c r="A14" s="14" t="inlineStr">
        <is>
          <t>Momo Edizioni</t>
        </is>
      </c>
      <c r="B14" s="14" t="inlineStr">
        <is>
          <t>Bollicina</t>
        </is>
      </c>
      <c r="C14" s="14" t="inlineStr">
        <is>
          <t>Ciampacavallo; copertina di Zerocalcare</t>
        </is>
      </c>
      <c r="D14" s="14" t="inlineStr">
        <is>
          <t>Libri Monelli – CiampaLibri</t>
        </is>
      </c>
      <c r="E14" s="14" t="inlineStr">
        <is>
          <t>24 pp.; età n.d.</t>
        </is>
      </c>
      <c r="F14" s="14" t="inlineStr">
        <is>
          <t>3-6 anni</t>
        </is>
      </c>
      <c r="G14" s="14" t="inlineStr">
        <is>
          <t>Libro in simboli (CAA)</t>
        </is>
      </c>
      <c r="H14" s="14" t="inlineStr">
        <is>
          <t>Disabilità e inclusione (storia scritta da persone con disabilità)</t>
        </is>
      </c>
      <c r="I14" s="18" t="inlineStr">
        <is>
          <t>Sì</t>
        </is>
      </c>
      <c r="J14" s="15" t="inlineStr">
        <is>
          <t>Da verificare</t>
        </is>
      </c>
      <c r="K14" s="14" t="inlineStr">
        <is>
          <t>3-6 anni, CAA</t>
        </is>
      </c>
      <c r="L14" s="14" t="inlineStr">
        <is>
          <t>https://momoedizioni.it/catalogo/bollicina/</t>
        </is>
      </c>
      <c r="M14" s="16" t="n">
        <v>15</v>
      </c>
      <c r="N14" s="14" t="inlineStr">
        <is>
          <t>Sito Momo Edizioni</t>
        </is>
      </c>
      <c r="O14" s="16">
        <f>IF(ISNUMBER(M14),ROUND(M14*(1-Condizioni!$B$2),2),"")</f>
        <v/>
      </c>
      <c r="P14" s="17" t="inlineStr">
        <is>
          <t>Sì</t>
        </is>
      </c>
    </row>
    <row r="15">
      <c r="A15" s="14" t="inlineStr">
        <is>
          <t>Momo Edizioni</t>
        </is>
      </c>
      <c r="B15" s="14" t="inlineStr">
        <is>
          <t>Cambiare il mondo con i libri. L'incredibile storia di Giangiacomo Feltrinelli</t>
        </is>
      </c>
      <c r="C15" s="14" t="inlineStr">
        <is>
          <t>Mattia Tombolini; ill. Marta Baroni</t>
        </is>
      </c>
      <c r="D15" s="14" t="inlineStr">
        <is>
          <t>Libri Monelli</t>
        </is>
      </c>
      <c r="E15" s="14" t="inlineStr">
        <is>
          <t>da 8 anni</t>
        </is>
      </c>
      <c r="F15" s="14" t="inlineStr">
        <is>
          <t>8+</t>
        </is>
      </c>
      <c r="G15" s="14" t="inlineStr">
        <is>
          <t>Narrativa</t>
        </is>
      </c>
      <c r="H15" s="14" t="inlineStr">
        <is>
          <t>Libri, lettura e impegno civile</t>
        </is>
      </c>
      <c r="I15" s="14" t="inlineStr">
        <is>
          <t>No</t>
        </is>
      </c>
      <c r="J15" s="14" t="inlineStr">
        <is>
          <t>Verificata (IBS / editore)</t>
        </is>
      </c>
      <c r="K15" s="14" t="inlineStr">
        <is>
          <t>8+, narrativa</t>
        </is>
      </c>
      <c r="L15" s="14" t="inlineStr">
        <is>
          <t>https://momoedizioni.it/categoria/libri/libri-monelli/</t>
        </is>
      </c>
      <c r="M15" s="16" t="n">
        <v>13</v>
      </c>
      <c r="N15" s="14" t="inlineStr">
        <is>
          <t>Sito Momo Edizioni</t>
        </is>
      </c>
      <c r="O15" s="16">
        <f>IF(ISNUMBER(M15),ROUND(M15*(1-Condizioni!$B$2),2),"")</f>
        <v/>
      </c>
      <c r="P15" s="17" t="inlineStr">
        <is>
          <t>Sì</t>
        </is>
      </c>
    </row>
    <row r="16">
      <c r="A16" s="14" t="inlineStr">
        <is>
          <t>Momo Edizioni</t>
        </is>
      </c>
      <c r="B16" s="14" t="inlineStr">
        <is>
          <t>Essere tempesta. Vita e morte di Giacomo Matteotti</t>
        </is>
      </c>
      <c r="C16" s="14" t="inlineStr">
        <is>
          <t>Valerio Renzi; ill. Toni Bruno</t>
        </is>
      </c>
      <c r="D16" s="14" t="inlineStr">
        <is>
          <t>Libri Monelli</t>
        </is>
      </c>
      <c r="E16" s="14" t="inlineStr">
        <is>
          <t>da 10 anni</t>
        </is>
      </c>
      <c r="F16" s="14" t="inlineStr">
        <is>
          <t>10+</t>
        </is>
      </c>
      <c r="G16" s="14" t="inlineStr">
        <is>
          <t>Narrativa</t>
        </is>
      </c>
      <c r="H16" s="14" t="inlineStr">
        <is>
          <t>Antifascismo, memoria e giustizia sociale</t>
        </is>
      </c>
      <c r="I16" s="14" t="inlineStr">
        <is>
          <t>No</t>
        </is>
      </c>
      <c r="J16" s="14" t="inlineStr">
        <is>
          <t>Verificata (IBS / editore)</t>
        </is>
      </c>
      <c r="K16" s="14" t="inlineStr">
        <is>
          <t>10+, narrativa</t>
        </is>
      </c>
      <c r="L16" s="14" t="inlineStr">
        <is>
          <t>https://momoedizioni.it/categoria/libri/libri-monelli/</t>
        </is>
      </c>
      <c r="M16" s="16" t="n">
        <v>15</v>
      </c>
      <c r="N16" s="14" t="inlineStr">
        <is>
          <t>Sito Momo Edizioni</t>
        </is>
      </c>
      <c r="O16" s="16">
        <f>IF(ISNUMBER(M16),ROUND(M16*(1-Condizioni!$B$2),2),"")</f>
        <v/>
      </c>
      <c r="P16" s="17" t="inlineStr">
        <is>
          <t>Sì</t>
        </is>
      </c>
    </row>
    <row r="17">
      <c r="A17" s="14" t="inlineStr">
        <is>
          <t>Momo Edizioni</t>
        </is>
      </c>
      <c r="B17" s="14" t="inlineStr">
        <is>
          <t>Karukinka. La nostra terra</t>
        </is>
      </c>
      <c r="C17" s="14" t="inlineStr">
        <is>
          <t>Erica Silvestri</t>
        </is>
      </c>
      <c r="D17" s="14" t="inlineStr">
        <is>
          <t>Libri Monelli</t>
        </is>
      </c>
      <c r="E17" s="14" t="inlineStr">
        <is>
          <t>da 6 anni</t>
        </is>
      </c>
      <c r="F17" s="14" t="inlineStr">
        <is>
          <t>Prime letture (6-8)</t>
        </is>
      </c>
      <c r="G17" s="14" t="inlineStr">
        <is>
          <t>Albo illustrato</t>
        </is>
      </c>
      <c r="H17" s="14" t="inlineStr">
        <is>
          <t>Cambiamento climatico e popoli originari</t>
        </is>
      </c>
      <c r="I17" s="14" t="inlineStr">
        <is>
          <t>No</t>
        </is>
      </c>
      <c r="J17" s="14" t="inlineStr">
        <is>
          <t>Verificata (Bottegart)</t>
        </is>
      </c>
      <c r="K17" s="14" t="inlineStr">
        <is>
          <t>prime letture</t>
        </is>
      </c>
      <c r="L17" s="14" t="inlineStr">
        <is>
          <t>https://momoedizioni.it/categoria/libri/libri-monelli/</t>
        </is>
      </c>
      <c r="M17" s="16" t="n">
        <v>15</v>
      </c>
      <c r="N17" s="14" t="inlineStr">
        <is>
          <t>Sito Momo Edizioni</t>
        </is>
      </c>
      <c r="O17" s="16">
        <f>IF(ISNUMBER(M17),ROUND(M17*(1-Condizioni!$B$2),2),"")</f>
        <v/>
      </c>
      <c r="P17" s="17" t="inlineStr">
        <is>
          <t>Sì</t>
        </is>
      </c>
    </row>
  </sheetData>
  <autoFilter ref="A1:P1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P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Tunuè</t>
        </is>
      </c>
      <c r="B2" s="14" t="inlineStr">
        <is>
          <t>Brina (serie)</t>
        </is>
      </c>
      <c r="C2" s="14" t="inlineStr">
        <is>
          <t>Giorgio Salati e Christian Cornia</t>
        </is>
      </c>
      <c r="D2" s="14" t="inlineStr">
        <is>
          <t>Kids (fumetti)</t>
        </is>
      </c>
      <c r="E2" s="14" t="inlineStr">
        <is>
          <t>6+</t>
        </is>
      </c>
      <c r="F2" s="14" t="inlineStr">
        <is>
          <t>Prime letture (6-8)</t>
        </is>
      </c>
      <c r="G2" s="14" t="inlineStr">
        <is>
          <t>Graphic novel/Fumetto</t>
        </is>
      </c>
      <c r="H2" s="14" t="inlineStr"/>
      <c r="I2" s="14" t="inlineStr">
        <is>
          <t>No</t>
        </is>
      </c>
      <c r="J2" s="14" t="inlineStr">
        <is>
          <t>Catalogo</t>
        </is>
      </c>
      <c r="K2" s="14" t="inlineStr">
        <is>
          <t>prime letture</t>
        </is>
      </c>
      <c r="L2" s="14" t="inlineStr">
        <is>
          <t>https://www.tunue.com/product-category/graphic-novel-per-ragazzi/</t>
        </is>
      </c>
      <c r="M2" s="16" t="n">
        <v>15.5</v>
      </c>
      <c r="N2" s="14" t="inlineStr">
        <is>
          <t>Sito Tunué (prezzo di un volume della serie)</t>
        </is>
      </c>
      <c r="O2" s="16">
        <f>IF(ISNUMBER(M2),ROUND(M2*(1-Condizioni!$B$2),2),"")</f>
        <v/>
      </c>
      <c r="P2" s="17" t="inlineStr">
        <is>
          <t>Sì</t>
        </is>
      </c>
    </row>
    <row r="3">
      <c r="A3" s="14" t="inlineStr">
        <is>
          <t>Tunuè</t>
        </is>
      </c>
      <c r="B3" s="14" t="inlineStr">
        <is>
          <t>Monster Allergy (serie)</t>
        </is>
      </c>
      <c r="C3" s="14" t="inlineStr">
        <is>
          <t>Katja Centomo, Francesco Artibani, Alessandro Barbucci e Barbara Canepa</t>
        </is>
      </c>
      <c r="D3" s="14" t="inlineStr">
        <is>
          <t>Kids (fumetti)</t>
        </is>
      </c>
      <c r="E3" s="14" t="inlineStr">
        <is>
          <t>6+</t>
        </is>
      </c>
      <c r="F3" s="14" t="inlineStr">
        <is>
          <t>Prime letture (6-8)</t>
        </is>
      </c>
      <c r="G3" s="14" t="inlineStr">
        <is>
          <t>Graphic novel/Fumetto</t>
        </is>
      </c>
      <c r="H3" s="14" t="inlineStr"/>
      <c r="I3" s="14" t="inlineStr">
        <is>
          <t>No</t>
        </is>
      </c>
      <c r="J3" s="14" t="inlineStr">
        <is>
          <t>Catalogo</t>
        </is>
      </c>
      <c r="K3" s="14" t="inlineStr">
        <is>
          <t>prime letture</t>
        </is>
      </c>
      <c r="L3" s="14" t="inlineStr">
        <is>
          <t>https://www.tunue.com/product-category/graphic-novel-per-ragazzi/</t>
        </is>
      </c>
      <c r="M3" s="16" t="n">
        <v>14.5</v>
      </c>
      <c r="N3" s="14" t="inlineStr">
        <is>
          <t>Sito Tunué (prezzo di un volume della serie)</t>
        </is>
      </c>
      <c r="O3" s="16">
        <f>IF(ISNUMBER(M3),ROUND(M3*(1-Condizioni!$B$2),2),"")</f>
        <v/>
      </c>
      <c r="P3" s="17" t="inlineStr">
        <is>
          <t>Sì</t>
        </is>
      </c>
    </row>
    <row r="4">
      <c r="A4" s="14" t="inlineStr">
        <is>
          <t>Tunuè</t>
        </is>
      </c>
      <c r="B4" s="14" t="inlineStr">
        <is>
          <t>Terry Time e il coraggio della Resistenza</t>
        </is>
      </c>
      <c r="C4" s="14" t="inlineStr">
        <is>
          <t>Gud</t>
        </is>
      </c>
      <c r="D4" s="14" t="inlineStr">
        <is>
          <t>Kids (fumetti)</t>
        </is>
      </c>
      <c r="E4" s="14" t="inlineStr">
        <is>
          <t>7+</t>
        </is>
      </c>
      <c r="F4" s="14" t="inlineStr">
        <is>
          <t>Prime letture (6-8)</t>
        </is>
      </c>
      <c r="G4" s="14" t="inlineStr">
        <is>
          <t>Graphic novel/Fumetto</t>
        </is>
      </c>
      <c r="H4" s="14" t="inlineStr"/>
      <c r="I4" s="14" t="inlineStr">
        <is>
          <t>No</t>
        </is>
      </c>
      <c r="J4" s="14" t="inlineStr">
        <is>
          <t>Catalogo</t>
        </is>
      </c>
      <c r="K4" s="14" t="inlineStr">
        <is>
          <t>prime letture</t>
        </is>
      </c>
      <c r="L4" s="14" t="inlineStr">
        <is>
          <t>https://www.tunue.com/product-category/graphic-novel-per-ragazzi/</t>
        </is>
      </c>
      <c r="M4" s="16" t="n">
        <v>14.5</v>
      </c>
      <c r="N4" s="14" t="inlineStr">
        <is>
          <t>Sito Tunué (prezzo di un volume della serie)</t>
        </is>
      </c>
      <c r="O4" s="16">
        <f>IF(ISNUMBER(M4),ROUND(M4*(1-Condizioni!$B$2),2),"")</f>
        <v/>
      </c>
      <c r="P4" s="17" t="inlineStr">
        <is>
          <t>Sì</t>
        </is>
      </c>
    </row>
    <row r="5">
      <c r="A5" s="14" t="inlineStr">
        <is>
          <t>Tunuè</t>
        </is>
      </c>
      <c r="B5" s="14" t="inlineStr">
        <is>
          <t>Investigators (serie)</t>
        </is>
      </c>
      <c r="C5" s="14" t="inlineStr">
        <is>
          <t>John Patrick Green</t>
        </is>
      </c>
      <c r="D5" s="14" t="inlineStr">
        <is>
          <t>Kids (fumetti)</t>
        </is>
      </c>
      <c r="E5" s="14" t="inlineStr">
        <is>
          <t>8+</t>
        </is>
      </c>
      <c r="F5" s="14" t="inlineStr">
        <is>
          <t>8+</t>
        </is>
      </c>
      <c r="G5" s="14" t="inlineStr">
        <is>
          <t>Graphic novel/Fumetto</t>
        </is>
      </c>
      <c r="H5" s="14" t="inlineStr"/>
      <c r="I5" s="14" t="inlineStr">
        <is>
          <t>No</t>
        </is>
      </c>
      <c r="J5" s="14" t="inlineStr">
        <is>
          <t>Catalogo</t>
        </is>
      </c>
      <c r="K5" s="14" t="inlineStr">
        <is>
          <t>8+</t>
        </is>
      </c>
      <c r="L5" s="14" t="inlineStr">
        <is>
          <t>https://www.tunue.com/product-category/graphic-novel-per-ragazzi/</t>
        </is>
      </c>
      <c r="M5" s="16" t="n">
        <v>15.5</v>
      </c>
      <c r="N5" s="14" t="inlineStr">
        <is>
          <t>Sito Tunué (prezzo di un volume della serie)</t>
        </is>
      </c>
      <c r="O5" s="16">
        <f>IF(ISNUMBER(M5),ROUND(M5*(1-Condizioni!$B$2),2),"")</f>
        <v/>
      </c>
      <c r="P5" s="17" t="inlineStr">
        <is>
          <t>Sì</t>
        </is>
      </c>
    </row>
    <row r="6">
      <c r="A6" s="14" t="inlineStr">
        <is>
          <t>Tunuè</t>
        </is>
      </c>
      <c r="B6" s="14" t="inlineStr">
        <is>
          <t>Strega a modo mio (serie)</t>
        </is>
      </c>
      <c r="C6" s="14" t="inlineStr">
        <is>
          <t>Emma Steinkellner</t>
        </is>
      </c>
      <c r="D6" s="14" t="inlineStr">
        <is>
          <t>Kids (fumetti)</t>
        </is>
      </c>
      <c r="E6" s="14" t="inlineStr">
        <is>
          <t>8+</t>
        </is>
      </c>
      <c r="F6" s="14" t="inlineStr">
        <is>
          <t>8+</t>
        </is>
      </c>
      <c r="G6" s="14" t="inlineStr">
        <is>
          <t>Graphic novel/Fumetto</t>
        </is>
      </c>
      <c r="H6" s="14" t="inlineStr"/>
      <c r="I6" s="14" t="inlineStr">
        <is>
          <t>No</t>
        </is>
      </c>
      <c r="J6" s="14" t="inlineStr">
        <is>
          <t>Catalogo</t>
        </is>
      </c>
      <c r="K6" s="14" t="inlineStr">
        <is>
          <t>8+</t>
        </is>
      </c>
      <c r="L6" s="14" t="inlineStr">
        <is>
          <t>https://www.tunue.com/product-category/graphic-novel-per-ragazzi/</t>
        </is>
      </c>
      <c r="M6" s="16" t="n">
        <v>16.5</v>
      </c>
      <c r="N6" s="14" t="inlineStr">
        <is>
          <t>Sito Tunué (prezzo di un volume della serie)</t>
        </is>
      </c>
      <c r="O6" s="16">
        <f>IF(ISNUMBER(M6),ROUND(M6*(1-Condizioni!$B$2),2),"")</f>
        <v/>
      </c>
      <c r="P6" s="17" t="inlineStr">
        <is>
          <t>Sì</t>
        </is>
      </c>
    </row>
    <row r="7">
      <c r="A7" s="14" t="inlineStr">
        <is>
          <t>Tunuè</t>
        </is>
      </c>
      <c r="B7" s="14" t="inlineStr">
        <is>
          <t>Le sorelle Grémillet (serie)</t>
        </is>
      </c>
      <c r="C7" s="14" t="inlineStr">
        <is>
          <t>Alessandro Barbucci e Giovanni Di Gregorio</t>
        </is>
      </c>
      <c r="D7" s="14" t="inlineStr">
        <is>
          <t>Kids / Young Adult</t>
        </is>
      </c>
      <c r="E7" s="14" t="inlineStr">
        <is>
          <t>9+</t>
        </is>
      </c>
      <c r="F7" s="14" t="inlineStr">
        <is>
          <t>9+</t>
        </is>
      </c>
      <c r="G7" s="14" t="inlineStr">
        <is>
          <t>Graphic novel/Fumetto</t>
        </is>
      </c>
      <c r="H7" s="14" t="inlineStr">
        <is>
          <t>Famiglia / crescita</t>
        </is>
      </c>
      <c r="I7" s="14" t="inlineStr">
        <is>
          <t>No</t>
        </is>
      </c>
      <c r="J7" s="14" t="inlineStr">
        <is>
          <t>Catalogo</t>
        </is>
      </c>
      <c r="K7" s="14" t="inlineStr">
        <is>
          <t>9+</t>
        </is>
      </c>
      <c r="L7" s="14" t="inlineStr">
        <is>
          <t>https://www.tunue.com/product-category/young-adult/</t>
        </is>
      </c>
      <c r="M7" s="16" t="n">
        <v>16.9</v>
      </c>
      <c r="N7" s="14" t="inlineStr">
        <is>
          <t>Sito Tunué (prezzo di un volume della serie)</t>
        </is>
      </c>
      <c r="O7" s="16">
        <f>IF(ISNUMBER(M7),ROUND(M7*(1-Condizioni!$B$2),2),"")</f>
        <v/>
      </c>
      <c r="P7" s="17" t="inlineStr">
        <is>
          <t>Sì</t>
        </is>
      </c>
    </row>
    <row r="8">
      <c r="A8" s="14" t="inlineStr">
        <is>
          <t>Tunuè</t>
        </is>
      </c>
      <c r="B8" s="14" t="inlineStr">
        <is>
          <t>American Born Chinese</t>
        </is>
      </c>
      <c r="C8" s="14" t="inlineStr">
        <is>
          <t>Gene Luen Yang</t>
        </is>
      </c>
      <c r="D8" s="14" t="inlineStr">
        <is>
          <t>Tipitondi / Young Adult</t>
        </is>
      </c>
      <c r="E8" s="14" t="inlineStr">
        <is>
          <t>12+</t>
        </is>
      </c>
      <c r="F8" s="14" t="inlineStr">
        <is>
          <t>Scuola media (11-13)</t>
        </is>
      </c>
      <c r="G8" s="14" t="inlineStr">
        <is>
          <t>Graphic novel/Fumetto</t>
        </is>
      </c>
      <c r="H8" s="14" t="inlineStr">
        <is>
          <t>Bullismo, identità e razzismo</t>
        </is>
      </c>
      <c r="I8" s="14" t="inlineStr">
        <is>
          <t>No</t>
        </is>
      </c>
      <c r="J8" s="14" t="inlineStr">
        <is>
          <t>Catalogo</t>
        </is>
      </c>
      <c r="K8" s="14" t="inlineStr">
        <is>
          <t>prima/seconda/terza media, bullismo</t>
        </is>
      </c>
      <c r="L8" s="14" t="inlineStr">
        <is>
          <t>https://www.tunue.com/product-tag/bullying/</t>
        </is>
      </c>
      <c r="M8" s="16" t="n">
        <v>19</v>
      </c>
      <c r="N8" s="14" t="inlineStr">
        <is>
          <t>Sito Tunué (prezzo di un volume della serie)</t>
        </is>
      </c>
      <c r="O8" s="16">
        <f>IF(ISNUMBER(M8),ROUND(M8*(1-Condizioni!$B$2),2),"")</f>
        <v/>
      </c>
      <c r="P8" s="17" t="inlineStr">
        <is>
          <t>Sì</t>
        </is>
      </c>
    </row>
    <row r="9">
      <c r="A9" s="14" t="inlineStr">
        <is>
          <t>Tunuè</t>
        </is>
      </c>
      <c r="B9" s="14" t="inlineStr">
        <is>
          <t>Angelica e il principe orso (in arrivo)</t>
        </is>
      </c>
      <c r="C9" s="14" t="inlineStr">
        <is>
          <t>n.d.</t>
        </is>
      </c>
      <c r="D9" s="14" t="inlineStr">
        <is>
          <t>Young Adult</t>
        </is>
      </c>
      <c r="E9" s="14" t="inlineStr">
        <is>
          <t>12-21</t>
        </is>
      </c>
      <c r="F9" s="14" t="inlineStr">
        <is>
          <t>Adolescenza (14+)</t>
        </is>
      </c>
      <c r="G9" s="14" t="inlineStr">
        <is>
          <t>Graphic novel/Fumetto</t>
        </is>
      </c>
      <c r="H9" s="14" t="inlineStr"/>
      <c r="I9" s="14" t="inlineStr">
        <is>
          <t>No</t>
        </is>
      </c>
      <c r="J9" s="14" t="inlineStr">
        <is>
          <t>Catalogo</t>
        </is>
      </c>
      <c r="K9" s="14" t="inlineStr">
        <is>
          <t>adolescenza</t>
        </is>
      </c>
      <c r="L9" s="14" t="inlineStr">
        <is>
          <t>https://www.tunue.com/product-category/young-adult/</t>
        </is>
      </c>
      <c r="M9" s="16" t="n">
        <v>17.5</v>
      </c>
      <c r="N9" s="14" t="inlineStr">
        <is>
          <t>https://www.ibs.it/x/e/9788867908424</t>
        </is>
      </c>
      <c r="O9" s="16">
        <f>IF(ISNUMBER(M9),ROUND(M9*(1-Condizioni!$B$2),2),"")</f>
        <v/>
      </c>
      <c r="P9" s="17" t="inlineStr">
        <is>
          <t>Sì</t>
        </is>
      </c>
    </row>
    <row r="10">
      <c r="A10" s="14" t="inlineStr">
        <is>
          <t>Tunuè</t>
        </is>
      </c>
      <c r="B10" s="14" t="inlineStr">
        <is>
          <t>L'Attraversaspecchi, vol. 1 – Fidanzati dell'inverno</t>
        </is>
      </c>
      <c r="C10" s="14" t="inlineStr">
        <is>
          <t>n.d.</t>
        </is>
      </c>
      <c r="D10" s="14" t="inlineStr">
        <is>
          <t>Young Adult</t>
        </is>
      </c>
      <c r="E10" s="14" t="inlineStr">
        <is>
          <t>12-21</t>
        </is>
      </c>
      <c r="F10" s="14" t="inlineStr">
        <is>
          <t>Adolescenza (14+)</t>
        </is>
      </c>
      <c r="G10" s="14" t="inlineStr">
        <is>
          <t>Graphic novel/Fumetto</t>
        </is>
      </c>
      <c r="H10" s="14" t="inlineStr"/>
      <c r="I10" s="14" t="inlineStr">
        <is>
          <t>No</t>
        </is>
      </c>
      <c r="J10" s="14" t="inlineStr">
        <is>
          <t>Catalogo</t>
        </is>
      </c>
      <c r="K10" s="14" t="inlineStr">
        <is>
          <t>adolescenza</t>
        </is>
      </c>
      <c r="L10" s="14" t="inlineStr">
        <is>
          <t>https://www.tunue.com/product-category/young-adult/</t>
        </is>
      </c>
      <c r="M10" s="16" t="n">
        <v>27</v>
      </c>
      <c r="N10" s="14" t="inlineStr">
        <is>
          <t>https://www.ibs.it/x/e/9788867908721</t>
        </is>
      </c>
      <c r="O10" s="16">
        <f>IF(ISNUMBER(M10),ROUND(M10*(1-Condizioni!$B$2),2),"")</f>
        <v/>
      </c>
      <c r="P10" s="17" t="inlineStr">
        <is>
          <t>Sì</t>
        </is>
      </c>
    </row>
    <row r="11">
      <c r="A11" s="14" t="inlineStr">
        <is>
          <t>Tunuè</t>
        </is>
      </c>
      <c r="B11" s="14" t="inlineStr">
        <is>
          <t>Noi due</t>
        </is>
      </c>
      <c r="C11" s="14" t="inlineStr">
        <is>
          <t>n.d.</t>
        </is>
      </c>
      <c r="D11" s="14" t="inlineStr">
        <is>
          <t>Young Adult</t>
        </is>
      </c>
      <c r="E11" s="14" t="inlineStr">
        <is>
          <t>12-21</t>
        </is>
      </c>
      <c r="F11" s="14" t="inlineStr">
        <is>
          <t>Adolescenza (14+)</t>
        </is>
      </c>
      <c r="G11" s="14" t="inlineStr">
        <is>
          <t>Graphic novel/Fumetto</t>
        </is>
      </c>
      <c r="H11" s="14" t="inlineStr">
        <is>
          <t>Relazioni</t>
        </is>
      </c>
      <c r="I11" s="14" t="inlineStr">
        <is>
          <t>No</t>
        </is>
      </c>
      <c r="J11" s="14" t="inlineStr">
        <is>
          <t>Catalogo</t>
        </is>
      </c>
      <c r="K11" s="14" t="inlineStr">
        <is>
          <t>adolescenza</t>
        </is>
      </c>
      <c r="L11" s="14" t="inlineStr">
        <is>
          <t>https://www.tunue.com/product-category/young-adult/</t>
        </is>
      </c>
      <c r="M11" s="16" t="n">
        <v>17.5</v>
      </c>
      <c r="N11" s="14" t="inlineStr">
        <is>
          <t>https://www.ibs.it/x/e/9788867906895</t>
        </is>
      </c>
      <c r="O11" s="16">
        <f>IF(ISNUMBER(M11),ROUND(M11*(1-Condizioni!$B$2),2),"")</f>
        <v/>
      </c>
      <c r="P11" s="17" t="inlineStr">
        <is>
          <t>Sì</t>
        </is>
      </c>
    </row>
  </sheetData>
  <autoFilter ref="A1:P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Cronache Ribelli</t>
        </is>
      </c>
      <c r="B2" s="14" t="inlineStr">
        <is>
          <t>C'era una (ri)volta – Quaranta storie da leggere e colorare (vol. I)</t>
        </is>
      </c>
      <c r="C2" s="14" t="inlineStr">
        <is>
          <t>AA.VV.</t>
        </is>
      </c>
      <c r="D2" s="14" t="inlineStr">
        <is>
          <t>Libri per bambin* e ragazz*</t>
        </is>
      </c>
      <c r="E2" s="14" t="inlineStr">
        <is>
          <t>6-10 anni</t>
        </is>
      </c>
      <c r="F2" s="14" t="inlineStr">
        <is>
          <t>Prime letture (6-8)</t>
        </is>
      </c>
      <c r="G2" s="14" t="inlineStr">
        <is>
          <t>Narrativa</t>
        </is>
      </c>
      <c r="H2" s="14" t="inlineStr">
        <is>
          <t>Diritti, antirazzismo, omofobia, violenza di genere, povertà</t>
        </is>
      </c>
      <c r="I2" s="14" t="inlineStr">
        <is>
          <t>No</t>
        </is>
      </c>
      <c r="J2" s="14" t="inlineStr">
        <is>
          <t>Catalogo</t>
        </is>
      </c>
      <c r="K2" s="14" t="inlineStr">
        <is>
          <t>prime letture, narrativa</t>
        </is>
      </c>
      <c r="L2" s="14" t="inlineStr">
        <is>
          <t>https://cronacheribelli.it/collections/libri-per-bambin-e-ragazz</t>
        </is>
      </c>
      <c r="M2" s="16" t="n">
        <v>9</v>
      </c>
      <c r="N2" s="14" t="inlineStr">
        <is>
          <t>https://www.bookletnews.it/index.php/catalogo/cronache-ribelli</t>
        </is>
      </c>
      <c r="O2" s="16">
        <f>IF(ISNUMBER(M2),ROUND(M2*(1-Condizioni!$B$2),2),"")</f>
        <v/>
      </c>
      <c r="P2" s="17" t="inlineStr">
        <is>
          <t>Sì</t>
        </is>
      </c>
    </row>
    <row r="3">
      <c r="A3" s="14" t="inlineStr">
        <is>
          <t>Cronache Ribelli</t>
        </is>
      </c>
      <c r="B3" s="14" t="inlineStr">
        <is>
          <t>C'era una (ri)volta – Quaranta storie da leggere e colorare (vol. II)</t>
        </is>
      </c>
      <c r="C3" s="14" t="inlineStr">
        <is>
          <t>AA.VV.</t>
        </is>
      </c>
      <c r="D3" s="14" t="inlineStr">
        <is>
          <t>Libri per bambin* e ragazz*</t>
        </is>
      </c>
      <c r="E3" s="14" t="inlineStr">
        <is>
          <t>6-10 anni</t>
        </is>
      </c>
      <c r="F3" s="14" t="inlineStr">
        <is>
          <t>Prime letture (6-8)</t>
        </is>
      </c>
      <c r="G3" s="14" t="inlineStr">
        <is>
          <t>Narrativa</t>
        </is>
      </c>
      <c r="H3" s="14" t="inlineStr">
        <is>
          <t>Diritti, antirazzismo, lotte sociali</t>
        </is>
      </c>
      <c r="I3" s="14" t="inlineStr">
        <is>
          <t>No</t>
        </is>
      </c>
      <c r="J3" s="14" t="inlineStr">
        <is>
          <t>Catalogo</t>
        </is>
      </c>
      <c r="K3" s="14" t="inlineStr">
        <is>
          <t>prime letture, narrativa</t>
        </is>
      </c>
      <c r="L3" s="14" t="inlineStr">
        <is>
          <t>https://cronacheribelli.it/collections/libri-per-bambin-e-ragazz</t>
        </is>
      </c>
      <c r="M3" s="16" t="n">
        <v>18</v>
      </c>
      <c r="N3" s="14" t="inlineStr">
        <is>
          <t>https://cronacheribelli.it/products/cera-una-rivolta-volume-ii-quaranta-storie-da-leggere-e-colorare</t>
        </is>
      </c>
      <c r="O3" s="16">
        <f>IF(ISNUMBER(M3),ROUND(M3*(1-Condizioni!$B$2),2),"")</f>
        <v/>
      </c>
      <c r="P3" s="17" t="inlineStr">
        <is>
          <t>Sì</t>
        </is>
      </c>
    </row>
    <row r="4">
      <c r="A4" s="14" t="inlineStr">
        <is>
          <t>Cronache Ribelli</t>
        </is>
      </c>
      <c r="B4" s="14" t="inlineStr">
        <is>
          <t>Laika e i cani venuti dallo spazio</t>
        </is>
      </c>
      <c r="C4" s="14" t="inlineStr">
        <is>
          <t>Francesco Velardi; ill. Francesca Mantuano</t>
        </is>
      </c>
      <c r="D4" s="14" t="inlineStr">
        <is>
          <t>Libri per bambin* e ragazz*</t>
        </is>
      </c>
      <c r="E4" s="14" t="inlineStr">
        <is>
          <t>da 3 anni</t>
        </is>
      </c>
      <c r="F4" s="14" t="inlineStr">
        <is>
          <t>3-6 anni</t>
        </is>
      </c>
      <c r="G4" s="14" t="inlineStr">
        <is>
          <t>Albo illustrato</t>
        </is>
      </c>
      <c r="H4" s="14" t="inlineStr"/>
      <c r="I4" s="14" t="inlineStr">
        <is>
          <t>No</t>
        </is>
      </c>
      <c r="J4" s="14" t="inlineStr">
        <is>
          <t>Verificata (IBS / editore)</t>
        </is>
      </c>
      <c r="K4" s="14" t="inlineStr">
        <is>
          <t>3-6 anni</t>
        </is>
      </c>
      <c r="L4" s="14" t="inlineStr">
        <is>
          <t>https://cronacheribelli.it/collections/libri-per-bambin-e-ragazz</t>
        </is>
      </c>
      <c r="M4" s="16" t="n">
        <v>18</v>
      </c>
      <c r="N4" s="14" t="inlineStr">
        <is>
          <t>https://cronacheribelli.it/products/laika-e-i-cani-venuti-dallo-spazio</t>
        </is>
      </c>
      <c r="O4" s="16">
        <f>IF(ISNUMBER(M4),ROUND(M4*(1-Condizioni!$B$2),2),"")</f>
        <v/>
      </c>
      <c r="P4" s="17" t="inlineStr">
        <is>
          <t>Sì</t>
        </is>
      </c>
    </row>
  </sheetData>
  <autoFilter ref="A1:P4"/>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2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Dalia Edizioni</t>
        </is>
      </c>
      <c r="B2" s="14" t="inlineStr">
        <is>
          <t>Alla scoperta della libertà</t>
        </is>
      </c>
      <c r="C2" s="14" t="inlineStr">
        <is>
          <t>Giulia Ceccarani</t>
        </is>
      </c>
      <c r="D2" s="14" t="inlineStr">
        <is>
          <t>Dalia Ragazzi</t>
        </is>
      </c>
      <c r="E2" s="14" t="inlineStr">
        <is>
          <t>5+</t>
        </is>
      </c>
      <c r="F2" s="14" t="inlineStr">
        <is>
          <t>3-6 anni</t>
        </is>
      </c>
      <c r="G2" s="14" t="inlineStr">
        <is>
          <t>Narrativa</t>
        </is>
      </c>
      <c r="H2" s="14" t="inlineStr">
        <is>
          <t>Libertà, regole ed educazione civica</t>
        </is>
      </c>
      <c r="I2" s="14" t="inlineStr">
        <is>
          <t>No</t>
        </is>
      </c>
      <c r="J2" s="14" t="inlineStr">
        <is>
          <t>Catalogo</t>
        </is>
      </c>
      <c r="K2" s="14" t="inlineStr">
        <is>
          <t>3-6 anni, narrativa</t>
        </is>
      </c>
      <c r="L2" s="14" t="inlineStr">
        <is>
          <t>https://www.daliaedizioni.it/categoria-prodotto/illustrati-kids/</t>
        </is>
      </c>
      <c r="M2" s="16" t="n">
        <v>12.9</v>
      </c>
      <c r="N2" s="14" t="inlineStr">
        <is>
          <t>Sito Dalia Edizioni</t>
        </is>
      </c>
      <c r="O2" s="16">
        <f>IF(ISNUMBER(M2),ROUND(M2*(1-Condizioni!$B$2),2),"")</f>
        <v/>
      </c>
      <c r="P2" s="17" t="inlineStr">
        <is>
          <t>Sì</t>
        </is>
      </c>
    </row>
    <row r="3">
      <c r="A3" s="14" t="inlineStr">
        <is>
          <t>Dalia Edizioni</t>
        </is>
      </c>
      <c r="B3" s="14" t="inlineStr">
        <is>
          <t>Argo e Calypso, cani da biblioteca</t>
        </is>
      </c>
      <c r="C3" s="14" t="inlineStr">
        <is>
          <t>Andrea Laprovitera; ill. Andrea Camič</t>
        </is>
      </c>
      <c r="D3" s="14" t="inlineStr">
        <is>
          <t>Dalia Ragazzi</t>
        </is>
      </c>
      <c r="E3" s="14" t="inlineStr">
        <is>
          <t>5+</t>
        </is>
      </c>
      <c r="F3" s="14" t="inlineStr">
        <is>
          <t>3-6 anni</t>
        </is>
      </c>
      <c r="G3" s="14" t="inlineStr">
        <is>
          <t>Narrativa</t>
        </is>
      </c>
      <c r="H3" s="14" t="inlineStr">
        <is>
          <t>Bullismo, timidezza e coraggio</t>
        </is>
      </c>
      <c r="I3" s="14" t="inlineStr">
        <is>
          <t>No</t>
        </is>
      </c>
      <c r="J3" s="14" t="inlineStr">
        <is>
          <t>Catalogo</t>
        </is>
      </c>
      <c r="K3" s="14" t="inlineStr">
        <is>
          <t>3-6 anni, narrativa, bullismo</t>
        </is>
      </c>
      <c r="L3" s="14" t="inlineStr">
        <is>
          <t>https://www.daliaedizioni.it/categoria-prodotto/illustrati-kids/</t>
        </is>
      </c>
      <c r="M3" s="16" t="n">
        <v>12.9</v>
      </c>
      <c r="N3" s="14" t="inlineStr">
        <is>
          <t>Sito Dalia Edizioni</t>
        </is>
      </c>
      <c r="O3" s="16">
        <f>IF(ISNUMBER(M3),ROUND(M3*(1-Condizioni!$B$2),2),"")</f>
        <v/>
      </c>
      <c r="P3" s="17" t="inlineStr">
        <is>
          <t>Sì</t>
        </is>
      </c>
    </row>
    <row r="4">
      <c r="A4" s="14" t="inlineStr">
        <is>
          <t>Dalia Edizioni</t>
        </is>
      </c>
      <c r="B4" s="14" t="inlineStr">
        <is>
          <t>Arturo e Nadir</t>
        </is>
      </c>
      <c r="C4" s="14" t="inlineStr">
        <is>
          <t>Roberta Argenti; ill. Andrea Camič</t>
        </is>
      </c>
      <c r="D4" s="14" t="inlineStr">
        <is>
          <t>Dalia Ragazzi</t>
        </is>
      </c>
      <c r="E4" s="14" t="inlineStr">
        <is>
          <t>5+</t>
        </is>
      </c>
      <c r="F4" s="14" t="inlineStr">
        <is>
          <t>3-6 anni</t>
        </is>
      </c>
      <c r="G4" s="14" t="inlineStr">
        <is>
          <t>Narrativa</t>
        </is>
      </c>
      <c r="H4" s="14" t="inlineStr">
        <is>
          <t>Amicizia, multicultura e pace</t>
        </is>
      </c>
      <c r="I4" s="14" t="inlineStr">
        <is>
          <t>No</t>
        </is>
      </c>
      <c r="J4" s="14" t="inlineStr">
        <is>
          <t>Catalogo</t>
        </is>
      </c>
      <c r="K4" s="14" t="inlineStr">
        <is>
          <t>3-6 anni, narrativa</t>
        </is>
      </c>
      <c r="L4" s="14" t="inlineStr">
        <is>
          <t>https://www.daliaedizioni.it/categoria-prodotto/illustrati-kids/</t>
        </is>
      </c>
      <c r="M4" s="16" t="n">
        <v>12.9</v>
      </c>
      <c r="N4" s="14" t="inlineStr">
        <is>
          <t>Sito Dalia Edizioni</t>
        </is>
      </c>
      <c r="O4" s="16">
        <f>IF(ISNUMBER(M4),ROUND(M4*(1-Condizioni!$B$2),2),"")</f>
        <v/>
      </c>
      <c r="P4" s="17" t="inlineStr">
        <is>
          <t>Sì</t>
        </is>
      </c>
    </row>
    <row r="5">
      <c r="A5" s="14" t="inlineStr">
        <is>
          <t>Dalia Edizioni</t>
        </is>
      </c>
      <c r="B5" s="14" t="inlineStr">
        <is>
          <t>Damian e la Lupa</t>
        </is>
      </c>
      <c r="C5" s="14" t="inlineStr">
        <is>
          <t>Paola Roela; ill. Andrea Camič</t>
        </is>
      </c>
      <c r="D5" s="14" t="inlineStr">
        <is>
          <t>Dalia Ragazzi</t>
        </is>
      </c>
      <c r="E5" s="14" t="inlineStr">
        <is>
          <t>5+</t>
        </is>
      </c>
      <c r="F5" s="14" t="inlineStr">
        <is>
          <t>3-6 anni</t>
        </is>
      </c>
      <c r="G5" s="14" t="inlineStr">
        <is>
          <t>Narrativa</t>
        </is>
      </c>
      <c r="H5" s="14" t="inlineStr">
        <is>
          <t>Amicizia e aiuto reciproco</t>
        </is>
      </c>
      <c r="I5" s="14" t="inlineStr">
        <is>
          <t>No</t>
        </is>
      </c>
      <c r="J5" s="14" t="inlineStr">
        <is>
          <t>Catalogo</t>
        </is>
      </c>
      <c r="K5" s="14" t="inlineStr">
        <is>
          <t>3-6 anni, narrativa</t>
        </is>
      </c>
      <c r="L5" s="14" t="inlineStr">
        <is>
          <t>https://www.daliaedizioni.it/categoria-prodotto/illustrati-kids/</t>
        </is>
      </c>
      <c r="M5" s="16" t="n">
        <v>12.9</v>
      </c>
      <c r="N5" s="14" t="inlineStr">
        <is>
          <t>Sito Dalia Edizioni</t>
        </is>
      </c>
      <c r="O5" s="16">
        <f>IF(ISNUMBER(M5),ROUND(M5*(1-Condizioni!$B$2),2),"")</f>
        <v/>
      </c>
      <c r="P5" s="17" t="inlineStr">
        <is>
          <t>Sì</t>
        </is>
      </c>
    </row>
    <row r="6">
      <c r="A6" s="14" t="inlineStr">
        <is>
          <t>Dalia Edizioni</t>
        </is>
      </c>
      <c r="B6" s="14" t="inlineStr">
        <is>
          <t>Il mio superpotere è la gentilezza</t>
        </is>
      </c>
      <c r="C6" s="14" t="inlineStr">
        <is>
          <t>Giulia Ceccarani</t>
        </is>
      </c>
      <c r="D6" s="14" t="inlineStr">
        <is>
          <t>Dalia Ragazzi</t>
        </is>
      </c>
      <c r="E6" s="14" t="inlineStr">
        <is>
          <t>5+</t>
        </is>
      </c>
      <c r="F6" s="14" t="inlineStr">
        <is>
          <t>3-6 anni</t>
        </is>
      </c>
      <c r="G6" s="14" t="inlineStr">
        <is>
          <t>Narrativa</t>
        </is>
      </c>
      <c r="H6" s="14" t="inlineStr">
        <is>
          <t>Gentilezza, rispetto e ambiente</t>
        </is>
      </c>
      <c r="I6" s="14" t="inlineStr">
        <is>
          <t>No</t>
        </is>
      </c>
      <c r="J6" s="14" t="inlineStr">
        <is>
          <t>Catalogo</t>
        </is>
      </c>
      <c r="K6" s="14" t="inlineStr">
        <is>
          <t>3-6 anni, narrativa</t>
        </is>
      </c>
      <c r="L6" s="14" t="inlineStr">
        <is>
          <t>https://www.daliaedizioni.it/categoria-prodotto/illustrati-kids/</t>
        </is>
      </c>
      <c r="M6" s="16" t="n">
        <v>12.9</v>
      </c>
      <c r="N6" s="14" t="inlineStr">
        <is>
          <t>Sito Dalia Edizioni</t>
        </is>
      </c>
      <c r="O6" s="16">
        <f>IF(ISNUMBER(M6),ROUND(M6*(1-Condizioni!$B$2),2),"")</f>
        <v/>
      </c>
      <c r="P6" s="17" t="inlineStr">
        <is>
          <t>Sì</t>
        </is>
      </c>
    </row>
    <row r="7">
      <c r="A7" s="14" t="inlineStr">
        <is>
          <t>Dalia Edizioni</t>
        </is>
      </c>
      <c r="B7" s="14" t="inlineStr">
        <is>
          <t>Il mistero di Pyrgi. Avventura tra gli Etruschi</t>
        </is>
      </c>
      <c r="C7" s="14" t="inlineStr">
        <is>
          <t>Chiarastella Campanelli; ill. Chiara Bongiovanni</t>
        </is>
      </c>
      <c r="D7" s="14" t="inlineStr">
        <is>
          <t>Dalia Ragazzi</t>
        </is>
      </c>
      <c r="E7" s="14" t="inlineStr">
        <is>
          <t>5+</t>
        </is>
      </c>
      <c r="F7" s="14" t="inlineStr">
        <is>
          <t>3-6 anni</t>
        </is>
      </c>
      <c r="G7" s="14" t="inlineStr">
        <is>
          <t>Narrativa</t>
        </is>
      </c>
      <c r="H7" s="14" t="inlineStr">
        <is>
          <t>Storia: gli Etruschi</t>
        </is>
      </c>
      <c r="I7" s="14" t="inlineStr">
        <is>
          <t>No</t>
        </is>
      </c>
      <c r="J7" s="14" t="inlineStr">
        <is>
          <t>Catalogo</t>
        </is>
      </c>
      <c r="K7" s="14" t="inlineStr">
        <is>
          <t>3-6 anni, narrativa</t>
        </is>
      </c>
      <c r="L7" s="14" t="inlineStr">
        <is>
          <t>https://www.daliaedizioni.it/categoria-prodotto/illustrati-kids/</t>
        </is>
      </c>
      <c r="M7" s="16" t="n">
        <v>12.9</v>
      </c>
      <c r="N7" s="14" t="inlineStr">
        <is>
          <t>Sito Dalia Edizioni</t>
        </is>
      </c>
      <c r="O7" s="16">
        <f>IF(ISNUMBER(M7),ROUND(M7*(1-Condizioni!$B$2),2),"")</f>
        <v/>
      </c>
      <c r="P7" s="17" t="inlineStr">
        <is>
          <t>Sì</t>
        </is>
      </c>
    </row>
    <row r="8">
      <c r="A8" s="14" t="inlineStr">
        <is>
          <t>Dalia Edizioni</t>
        </is>
      </c>
      <c r="B8" s="14" t="inlineStr">
        <is>
          <t>Il vampiro Cicorione</t>
        </is>
      </c>
      <c r="C8" s="14" t="inlineStr">
        <is>
          <t>Silvia Crisostomi; ill. Daniel F. Pisanu</t>
        </is>
      </c>
      <c r="D8" s="14" t="inlineStr">
        <is>
          <t>Dalia Ragazzi</t>
        </is>
      </c>
      <c r="E8" s="14" t="inlineStr">
        <is>
          <t>5+</t>
        </is>
      </c>
      <c r="F8" s="14" t="inlineStr">
        <is>
          <t>3-6 anni</t>
        </is>
      </c>
      <c r="G8" s="14" t="inlineStr">
        <is>
          <t>Narrativa</t>
        </is>
      </c>
      <c r="H8" s="14" t="inlineStr">
        <is>
          <t>Diversità e accettazione di sé</t>
        </is>
      </c>
      <c r="I8" s="14" t="inlineStr">
        <is>
          <t>No</t>
        </is>
      </c>
      <c r="J8" s="14" t="inlineStr">
        <is>
          <t>Catalogo</t>
        </is>
      </c>
      <c r="K8" s="14" t="inlineStr">
        <is>
          <t>3-6 anni, narrativa</t>
        </is>
      </c>
      <c r="L8" s="14" t="inlineStr">
        <is>
          <t>https://www.daliaedizioni.it/categoria-prodotto/illustrati-kids/</t>
        </is>
      </c>
      <c r="M8" s="16" t="n">
        <v>12.9</v>
      </c>
      <c r="N8" s="14" t="inlineStr">
        <is>
          <t>Sito Dalia Edizioni</t>
        </is>
      </c>
      <c r="O8" s="16">
        <f>IF(ISNUMBER(M8),ROUND(M8*(1-Condizioni!$B$2),2),"")</f>
        <v/>
      </c>
      <c r="P8" s="17" t="inlineStr">
        <is>
          <t>Sì</t>
        </is>
      </c>
    </row>
    <row r="9">
      <c r="A9" s="14" t="inlineStr">
        <is>
          <t>Dalia Edizioni</t>
        </is>
      </c>
      <c r="B9" s="14" t="inlineStr">
        <is>
          <t>Slò, la magia della lentezza</t>
        </is>
      </c>
      <c r="C9" s="14" t="inlineStr">
        <is>
          <t>Giulia Ceccarani</t>
        </is>
      </c>
      <c r="D9" s="14" t="inlineStr">
        <is>
          <t>Dalia Ragazzi</t>
        </is>
      </c>
      <c r="E9" s="14" t="inlineStr">
        <is>
          <t>5+</t>
        </is>
      </c>
      <c r="F9" s="14" t="inlineStr">
        <is>
          <t>3-6 anni</t>
        </is>
      </c>
      <c r="G9" s="14" t="inlineStr">
        <is>
          <t>Narrativa</t>
        </is>
      </c>
      <c r="H9" s="14" t="inlineStr">
        <is>
          <t>Lentezza, natura e rispetto</t>
        </is>
      </c>
      <c r="I9" s="14" t="inlineStr">
        <is>
          <t>No</t>
        </is>
      </c>
      <c r="J9" s="14" t="inlineStr">
        <is>
          <t>Catalogo</t>
        </is>
      </c>
      <c r="K9" s="14" t="inlineStr">
        <is>
          <t>3-6 anni, narrativa</t>
        </is>
      </c>
      <c r="L9" s="14" t="inlineStr">
        <is>
          <t>https://www.daliaedizioni.it/categoria-prodotto/illustrati-kids/</t>
        </is>
      </c>
      <c r="M9" s="16" t="n">
        <v>12.9</v>
      </c>
      <c r="N9" s="14" t="inlineStr">
        <is>
          <t>Sito Dalia Edizioni</t>
        </is>
      </c>
      <c r="O9" s="16">
        <f>IF(ISNUMBER(M9),ROUND(M9*(1-Condizioni!$B$2),2),"")</f>
        <v/>
      </c>
      <c r="P9" s="17" t="inlineStr">
        <is>
          <t>Sì</t>
        </is>
      </c>
    </row>
    <row r="10">
      <c r="A10" s="14" t="inlineStr">
        <is>
          <t>Dalia Edizioni</t>
        </is>
      </c>
      <c r="B10" s="14" t="inlineStr">
        <is>
          <t>Benni, Celestina e 10 cuccioli da salvare</t>
        </is>
      </c>
      <c r="C10" s="14" t="inlineStr">
        <is>
          <t>Patrizia Fortunati; ill. Roberta Procacci</t>
        </is>
      </c>
      <c r="D10" s="14" t="inlineStr">
        <is>
          <t>Gli spericolati</t>
        </is>
      </c>
      <c r="E10" s="14" t="inlineStr">
        <is>
          <t>7+</t>
        </is>
      </c>
      <c r="F10" s="14" t="inlineStr">
        <is>
          <t>Prime letture (6-8)</t>
        </is>
      </c>
      <c r="G10" s="14" t="inlineStr">
        <is>
          <t>Narrativa</t>
        </is>
      </c>
      <c r="H10" s="14" t="inlineStr">
        <is>
          <t>Avventura e solidarietà</t>
        </is>
      </c>
      <c r="I10" s="14" t="inlineStr">
        <is>
          <t>No</t>
        </is>
      </c>
      <c r="J10" s="14" t="inlineStr">
        <is>
          <t>Catalogo</t>
        </is>
      </c>
      <c r="K10" s="14" t="inlineStr">
        <is>
          <t>prime letture, narrativa</t>
        </is>
      </c>
      <c r="L10" s="14" t="inlineStr">
        <is>
          <t>https://www.daliaedizioni.it/categoria-prodotto/illustrati-kids/</t>
        </is>
      </c>
      <c r="M10" s="16" t="n">
        <v>11.9</v>
      </c>
      <c r="N10" s="14" t="inlineStr">
        <is>
          <t>Sito Dalia Edizioni</t>
        </is>
      </c>
      <c r="O10" s="16">
        <f>IF(ISNUMBER(M10),ROUND(M10*(1-Condizioni!$B$2),2),"")</f>
        <v/>
      </c>
      <c r="P10" s="17" t="inlineStr">
        <is>
          <t>No</t>
        </is>
      </c>
    </row>
    <row r="11">
      <c r="A11" s="14" t="inlineStr">
        <is>
          <t>Dalia Edizioni</t>
        </is>
      </c>
      <c r="B11" s="14" t="inlineStr">
        <is>
          <t>Febe e i gatti ruba storie</t>
        </is>
      </c>
      <c r="C11" s="14" t="inlineStr">
        <is>
          <t>Elisa Campaci; ill. Roberta Procacci</t>
        </is>
      </c>
      <c r="D11" s="14" t="inlineStr">
        <is>
          <t>Gli spericolati</t>
        </is>
      </c>
      <c r="E11" s="14" t="inlineStr">
        <is>
          <t>8+</t>
        </is>
      </c>
      <c r="F11" s="14" t="inlineStr">
        <is>
          <t>8+</t>
        </is>
      </c>
      <c r="G11" s="14" t="inlineStr">
        <is>
          <t>Narrativa</t>
        </is>
      </c>
      <c r="H11" s="14" t="inlineStr">
        <is>
          <t>Lettura, scrittura e crescita</t>
        </is>
      </c>
      <c r="I11" s="14" t="inlineStr">
        <is>
          <t>No</t>
        </is>
      </c>
      <c r="J11" s="14" t="inlineStr">
        <is>
          <t>Catalogo</t>
        </is>
      </c>
      <c r="K11" s="14" t="inlineStr">
        <is>
          <t>8+, narrativa</t>
        </is>
      </c>
      <c r="L11" s="14" t="inlineStr">
        <is>
          <t>https://www.daliaedizioni.it/categoria-prodotto/illustrati-kids/</t>
        </is>
      </c>
      <c r="M11" s="16" t="n">
        <v>12.9</v>
      </c>
      <c r="N11" s="14" t="inlineStr">
        <is>
          <t>Sito Dalia Edizioni</t>
        </is>
      </c>
      <c r="O11" s="16">
        <f>IF(ISNUMBER(M11),ROUND(M11*(1-Condizioni!$B$2),2),"")</f>
        <v/>
      </c>
      <c r="P11" s="17" t="inlineStr">
        <is>
          <t>Sì</t>
        </is>
      </c>
    </row>
    <row r="12">
      <c r="A12" s="14" t="inlineStr">
        <is>
          <t>Dalia Edizioni</t>
        </is>
      </c>
      <c r="B12" s="14" t="inlineStr">
        <is>
          <t>UVA. Una Vita Altrove</t>
        </is>
      </c>
      <c r="C12" s="14" t="inlineStr">
        <is>
          <t>Giovanni Capotombolo</t>
        </is>
      </c>
      <c r="D12" s="14" t="inlineStr">
        <is>
          <t>Dalia Narrativa</t>
        </is>
      </c>
      <c r="E12" s="14" t="inlineStr">
        <is>
          <t>adolescenti</t>
        </is>
      </c>
      <c r="F12" s="14" t="inlineStr">
        <is>
          <t>Adolescenza (14+)</t>
        </is>
      </c>
      <c r="G12" s="14" t="inlineStr">
        <is>
          <t>Romanzo</t>
        </is>
      </c>
      <c r="H12" s="14" t="inlineStr">
        <is>
          <t>Adolescenza e futuro</t>
        </is>
      </c>
      <c r="I12" s="14" t="inlineStr">
        <is>
          <t>No</t>
        </is>
      </c>
      <c r="J12" s="15" t="inlineStr">
        <is>
          <t>Da verificare</t>
        </is>
      </c>
      <c r="K12" s="14" t="inlineStr">
        <is>
          <t>adolescenza, romanzo, narrativa</t>
        </is>
      </c>
      <c r="L12" s="14" t="inlineStr">
        <is>
          <t>https://www.librerie.coop/editori/dalia-edizioni/</t>
        </is>
      </c>
      <c r="M12" s="16" t="n">
        <v>15</v>
      </c>
      <c r="N12" s="14" t="inlineStr">
        <is>
          <t>https://www.ibs.it/x/e/9788899207632</t>
        </is>
      </c>
      <c r="O12" s="16">
        <f>IF(ISNUMBER(M12),ROUND(M12*(1-Condizioni!$B$2),2),"")</f>
        <v/>
      </c>
      <c r="P12" s="17" t="inlineStr">
        <is>
          <t>Sì</t>
        </is>
      </c>
    </row>
    <row r="13">
      <c r="A13" s="14" t="inlineStr">
        <is>
          <t>Dalia Edizioni</t>
        </is>
      </c>
      <c r="B13" s="14" t="inlineStr">
        <is>
          <t>Benni, Celestina e 3 piani in ascensore</t>
        </is>
      </c>
      <c r="C13" s="14" t="inlineStr">
        <is>
          <t>(vedi scheda)</t>
        </is>
      </c>
      <c r="D13" s="14" t="inlineStr">
        <is>
          <t>Gli spericolati</t>
        </is>
      </c>
      <c r="E13" s="14" t="inlineStr">
        <is>
          <t>n.d.</t>
        </is>
      </c>
      <c r="F13" s="14" t="inlineStr">
        <is>
          <t>n.d. / tutte le età</t>
        </is>
      </c>
      <c r="G13" s="14" t="inlineStr">
        <is>
          <t>Narrativa</t>
        </is>
      </c>
      <c r="H13" s="14" t="inlineStr"/>
      <c r="I13" s="14" t="inlineStr">
        <is>
          <t>No</t>
        </is>
      </c>
      <c r="J13" s="15" t="inlineStr">
        <is>
          <t>Da verificare</t>
        </is>
      </c>
      <c r="K13" s="14" t="inlineStr">
        <is>
          <t>narrativa</t>
        </is>
      </c>
      <c r="L13" s="14" t="inlineStr">
        <is>
          <t>https://www.daliaedizioni.it/categoria-prodotto/illustrati-kids/</t>
        </is>
      </c>
      <c r="M13" s="16" t="n">
        <v>11.9</v>
      </c>
      <c r="N13" s="14" t="inlineStr">
        <is>
          <t>Sito Dalia Edizioni</t>
        </is>
      </c>
      <c r="O13" s="16">
        <f>IF(ISNUMBER(M13),ROUND(M13*(1-Condizioni!$B$2),2),"")</f>
        <v/>
      </c>
      <c r="P13" s="17" t="inlineStr">
        <is>
          <t>No</t>
        </is>
      </c>
    </row>
    <row r="14">
      <c r="A14" s="14" t="inlineStr">
        <is>
          <t>Dalia Edizioni</t>
        </is>
      </c>
      <c r="B14" s="14" t="inlineStr">
        <is>
          <t>Benni, Celestina e il primo 2° giorno di scuola</t>
        </is>
      </c>
      <c r="C14" s="14" t="inlineStr">
        <is>
          <t>(vedi scheda)</t>
        </is>
      </c>
      <c r="D14" s="14" t="inlineStr">
        <is>
          <t>Gli spericolati</t>
        </is>
      </c>
      <c r="E14" s="14" t="inlineStr">
        <is>
          <t>n.d.</t>
        </is>
      </c>
      <c r="F14" s="14" t="inlineStr">
        <is>
          <t>n.d. / tutte le età</t>
        </is>
      </c>
      <c r="G14" s="14" t="inlineStr">
        <is>
          <t>Narrativa</t>
        </is>
      </c>
      <c r="H14" s="14" t="inlineStr"/>
      <c r="I14" s="14" t="inlineStr">
        <is>
          <t>No</t>
        </is>
      </c>
      <c r="J14" s="15" t="inlineStr">
        <is>
          <t>Da verificare</t>
        </is>
      </c>
      <c r="K14" s="14" t="inlineStr">
        <is>
          <t>narrativa</t>
        </is>
      </c>
      <c r="L14" s="14" t="inlineStr">
        <is>
          <t>https://www.daliaedizioni.it/categoria-prodotto/illustrati-kids/</t>
        </is>
      </c>
      <c r="M14" s="16" t="n">
        <v>11.9</v>
      </c>
      <c r="N14" s="14" t="inlineStr">
        <is>
          <t>Sito Dalia Edizioni</t>
        </is>
      </c>
      <c r="O14" s="16">
        <f>IF(ISNUMBER(M14),ROUND(M14*(1-Condizioni!$B$2),2),"")</f>
        <v/>
      </c>
      <c r="P14" s="17" t="inlineStr">
        <is>
          <t>No</t>
        </is>
      </c>
    </row>
    <row r="15">
      <c r="A15" s="14" t="inlineStr">
        <is>
          <t>Dalia Edizioni</t>
        </is>
      </c>
      <c r="B15" s="14" t="inlineStr">
        <is>
          <t>Guida fantastica di Bologna</t>
        </is>
      </c>
      <c r="C15" s="14" t="inlineStr">
        <is>
          <t>(vedi scheda)</t>
        </is>
      </c>
      <c r="D15" s="14" t="inlineStr">
        <is>
          <t>Guide fantastiche</t>
        </is>
      </c>
      <c r="E15" s="14" t="inlineStr">
        <is>
          <t>n.d.</t>
        </is>
      </c>
      <c r="F15" s="14" t="inlineStr">
        <is>
          <t>n.d. / tutte le età</t>
        </is>
      </c>
      <c r="G15" s="14" t="inlineStr">
        <is>
          <t>Divulgazione/Saggio</t>
        </is>
      </c>
      <c r="H15" s="14" t="inlineStr"/>
      <c r="I15" s="14" t="inlineStr">
        <is>
          <t>No</t>
        </is>
      </c>
      <c r="J15" s="15" t="inlineStr">
        <is>
          <t>Da verificare</t>
        </is>
      </c>
      <c r="K15" s="14" t="inlineStr"/>
      <c r="L15" s="14" t="inlineStr">
        <is>
          <t>https://www.daliaedizioni.it/categoria-prodotto/illustrati-kids/</t>
        </is>
      </c>
      <c r="M15" s="16" t="n">
        <v>12.9</v>
      </c>
      <c r="N15" s="14" t="inlineStr">
        <is>
          <t>Sito Dalia Edizioni</t>
        </is>
      </c>
      <c r="O15" s="16">
        <f>IF(ISNUMBER(M15),ROUND(M15*(1-Condizioni!$B$2),2),"")</f>
        <v/>
      </c>
      <c r="P15" s="17" t="inlineStr">
        <is>
          <t>No</t>
        </is>
      </c>
    </row>
    <row r="16">
      <c r="A16" s="14" t="inlineStr">
        <is>
          <t>Dalia Edizioni</t>
        </is>
      </c>
      <c r="B16" s="14" t="inlineStr">
        <is>
          <t>Holly e i segreti della grotta stellata</t>
        </is>
      </c>
      <c r="C16" s="14" t="inlineStr">
        <is>
          <t>Massimiliano Valentini</t>
        </is>
      </c>
      <c r="D16" s="14" t="inlineStr">
        <is>
          <t>Gli spericolati</t>
        </is>
      </c>
      <c r="E16" s="14" t="inlineStr">
        <is>
          <t>n.d.</t>
        </is>
      </c>
      <c r="F16" s="14" t="inlineStr">
        <is>
          <t>n.d. / tutte le età</t>
        </is>
      </c>
      <c r="G16" s="14" t="inlineStr">
        <is>
          <t>Narrativa</t>
        </is>
      </c>
      <c r="H16" s="14" t="inlineStr">
        <is>
          <t>Natura e ambiente</t>
        </is>
      </c>
      <c r="I16" s="14" t="inlineStr">
        <is>
          <t>No</t>
        </is>
      </c>
      <c r="J16" s="15" t="inlineStr">
        <is>
          <t>Da verificare</t>
        </is>
      </c>
      <c r="K16" s="14" t="inlineStr">
        <is>
          <t>narrativa</t>
        </is>
      </c>
      <c r="L16" s="14" t="inlineStr">
        <is>
          <t>https://www.daliaedizioni.it/categoria-prodotto/illustrati-kids/</t>
        </is>
      </c>
      <c r="M16" s="16" t="n">
        <v>13.5</v>
      </c>
      <c r="N16" s="14" t="inlineStr">
        <is>
          <t>Sito Dalia Edizioni</t>
        </is>
      </c>
      <c r="O16" s="16">
        <f>IF(ISNUMBER(M16),ROUND(M16*(1-Condizioni!$B$2),2),"")</f>
        <v/>
      </c>
      <c r="P16" s="17" t="inlineStr">
        <is>
          <t>No</t>
        </is>
      </c>
    </row>
    <row r="17">
      <c r="A17" s="14" t="inlineStr">
        <is>
          <t>Dalia Edizioni</t>
        </is>
      </c>
      <c r="B17" s="14" t="inlineStr">
        <is>
          <t>La notte che Babbo Natale tornò a Roma</t>
        </is>
      </c>
      <c r="C17" s="14" t="inlineStr">
        <is>
          <t>(vedi scheda)</t>
        </is>
      </c>
      <c r="D17" s="14" t="inlineStr">
        <is>
          <t>Guide fantastiche</t>
        </is>
      </c>
      <c r="E17" s="14" t="inlineStr">
        <is>
          <t>n.d.</t>
        </is>
      </c>
      <c r="F17" s="14" t="inlineStr">
        <is>
          <t>n.d. / tutte le età</t>
        </is>
      </c>
      <c r="G17" s="14" t="inlineStr">
        <is>
          <t>Divulgazione/Saggio</t>
        </is>
      </c>
      <c r="H17" s="14" t="inlineStr"/>
      <c r="I17" s="14" t="inlineStr">
        <is>
          <t>No</t>
        </is>
      </c>
      <c r="J17" s="15" t="inlineStr">
        <is>
          <t>Da verificare</t>
        </is>
      </c>
      <c r="K17" s="14" t="inlineStr"/>
      <c r="L17" s="14" t="inlineStr">
        <is>
          <t>https://www.daliaedizioni.it/categoria-prodotto/illustrati-kids/</t>
        </is>
      </c>
      <c r="M17" s="16" t="n">
        <v>10</v>
      </c>
      <c r="N17" s="14" t="inlineStr">
        <is>
          <t>Sito Dalia Edizioni</t>
        </is>
      </c>
      <c r="O17" s="16">
        <f>IF(ISNUMBER(M17),ROUND(M17*(1-Condizioni!$B$2),2),"")</f>
        <v/>
      </c>
      <c r="P17" s="17" t="inlineStr">
        <is>
          <t>No</t>
        </is>
      </c>
    </row>
    <row r="18">
      <c r="A18" s="14" t="inlineStr">
        <is>
          <t>Dalia Edizioni</t>
        </is>
      </c>
      <c r="B18" s="14" t="inlineStr">
        <is>
          <t>La storia segreta di Babbo Natale a Viterbo</t>
        </is>
      </c>
      <c r="C18" s="14" t="inlineStr">
        <is>
          <t>(vedi scheda)</t>
        </is>
      </c>
      <c r="D18" s="14" t="inlineStr">
        <is>
          <t>Guide fantastiche</t>
        </is>
      </c>
      <c r="E18" s="14" t="inlineStr">
        <is>
          <t>n.d.</t>
        </is>
      </c>
      <c r="F18" s="14" t="inlineStr">
        <is>
          <t>n.d. / tutte le età</t>
        </is>
      </c>
      <c r="G18" s="14" t="inlineStr">
        <is>
          <t>Divulgazione/Saggio</t>
        </is>
      </c>
      <c r="H18" s="14" t="inlineStr"/>
      <c r="I18" s="14" t="inlineStr">
        <is>
          <t>No</t>
        </is>
      </c>
      <c r="J18" s="15" t="inlineStr">
        <is>
          <t>Da verificare</t>
        </is>
      </c>
      <c r="K18" s="14" t="inlineStr"/>
      <c r="L18" s="14" t="inlineStr">
        <is>
          <t>https://www.daliaedizioni.it/categoria-prodotto/illustrati-kids/</t>
        </is>
      </c>
      <c r="M18" s="16" t="n">
        <v>10</v>
      </c>
      <c r="N18" s="14" t="inlineStr">
        <is>
          <t>Sito Dalia Edizioni</t>
        </is>
      </c>
      <c r="O18" s="16">
        <f>IF(ISNUMBER(M18),ROUND(M18*(1-Condizioni!$B$2),2),"")</f>
        <v/>
      </c>
      <c r="P18" s="17" t="inlineStr">
        <is>
          <t>No</t>
        </is>
      </c>
    </row>
    <row r="19">
      <c r="A19" s="14" t="inlineStr">
        <is>
          <t>Dalia Edizioni</t>
        </is>
      </c>
      <c r="B19" s="14" t="inlineStr">
        <is>
          <t>Loris Wood e il mistero delle api scomparse</t>
        </is>
      </c>
      <c r="C19" s="14" t="inlineStr">
        <is>
          <t>Iride Bartolucci</t>
        </is>
      </c>
      <c r="D19" s="14" t="inlineStr">
        <is>
          <t>Gli spericolati</t>
        </is>
      </c>
      <c r="E19" s="14" t="inlineStr">
        <is>
          <t>n.d.</t>
        </is>
      </c>
      <c r="F19" s="14" t="inlineStr">
        <is>
          <t>n.d. / tutte le età</t>
        </is>
      </c>
      <c r="G19" s="14" t="inlineStr">
        <is>
          <t>Narrativa</t>
        </is>
      </c>
      <c r="H19" s="14" t="inlineStr">
        <is>
          <t>Ambiente e api</t>
        </is>
      </c>
      <c r="I19" s="14" t="inlineStr">
        <is>
          <t>No</t>
        </is>
      </c>
      <c r="J19" s="15" t="inlineStr">
        <is>
          <t>Da verificare</t>
        </is>
      </c>
      <c r="K19" s="14" t="inlineStr">
        <is>
          <t>narrativa</t>
        </is>
      </c>
      <c r="L19" s="14" t="inlineStr">
        <is>
          <t>https://www.daliaedizioni.it/categoria-prodotto/illustrati-kids/</t>
        </is>
      </c>
      <c r="M19" s="16" t="n">
        <v>13.5</v>
      </c>
      <c r="N19" s="14" t="inlineStr">
        <is>
          <t>Sito Dalia Edizioni</t>
        </is>
      </c>
      <c r="O19" s="16">
        <f>IF(ISNUMBER(M19),ROUND(M19*(1-Condizioni!$B$2),2),"")</f>
        <v/>
      </c>
      <c r="P19" s="17" t="inlineStr">
        <is>
          <t>No</t>
        </is>
      </c>
    </row>
    <row r="20">
      <c r="A20" s="14" t="inlineStr">
        <is>
          <t>Dalia Edizioni</t>
        </is>
      </c>
      <c r="B20" s="14" t="inlineStr">
        <is>
          <t>Loris Wood verso l’isola di plastica</t>
        </is>
      </c>
      <c r="C20" s="14" t="inlineStr">
        <is>
          <t>Iride Bartolucci</t>
        </is>
      </c>
      <c r="D20" s="14" t="inlineStr">
        <is>
          <t>Gli spericolati</t>
        </is>
      </c>
      <c r="E20" s="14" t="inlineStr">
        <is>
          <t>da 8 anni</t>
        </is>
      </c>
      <c r="F20" s="14" t="inlineStr">
        <is>
          <t>8+</t>
        </is>
      </c>
      <c r="G20" s="14" t="inlineStr">
        <is>
          <t>Narrativa</t>
        </is>
      </c>
      <c r="H20" s="14" t="inlineStr"/>
      <c r="I20" s="14" t="inlineStr">
        <is>
          <t>No</t>
        </is>
      </c>
      <c r="J20" s="14" t="inlineStr">
        <is>
          <t>Verificata (IBS / editore)</t>
        </is>
      </c>
      <c r="K20" s="14" t="inlineStr">
        <is>
          <t>8+, narrativa</t>
        </is>
      </c>
      <c r="L20" s="14" t="inlineStr">
        <is>
          <t>https://www.daliaedizioni.it/categoria-prodotto/illustrati-kids/</t>
        </is>
      </c>
      <c r="M20" s="16" t="n">
        <v>13.5</v>
      </c>
      <c r="N20" s="14" t="inlineStr">
        <is>
          <t>Sito Dalia Edizioni</t>
        </is>
      </c>
      <c r="O20" s="16">
        <f>IF(ISNUMBER(M20),ROUND(M20*(1-Condizioni!$B$2),2),"")</f>
        <v/>
      </c>
      <c r="P20" s="17" t="inlineStr">
        <is>
          <t>Sì</t>
        </is>
      </c>
    </row>
    <row r="21">
      <c r="A21" s="14" t="inlineStr">
        <is>
          <t>Dalia Edizioni</t>
        </is>
      </c>
      <c r="B21" s="14" t="inlineStr">
        <is>
          <t>Michelino per Roma a bordo della fantasia</t>
        </is>
      </c>
      <c r="C21" s="14" t="inlineStr">
        <is>
          <t>(vedi scheda)</t>
        </is>
      </c>
      <c r="D21" s="14" t="inlineStr">
        <is>
          <t>Guide fantastiche</t>
        </is>
      </c>
      <c r="E21" s="14" t="inlineStr">
        <is>
          <t>n.d.</t>
        </is>
      </c>
      <c r="F21" s="14" t="inlineStr">
        <is>
          <t>n.d. / tutte le età</t>
        </is>
      </c>
      <c r="G21" s="14" t="inlineStr">
        <is>
          <t>Divulgazione/Saggio</t>
        </is>
      </c>
      <c r="H21" s="14" t="inlineStr"/>
      <c r="I21" s="14" t="inlineStr">
        <is>
          <t>No</t>
        </is>
      </c>
      <c r="J21" s="15" t="inlineStr">
        <is>
          <t>Da verificare</t>
        </is>
      </c>
      <c r="K21" s="14" t="inlineStr"/>
      <c r="L21" s="14" t="inlineStr">
        <is>
          <t>https://www.daliaedizioni.it/categoria-prodotto/illustrati-kids/</t>
        </is>
      </c>
      <c r="M21" s="16" t="n">
        <v>12.9</v>
      </c>
      <c r="N21" s="14" t="inlineStr">
        <is>
          <t>Sito Dalia Edizioni</t>
        </is>
      </c>
      <c r="O21" s="16">
        <f>IF(ISNUMBER(M21),ROUND(M21*(1-Condizioni!$B$2),2),"")</f>
        <v/>
      </c>
      <c r="P21" s="17" t="inlineStr">
        <is>
          <t>No</t>
        </is>
      </c>
    </row>
    <row r="22">
      <c r="A22" s="14" t="inlineStr">
        <is>
          <t>Dalia Edizioni</t>
        </is>
      </c>
      <c r="B22" s="14" t="inlineStr">
        <is>
          <t>Tula a caccia dei colori</t>
        </is>
      </c>
      <c r="C22" s="14" t="inlineStr">
        <is>
          <t>(vedi scheda)</t>
        </is>
      </c>
      <c r="D22" s="14" t="inlineStr">
        <is>
          <t>Gli spericolati</t>
        </is>
      </c>
      <c r="E22" s="14" t="inlineStr">
        <is>
          <t>n.d.</t>
        </is>
      </c>
      <c r="F22" s="14" t="inlineStr">
        <is>
          <t>n.d. / tutte le età</t>
        </is>
      </c>
      <c r="G22" s="14" t="inlineStr">
        <is>
          <t>Narrativa</t>
        </is>
      </c>
      <c r="H22" s="14" t="inlineStr"/>
      <c r="I22" s="14" t="inlineStr">
        <is>
          <t>No</t>
        </is>
      </c>
      <c r="J22" s="15" t="inlineStr">
        <is>
          <t>Da verificare</t>
        </is>
      </c>
      <c r="K22" s="14" t="inlineStr">
        <is>
          <t>narrativa</t>
        </is>
      </c>
      <c r="L22" s="14" t="inlineStr">
        <is>
          <t>https://www.daliaedizioni.it/categoria-prodotto/illustrati-kids/</t>
        </is>
      </c>
      <c r="M22" s="16" t="n">
        <v>13.5</v>
      </c>
      <c r="N22" s="14" t="inlineStr">
        <is>
          <t>Sito Dalia Edizioni</t>
        </is>
      </c>
      <c r="O22" s="16">
        <f>IF(ISNUMBER(M22),ROUND(M22*(1-Condizioni!$B$2),2),"")</f>
        <v/>
      </c>
      <c r="P22" s="17" t="inlineStr">
        <is>
          <t>No</t>
        </is>
      </c>
    </row>
    <row r="23">
      <c r="A23" s="14" t="inlineStr">
        <is>
          <t>Dalia Edizioni</t>
        </is>
      </c>
      <c r="B23" s="14" t="inlineStr">
        <is>
          <t>Tula e i capelli di Madre Natura</t>
        </is>
      </c>
      <c r="C23" s="14" t="inlineStr">
        <is>
          <t>Arjuna Cecchetti</t>
        </is>
      </c>
      <c r="D23" s="14" t="inlineStr">
        <is>
          <t>Gli spericolati</t>
        </is>
      </c>
      <c r="E23" s="14" t="inlineStr">
        <is>
          <t>n.d.</t>
        </is>
      </c>
      <c r="F23" s="14" t="inlineStr">
        <is>
          <t>n.d. / tutte le età</t>
        </is>
      </c>
      <c r="G23" s="14" t="inlineStr">
        <is>
          <t>Narrativa</t>
        </is>
      </c>
      <c r="H23" s="14" t="inlineStr">
        <is>
          <t>Cambiamento climatico e natura</t>
        </is>
      </c>
      <c r="I23" s="14" t="inlineStr">
        <is>
          <t>No</t>
        </is>
      </c>
      <c r="J23" s="15" t="inlineStr">
        <is>
          <t>Da verificare</t>
        </is>
      </c>
      <c r="K23" s="14" t="inlineStr">
        <is>
          <t>narrativa</t>
        </is>
      </c>
      <c r="L23" s="14" t="inlineStr">
        <is>
          <t>https://www.daliaedizioni.it/categoria-prodotto/illustrati-kids/</t>
        </is>
      </c>
      <c r="M23" s="16" t="n">
        <v>13.5</v>
      </c>
      <c r="N23" s="14" t="inlineStr">
        <is>
          <t>Sito Dalia Edizioni</t>
        </is>
      </c>
      <c r="O23" s="16">
        <f>IF(ISNUMBER(M23),ROUND(M23*(1-Condizioni!$B$2),2),"")</f>
        <v/>
      </c>
      <c r="P23" s="17" t="inlineStr">
        <is>
          <t>No</t>
        </is>
      </c>
    </row>
  </sheetData>
  <autoFilter ref="A1:P2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Edizioni Corsare</t>
        </is>
      </c>
      <c r="B2" s="14" t="inlineStr">
        <is>
          <t>Amici?</t>
        </is>
      </c>
      <c r="C2" s="14" t="inlineStr">
        <is>
          <t>Brunella Baldi</t>
        </is>
      </c>
      <c r="D2" s="14" t="inlineStr">
        <is>
          <t>Area ragazzi (albi illustrati)</t>
        </is>
      </c>
      <c r="E2" s="14" t="inlineStr">
        <is>
          <t>da 2 anni</t>
        </is>
      </c>
      <c r="F2" s="14" t="inlineStr">
        <is>
          <t>0-3 anni</t>
        </is>
      </c>
      <c r="G2" s="14" t="inlineStr">
        <is>
          <t>Silent book</t>
        </is>
      </c>
      <c r="H2" s="14" t="inlineStr">
        <is>
          <t>Amicizia</t>
        </is>
      </c>
      <c r="I2" s="14" t="inlineStr">
        <is>
          <t>No</t>
        </is>
      </c>
      <c r="J2" s="14" t="inlineStr">
        <is>
          <t>Catalogo</t>
        </is>
      </c>
      <c r="K2" s="14" t="inlineStr">
        <is>
          <t>0-3 anni</t>
        </is>
      </c>
      <c r="L2" s="14" t="inlineStr">
        <is>
          <t>Catalogo Edizioni Corsare Primavera 2026</t>
        </is>
      </c>
      <c r="M2" s="16" t="n">
        <v>15</v>
      </c>
      <c r="N2" s="14" t="inlineStr">
        <is>
          <t>Catalogo Edizioni Corsare Primavera 2026</t>
        </is>
      </c>
      <c r="O2" s="16">
        <f>IF(ISNUMBER(M2),ROUND(M2*(1-Condizioni!$B$2),2),"")</f>
        <v/>
      </c>
      <c r="P2" s="17" t="inlineStr">
        <is>
          <t>Sì</t>
        </is>
      </c>
    </row>
    <row r="3">
      <c r="A3" s="14" t="inlineStr">
        <is>
          <t>Edizioni Corsare</t>
        </is>
      </c>
      <c r="B3" s="14" t="inlineStr">
        <is>
          <t>Brava Chiocciolina!</t>
        </is>
      </c>
      <c r="C3" s="14" t="inlineStr">
        <is>
          <t>Silvia Vecchini; ill. Carla Manea</t>
        </is>
      </c>
      <c r="D3" s="14" t="inlineStr">
        <is>
          <t>Area ragazzi (albi illustrati)</t>
        </is>
      </c>
      <c r="E3" s="14" t="inlineStr">
        <is>
          <t>da 3 anni</t>
        </is>
      </c>
      <c r="F3" s="14" t="inlineStr">
        <is>
          <t>3-6 anni</t>
        </is>
      </c>
      <c r="G3" s="14" t="inlineStr">
        <is>
          <t>Albo illustrato</t>
        </is>
      </c>
      <c r="H3" s="14" t="inlineStr">
        <is>
          <t>Fiducia in sé stessi</t>
        </is>
      </c>
      <c r="I3" s="14" t="inlineStr">
        <is>
          <t>No</t>
        </is>
      </c>
      <c r="J3" s="14" t="inlineStr">
        <is>
          <t>Catalogo</t>
        </is>
      </c>
      <c r="K3" s="14" t="inlineStr">
        <is>
          <t>3-6 anni</t>
        </is>
      </c>
      <c r="L3" s="14" t="inlineStr">
        <is>
          <t>https://www.libraccio.it/editore/edizioni-corsare/libri.html</t>
        </is>
      </c>
      <c r="M3" s="16" t="n">
        <v>16</v>
      </c>
      <c r="N3" s="14" t="inlineStr">
        <is>
          <t>Catalogo Edizioni Corsare Primavera 2026</t>
        </is>
      </c>
      <c r="O3" s="16">
        <f>IF(ISNUMBER(M3),ROUND(M3*(1-Condizioni!$B$2),2),"")</f>
        <v/>
      </c>
      <c r="P3" s="17" t="inlineStr">
        <is>
          <t>Sì</t>
        </is>
      </c>
    </row>
    <row r="4">
      <c r="A4" s="14" t="inlineStr">
        <is>
          <t>Edizioni Corsare</t>
        </is>
      </c>
      <c r="B4" s="14" t="inlineStr">
        <is>
          <t>Brava Chiocciolina! – versione InBook con simboli (CAA)</t>
        </is>
      </c>
      <c r="C4" s="14" t="inlineStr">
        <is>
          <t>Silvia Vecchini; ill. Carla Manea</t>
        </is>
      </c>
      <c r="D4" s="14" t="inlineStr">
        <is>
          <t>Area ragazzi (albi illustrati)</t>
        </is>
      </c>
      <c r="E4" s="14" t="inlineStr">
        <is>
          <t>da 3 anni</t>
        </is>
      </c>
      <c r="F4" s="14" t="inlineStr">
        <is>
          <t>3-6 anni</t>
        </is>
      </c>
      <c r="G4" s="14" t="inlineStr">
        <is>
          <t>Libro in simboli (CAA)</t>
        </is>
      </c>
      <c r="H4" s="14" t="inlineStr">
        <is>
          <t>Fiducia in sé stessi e inclusione</t>
        </is>
      </c>
      <c r="I4" s="18" t="inlineStr">
        <is>
          <t>Sì</t>
        </is>
      </c>
      <c r="J4" s="14" t="inlineStr">
        <is>
          <t>Catalogo</t>
        </is>
      </c>
      <c r="K4" s="14" t="inlineStr">
        <is>
          <t>3-6 anni, CAA</t>
        </is>
      </c>
      <c r="L4" s="14" t="inlineStr">
        <is>
          <t>Catalogo Edizioni Corsare Primavera 2026</t>
        </is>
      </c>
      <c r="M4" s="16" t="n">
        <v>16</v>
      </c>
      <c r="N4" s="14" t="inlineStr">
        <is>
          <t>Catalogo Edizioni Corsare Primavera 2026</t>
        </is>
      </c>
      <c r="O4" s="16">
        <f>IF(ISNUMBER(M4),ROUND(M4*(1-Condizioni!$B$2),2),"")</f>
        <v/>
      </c>
      <c r="P4" s="17" t="inlineStr">
        <is>
          <t>Sì</t>
        </is>
      </c>
    </row>
    <row r="5">
      <c r="A5" s="14" t="inlineStr">
        <is>
          <t>Edizioni Corsare</t>
        </is>
      </c>
      <c r="B5" s="14" t="inlineStr">
        <is>
          <t>Casa casina</t>
        </is>
      </c>
      <c r="C5" s="14" t="inlineStr">
        <is>
          <t>Manuela Mapelli</t>
        </is>
      </c>
      <c r="D5" s="14" t="inlineStr">
        <is>
          <t>Area ragazzi (albi illustrati)</t>
        </is>
      </c>
      <c r="E5" s="14" t="inlineStr">
        <is>
          <t>da 3 anni</t>
        </is>
      </c>
      <c r="F5" s="14" t="inlineStr">
        <is>
          <t>3-6 anni</t>
        </is>
      </c>
      <c r="G5" s="14" t="inlineStr">
        <is>
          <t>Albo illustrato</t>
        </is>
      </c>
      <c r="H5" s="14" t="inlineStr">
        <is>
          <t>Diritto alla casa</t>
        </is>
      </c>
      <c r="I5" s="14" t="inlineStr">
        <is>
          <t>No</t>
        </is>
      </c>
      <c r="J5" s="14" t="inlineStr">
        <is>
          <t>Catalogo</t>
        </is>
      </c>
      <c r="K5" s="14" t="inlineStr">
        <is>
          <t>3-6 anni</t>
        </is>
      </c>
      <c r="L5" s="14" t="inlineStr">
        <is>
          <t>Catalogo Edizioni Corsare Primavera 2026</t>
        </is>
      </c>
      <c r="M5" s="16" t="n">
        <v>15</v>
      </c>
      <c r="N5" s="14" t="inlineStr">
        <is>
          <t>Catalogo Edizioni Corsare Primavera 2026</t>
        </is>
      </c>
      <c r="O5" s="16">
        <f>IF(ISNUMBER(M5),ROUND(M5*(1-Condizioni!$B$2),2),"")</f>
        <v/>
      </c>
      <c r="P5" s="17" t="inlineStr">
        <is>
          <t>Sì</t>
        </is>
      </c>
    </row>
    <row r="6">
      <c r="A6" s="14" t="inlineStr">
        <is>
          <t>Edizioni Corsare</t>
        </is>
      </c>
      <c r="B6" s="14" t="inlineStr">
        <is>
          <t>Cerotti</t>
        </is>
      </c>
      <c r="C6" s="14" t="inlineStr">
        <is>
          <t>Anna Celani; ill. Emma Pulcinelli</t>
        </is>
      </c>
      <c r="D6" s="14" t="inlineStr">
        <is>
          <t>Area ragazzi (albi illustrati)</t>
        </is>
      </c>
      <c r="E6" s="14" t="inlineStr">
        <is>
          <t>da 3 anni</t>
        </is>
      </c>
      <c r="F6" s="14" t="inlineStr">
        <is>
          <t>3-6 anni</t>
        </is>
      </c>
      <c r="G6" s="14" t="inlineStr">
        <is>
          <t>Albo illustrato</t>
        </is>
      </c>
      <c r="H6" s="14" t="inlineStr">
        <is>
          <t>Fragilità, coraggio e intraprendenza</t>
        </is>
      </c>
      <c r="I6" s="14" t="inlineStr">
        <is>
          <t>No</t>
        </is>
      </c>
      <c r="J6" s="14" t="inlineStr">
        <is>
          <t>Catalogo</t>
        </is>
      </c>
      <c r="K6" s="14" t="inlineStr">
        <is>
          <t>3-6 anni</t>
        </is>
      </c>
      <c r="L6" s="14" t="inlineStr">
        <is>
          <t>Catalogo Edizioni Corsare Primavera 2026</t>
        </is>
      </c>
      <c r="M6" s="16" t="n">
        <v>16</v>
      </c>
      <c r="N6" s="14" t="inlineStr">
        <is>
          <t>Catalogo Edizioni Corsare Primavera 2026</t>
        </is>
      </c>
      <c r="O6" s="16">
        <f>IF(ISNUMBER(M6),ROUND(M6*(1-Condizioni!$B$2),2),"")</f>
        <v/>
      </c>
      <c r="P6" s="17" t="inlineStr">
        <is>
          <t>Sì</t>
        </is>
      </c>
    </row>
    <row r="7">
      <c r="A7" s="14" t="inlineStr">
        <is>
          <t>Edizioni Corsare</t>
        </is>
      </c>
      <c r="B7" s="14" t="inlineStr">
        <is>
          <t>Cromosomi</t>
        </is>
      </c>
      <c r="C7" s="14" t="inlineStr">
        <is>
          <t>Fabian Negrin; ill. Kalina Muhova</t>
        </is>
      </c>
      <c r="D7" s="14" t="inlineStr">
        <is>
          <t>Area ragazzi (albi illustrati)</t>
        </is>
      </c>
      <c r="E7" s="14" t="inlineStr">
        <is>
          <t>da 5 anni e per tutti</t>
        </is>
      </c>
      <c r="F7" s="14" t="inlineStr">
        <is>
          <t>3-6 anni</t>
        </is>
      </c>
      <c r="G7" s="14" t="inlineStr">
        <is>
          <t>Albo illustrato</t>
        </is>
      </c>
      <c r="H7" s="14" t="inlineStr">
        <is>
          <t>Origine comune degli esseri umani e famiglie</t>
        </is>
      </c>
      <c r="I7" s="14" t="inlineStr">
        <is>
          <t>No</t>
        </is>
      </c>
      <c r="J7" s="14" t="inlineStr">
        <is>
          <t>Catalogo</t>
        </is>
      </c>
      <c r="K7" s="14" t="inlineStr">
        <is>
          <t>3-6 anni</t>
        </is>
      </c>
      <c r="L7" s="14" t="inlineStr">
        <is>
          <t>Catalogo Edizioni Corsare Primavera 2026</t>
        </is>
      </c>
      <c r="M7" s="16" t="n">
        <v>18.9</v>
      </c>
      <c r="N7" s="14" t="inlineStr">
        <is>
          <t>Catalogo Edizioni Corsare Primavera 2026</t>
        </is>
      </c>
      <c r="O7" s="16">
        <f>IF(ISNUMBER(M7),ROUND(M7*(1-Condizioni!$B$2),2),"")</f>
        <v/>
      </c>
      <c r="P7" s="17" t="inlineStr">
        <is>
          <t>Sì</t>
        </is>
      </c>
    </row>
    <row r="8">
      <c r="A8" s="14" t="inlineStr">
        <is>
          <t>Edizioni Corsare</t>
        </is>
      </c>
      <c r="B8" s="14" t="inlineStr">
        <is>
          <t>Farfalle</t>
        </is>
      </c>
      <c r="C8" s="14" t="inlineStr">
        <is>
          <t>Lisa Riccardi; ill. Anna Mosca</t>
        </is>
      </c>
      <c r="D8" s="14" t="inlineStr">
        <is>
          <t>Area ragazzi (albi illustrati)</t>
        </is>
      </c>
      <c r="E8" s="14" t="inlineStr">
        <is>
          <t>da 5 anni</t>
        </is>
      </c>
      <c r="F8" s="14" t="inlineStr">
        <is>
          <t>3-6 anni</t>
        </is>
      </c>
      <c r="G8" s="14" t="inlineStr">
        <is>
          <t>Albo illustrato</t>
        </is>
      </c>
      <c r="H8" s="14" t="inlineStr">
        <is>
          <t>Primi amori ed emozioni</t>
        </is>
      </c>
      <c r="I8" s="14" t="inlineStr">
        <is>
          <t>No</t>
        </is>
      </c>
      <c r="J8" s="14" t="inlineStr">
        <is>
          <t>Catalogo</t>
        </is>
      </c>
      <c r="K8" s="14" t="inlineStr">
        <is>
          <t>3-6 anni</t>
        </is>
      </c>
      <c r="L8" s="14" t="inlineStr">
        <is>
          <t>https://www.libraccio.it/editore/edizioni-corsare/libri.html</t>
        </is>
      </c>
      <c r="M8" s="16" t="n">
        <v>18</v>
      </c>
      <c r="N8" s="14" t="inlineStr">
        <is>
          <t>Catalogo Edizioni Corsare Primavera 2026</t>
        </is>
      </c>
      <c r="O8" s="16">
        <f>IF(ISNUMBER(M8),ROUND(M8*(1-Condizioni!$B$2),2),"")</f>
        <v/>
      </c>
      <c r="P8" s="17" t="inlineStr">
        <is>
          <t>Sì</t>
        </is>
      </c>
    </row>
    <row r="9">
      <c r="A9" s="14" t="inlineStr">
        <is>
          <t>Edizioni Corsare</t>
        </is>
      </c>
      <c r="B9" s="14" t="inlineStr">
        <is>
          <t>Igor</t>
        </is>
      </c>
      <c r="C9" s="14" t="inlineStr">
        <is>
          <t>Francesca Dafne Vignaga</t>
        </is>
      </c>
      <c r="D9" s="14" t="inlineStr">
        <is>
          <t>Area ragazzi (albi illustrati)</t>
        </is>
      </c>
      <c r="E9" s="14" t="inlineStr">
        <is>
          <t>da 3 anni</t>
        </is>
      </c>
      <c r="F9" s="14" t="inlineStr">
        <is>
          <t>3-6 anni</t>
        </is>
      </c>
      <c r="G9" s="14" t="inlineStr">
        <is>
          <t>Albo illustrato</t>
        </is>
      </c>
      <c r="H9" s="14" t="inlineStr">
        <is>
          <t>Identità e amicizia</t>
        </is>
      </c>
      <c r="I9" s="14" t="inlineStr">
        <is>
          <t>No</t>
        </is>
      </c>
      <c r="J9" s="14" t="inlineStr">
        <is>
          <t>Catalogo</t>
        </is>
      </c>
      <c r="K9" s="14" t="inlineStr">
        <is>
          <t>3-6 anni</t>
        </is>
      </c>
      <c r="L9" s="14" t="inlineStr">
        <is>
          <t>Catalogo Edizioni Corsare Primavera 2026</t>
        </is>
      </c>
      <c r="M9" s="16" t="n">
        <v>18</v>
      </c>
      <c r="N9" s="14" t="inlineStr">
        <is>
          <t>Catalogo Edizioni Corsare Primavera 2026</t>
        </is>
      </c>
      <c r="O9" s="16">
        <f>IF(ISNUMBER(M9),ROUND(M9*(1-Condizioni!$B$2),2),"")</f>
        <v/>
      </c>
      <c r="P9" s="17" t="inlineStr">
        <is>
          <t>Sì</t>
        </is>
      </c>
    </row>
    <row r="10">
      <c r="A10" s="14" t="inlineStr">
        <is>
          <t>Edizioni Corsare</t>
        </is>
      </c>
      <c r="B10" s="14" t="inlineStr">
        <is>
          <t>Il Rubacoccole</t>
        </is>
      </c>
      <c r="C10" s="14" t="inlineStr">
        <is>
          <t>Maria Gianola</t>
        </is>
      </c>
      <c r="D10" s="14" t="inlineStr">
        <is>
          <t>Area ragazzi (albi illustrati)</t>
        </is>
      </c>
      <c r="E10" s="14" t="inlineStr">
        <is>
          <t>da 3 anni</t>
        </is>
      </c>
      <c r="F10" s="14" t="inlineStr">
        <is>
          <t>3-6 anni</t>
        </is>
      </c>
      <c r="G10" s="14" t="inlineStr">
        <is>
          <t>Albo illustrato</t>
        </is>
      </c>
      <c r="H10" s="14" t="inlineStr">
        <is>
          <t>Nuovo fratellino e gelosia</t>
        </is>
      </c>
      <c r="I10" s="14" t="inlineStr">
        <is>
          <t>No</t>
        </is>
      </c>
      <c r="J10" s="14" t="inlineStr">
        <is>
          <t>Catalogo</t>
        </is>
      </c>
      <c r="K10" s="14" t="inlineStr">
        <is>
          <t>3-6 anni</t>
        </is>
      </c>
      <c r="L10" s="14" t="inlineStr">
        <is>
          <t>Catalogo Edizioni Corsare Primavera 2026</t>
        </is>
      </c>
      <c r="M10" s="16" t="n">
        <v>15</v>
      </c>
      <c r="N10" s="14" t="inlineStr">
        <is>
          <t>Catalogo Edizioni Corsare Primavera 2026</t>
        </is>
      </c>
      <c r="O10" s="16">
        <f>IF(ISNUMBER(M10),ROUND(M10*(1-Condizioni!$B$2),2),"")</f>
        <v/>
      </c>
      <c r="P10" s="17" t="inlineStr">
        <is>
          <t>Sì</t>
        </is>
      </c>
    </row>
    <row r="11">
      <c r="A11" s="14" t="inlineStr">
        <is>
          <t>Edizioni Corsare</t>
        </is>
      </c>
      <c r="B11" s="14" t="inlineStr">
        <is>
          <t>Il bimboleone e altri bambini</t>
        </is>
      </c>
      <c r="C11" s="14" t="inlineStr">
        <is>
          <t>Gabriele Clima; ill. Giacomo A. Modica</t>
        </is>
      </c>
      <c r="D11" s="14" t="inlineStr">
        <is>
          <t>Area ragazzi (albi illustrati)</t>
        </is>
      </c>
      <c r="E11" s="14" t="inlineStr">
        <is>
          <t>da 4 anni</t>
        </is>
      </c>
      <c r="F11" s="14" t="inlineStr">
        <is>
          <t>3-6 anni</t>
        </is>
      </c>
      <c r="G11" s="14" t="inlineStr">
        <is>
          <t>Albo illustrato</t>
        </is>
      </c>
      <c r="H11" s="14" t="inlineStr">
        <is>
          <t>Diversità e identità</t>
        </is>
      </c>
      <c r="I11" s="14" t="inlineStr">
        <is>
          <t>No</t>
        </is>
      </c>
      <c r="J11" s="14" t="inlineStr">
        <is>
          <t>Catalogo</t>
        </is>
      </c>
      <c r="K11" s="14" t="inlineStr">
        <is>
          <t>3-6 anni</t>
        </is>
      </c>
      <c r="L11" s="14" t="inlineStr">
        <is>
          <t>https://www.libraccio.it/editore/edizioni-corsare/libri.html</t>
        </is>
      </c>
      <c r="M11" s="16" t="n">
        <v>18</v>
      </c>
      <c r="N11" s="14" t="inlineStr">
        <is>
          <t>Catalogo Edizioni Corsare Primavera 2026</t>
        </is>
      </c>
      <c r="O11" s="16">
        <f>IF(ISNUMBER(M11),ROUND(M11*(1-Condizioni!$B$2),2),"")</f>
        <v/>
      </c>
      <c r="P11" s="17" t="inlineStr">
        <is>
          <t>Sì</t>
        </is>
      </c>
    </row>
    <row r="12">
      <c r="A12" s="14" t="inlineStr">
        <is>
          <t>Edizioni Corsare</t>
        </is>
      </c>
      <c r="B12" s="14" t="inlineStr">
        <is>
          <t>La mia casa piccola</t>
        </is>
      </c>
      <c r="C12" s="14" t="inlineStr">
        <is>
          <t>Elisa Sabatinelli; ill. Anna Aparicio Català</t>
        </is>
      </c>
      <c r="D12" s="14" t="inlineStr">
        <is>
          <t>Area ragazzi (albi illustrati)</t>
        </is>
      </c>
      <c r="E12" s="14" t="inlineStr">
        <is>
          <t>da 4 anni</t>
        </is>
      </c>
      <c r="F12" s="14" t="inlineStr">
        <is>
          <t>3-6 anni</t>
        </is>
      </c>
      <c r="G12" s="14" t="inlineStr">
        <is>
          <t>Albo illustrato</t>
        </is>
      </c>
      <c r="H12" s="14" t="inlineStr">
        <is>
          <t>Traslochi e paura del nuovo</t>
        </is>
      </c>
      <c r="I12" s="14" t="inlineStr">
        <is>
          <t>No</t>
        </is>
      </c>
      <c r="J12" s="14" t="inlineStr">
        <is>
          <t>Catalogo</t>
        </is>
      </c>
      <c r="K12" s="14" t="inlineStr">
        <is>
          <t>3-6 anni</t>
        </is>
      </c>
      <c r="L12" s="14" t="inlineStr">
        <is>
          <t>Catalogo Edizioni Corsare Primavera 2026</t>
        </is>
      </c>
      <c r="M12" s="16" t="n">
        <v>18</v>
      </c>
      <c r="N12" s="14" t="inlineStr">
        <is>
          <t>Catalogo Edizioni Corsare Primavera 2026</t>
        </is>
      </c>
      <c r="O12" s="16">
        <f>IF(ISNUMBER(M12),ROUND(M12*(1-Condizioni!$B$2),2),"")</f>
        <v/>
      </c>
      <c r="P12" s="17" t="inlineStr">
        <is>
          <t>Sì</t>
        </is>
      </c>
    </row>
    <row r="13">
      <c r="A13" s="14" t="inlineStr">
        <is>
          <t>Edizioni Corsare</t>
        </is>
      </c>
      <c r="B13" s="14" t="inlineStr">
        <is>
          <t>MALdiPAURA</t>
        </is>
      </c>
      <c r="C13" s="14" t="inlineStr">
        <is>
          <t>Chiara Ingrao; ill. Giulia Pintus</t>
        </is>
      </c>
      <c r="D13" s="14" t="inlineStr">
        <is>
          <t>Area ragazzi (albi illustrati)</t>
        </is>
      </c>
      <c r="E13" s="14" t="inlineStr">
        <is>
          <t>da 5 anni e per tutti</t>
        </is>
      </c>
      <c r="F13" s="14" t="inlineStr">
        <is>
          <t>3-6 anni</t>
        </is>
      </c>
      <c r="G13" s="14" t="inlineStr">
        <is>
          <t>Albo illustrato</t>
        </is>
      </c>
      <c r="H13" s="14" t="inlineStr">
        <is>
          <t>Paure di grandi e piccoli</t>
        </is>
      </c>
      <c r="I13" s="14" t="inlineStr">
        <is>
          <t>No</t>
        </is>
      </c>
      <c r="J13" s="14" t="inlineStr">
        <is>
          <t>Catalogo</t>
        </is>
      </c>
      <c r="K13" s="14" t="inlineStr">
        <is>
          <t>3-6 anni</t>
        </is>
      </c>
      <c r="L13" s="14" t="inlineStr">
        <is>
          <t>Catalogo Edizioni Corsare Primavera 2026</t>
        </is>
      </c>
      <c r="M13" s="16" t="n">
        <v>16</v>
      </c>
      <c r="N13" s="14" t="inlineStr">
        <is>
          <t>Catalogo Edizioni Corsare Primavera 2026</t>
        </is>
      </c>
      <c r="O13" s="16">
        <f>IF(ISNUMBER(M13),ROUND(M13*(1-Condizioni!$B$2),2),"")</f>
        <v/>
      </c>
      <c r="P13" s="17" t="inlineStr">
        <is>
          <t>Sì</t>
        </is>
      </c>
    </row>
    <row r="14">
      <c r="A14" s="14" t="inlineStr">
        <is>
          <t>Edizioni Corsare</t>
        </is>
      </c>
      <c r="B14" s="14" t="inlineStr">
        <is>
          <t>Bradi va in città</t>
        </is>
      </c>
      <c r="C14" s="14" t="inlineStr">
        <is>
          <t>Fabrizio Silei</t>
        </is>
      </c>
      <c r="D14" s="14" t="inlineStr">
        <is>
          <t>Storie corsare</t>
        </is>
      </c>
      <c r="E14" s="14" t="inlineStr">
        <is>
          <t>da 8 anni</t>
        </is>
      </c>
      <c r="F14" s="14" t="inlineStr">
        <is>
          <t>8+</t>
        </is>
      </c>
      <c r="G14" s="14" t="inlineStr">
        <is>
          <t>Romanzo</t>
        </is>
      </c>
      <c r="H14" s="14" t="inlineStr">
        <is>
          <t>Ambiente e amicizia</t>
        </is>
      </c>
      <c r="I14" s="14" t="inlineStr">
        <is>
          <t>No</t>
        </is>
      </c>
      <c r="J14" s="14" t="inlineStr">
        <is>
          <t>Catalogo</t>
        </is>
      </c>
      <c r="K14" s="14" t="inlineStr">
        <is>
          <t>8+, romanzo, narrativa</t>
        </is>
      </c>
      <c r="L14" s="14" t="inlineStr">
        <is>
          <t>https://www.edizionicorsare.it/categoria-prodotto/collane/storie-corsare/</t>
        </is>
      </c>
      <c r="M14" s="16" t="n">
        <v>15</v>
      </c>
      <c r="N14" s="14" t="inlineStr">
        <is>
          <t>Catalogo Edizioni Corsare Primavera 2026</t>
        </is>
      </c>
      <c r="O14" s="16">
        <f>IF(ISNUMBER(M14),ROUND(M14*(1-Condizioni!$B$2),2),"")</f>
        <v/>
      </c>
      <c r="P14" s="17" t="inlineStr">
        <is>
          <t>Sì</t>
        </is>
      </c>
    </row>
    <row r="15">
      <c r="A15" s="14" t="inlineStr">
        <is>
          <t>Edizioni Corsare</t>
        </is>
      </c>
      <c r="B15" s="14" t="inlineStr">
        <is>
          <t>Alieni</t>
        </is>
      </c>
      <c r="C15" s="14" t="inlineStr">
        <is>
          <t>Stefania Gatti</t>
        </is>
      </c>
      <c r="D15" s="14" t="inlineStr">
        <is>
          <t>Storie corsare</t>
        </is>
      </c>
      <c r="E15" s="14" t="inlineStr">
        <is>
          <t>da 9 anni</t>
        </is>
      </c>
      <c r="F15" s="14" t="inlineStr">
        <is>
          <t>9+</t>
        </is>
      </c>
      <c r="G15" s="14" t="inlineStr">
        <is>
          <t>Avventura</t>
        </is>
      </c>
      <c r="H15" s="14" t="inlineStr">
        <is>
          <t>Prese in giro, amicizia e ambiente</t>
        </is>
      </c>
      <c r="I15" s="14" t="inlineStr">
        <is>
          <t>No</t>
        </is>
      </c>
      <c r="J15" s="14" t="inlineStr">
        <is>
          <t>Catalogo</t>
        </is>
      </c>
      <c r="K15" s="14" t="inlineStr">
        <is>
          <t>9+, avventura, narrativa</t>
        </is>
      </c>
      <c r="L15" s="14" t="inlineStr">
        <is>
          <t>https://www.edizionicorsare.it/categoria-prodotto/collane/storie-corsare/</t>
        </is>
      </c>
      <c r="M15" s="16" t="n">
        <v>12</v>
      </c>
      <c r="N15" s="14" t="inlineStr">
        <is>
          <t>Catalogo Edizioni Corsare Primavera 2026</t>
        </is>
      </c>
      <c r="O15" s="16">
        <f>IF(ISNUMBER(M15),ROUND(M15*(1-Condizioni!$B$2),2),"")</f>
        <v/>
      </c>
      <c r="P15" s="17" t="inlineStr">
        <is>
          <t>Sì</t>
        </is>
      </c>
    </row>
    <row r="16">
      <c r="A16" s="14" t="inlineStr">
        <is>
          <t>Edizioni Corsare</t>
        </is>
      </c>
      <c r="B16" s="14" t="inlineStr">
        <is>
          <t>Due detective e mezzo</t>
        </is>
      </c>
      <c r="C16" s="14" t="inlineStr">
        <is>
          <t>(vedi scheda)</t>
        </is>
      </c>
      <c r="D16" s="14" t="inlineStr">
        <is>
          <t>Storie corsare</t>
        </is>
      </c>
      <c r="E16" s="14" t="inlineStr">
        <is>
          <t>9-13 anni</t>
        </is>
      </c>
      <c r="F16" s="14" t="inlineStr">
        <is>
          <t>9+</t>
        </is>
      </c>
      <c r="G16" s="14" t="inlineStr">
        <is>
          <t>Giallo/Mistero</t>
        </is>
      </c>
      <c r="H16" s="14" t="inlineStr"/>
      <c r="I16" s="14" t="inlineStr">
        <is>
          <t>No</t>
        </is>
      </c>
      <c r="J16" s="14" t="inlineStr">
        <is>
          <t>Collana</t>
        </is>
      </c>
      <c r="K16" s="14" t="inlineStr">
        <is>
          <t>9+, narrativa</t>
        </is>
      </c>
      <c r="L16" s="14" t="inlineStr">
        <is>
          <t>https://www.edizionicorsare.it/categoria-prodotto/collane/storie-corsare/</t>
        </is>
      </c>
      <c r="M16" s="16" t="n">
        <v>10</v>
      </c>
      <c r="N16" s="14" t="inlineStr">
        <is>
          <t>https://www.ibs.it/x/e/9788899136031</t>
        </is>
      </c>
      <c r="O16" s="16">
        <f>IF(ISNUMBER(M16),ROUND(M16*(1-Condizioni!$B$2),2),"")</f>
        <v/>
      </c>
      <c r="P16" s="17" t="inlineStr">
        <is>
          <t>Sì</t>
        </is>
      </c>
    </row>
    <row r="17">
      <c r="A17" s="14" t="inlineStr">
        <is>
          <t>Edizioni Corsare</t>
        </is>
      </c>
      <c r="B17" s="14" t="inlineStr">
        <is>
          <t>Elos</t>
        </is>
      </c>
      <c r="C17" s="14" t="inlineStr">
        <is>
          <t>Federica Ortolan; ill. Gianluca Garofalo</t>
        </is>
      </c>
      <c r="D17" s="14" t="inlineStr">
        <is>
          <t>Area ragazzi (albi illustrati)</t>
        </is>
      </c>
      <c r="E17" s="14" t="inlineStr">
        <is>
          <t>da 9 anni e per tutti</t>
        </is>
      </c>
      <c r="F17" s="14" t="inlineStr">
        <is>
          <t>9+</t>
        </is>
      </c>
      <c r="G17" s="14" t="inlineStr">
        <is>
          <t>Albo illustrato</t>
        </is>
      </c>
      <c r="H17" s="14" t="inlineStr">
        <is>
          <t>Guerra, disagio giovanile e solitudine</t>
        </is>
      </c>
      <c r="I17" s="14" t="inlineStr">
        <is>
          <t>No</t>
        </is>
      </c>
      <c r="J17" s="14" t="inlineStr">
        <is>
          <t>Catalogo</t>
        </is>
      </c>
      <c r="K17" s="14" t="inlineStr">
        <is>
          <t>9+</t>
        </is>
      </c>
      <c r="L17" s="14" t="inlineStr">
        <is>
          <t>Catalogo Edizioni Corsare Primavera 2026</t>
        </is>
      </c>
      <c r="M17" s="16" t="n">
        <v>18.9</v>
      </c>
      <c r="N17" s="14" t="inlineStr">
        <is>
          <t>Catalogo Edizioni Corsare Primavera 2026</t>
        </is>
      </c>
      <c r="O17" s="16">
        <f>IF(ISNUMBER(M17),ROUND(M17*(1-Condizioni!$B$2),2),"")</f>
        <v/>
      </c>
      <c r="P17" s="17" t="inlineStr">
        <is>
          <t>Sì</t>
        </is>
      </c>
    </row>
    <row r="18">
      <c r="A18" s="14" t="inlineStr">
        <is>
          <t>Edizioni Corsare</t>
        </is>
      </c>
      <c r="B18" s="14" t="inlineStr">
        <is>
          <t>Frottole e segreti</t>
        </is>
      </c>
      <c r="C18" s="14" t="inlineStr">
        <is>
          <t>Stefania Gatti</t>
        </is>
      </c>
      <c r="D18" s="14" t="inlineStr">
        <is>
          <t>Storie corsare</t>
        </is>
      </c>
      <c r="E18" s="14" t="inlineStr">
        <is>
          <t>da 9 anni</t>
        </is>
      </c>
      <c r="F18" s="14" t="inlineStr">
        <is>
          <t>9+</t>
        </is>
      </c>
      <c r="G18" s="14" t="inlineStr">
        <is>
          <t>Romanzo</t>
        </is>
      </c>
      <c r="H18" s="14" t="inlineStr">
        <is>
          <t>Balbuzie, solitudine e amicizia</t>
        </is>
      </c>
      <c r="I18" s="14" t="inlineStr">
        <is>
          <t>No</t>
        </is>
      </c>
      <c r="J18" s="14" t="inlineStr">
        <is>
          <t>Catalogo</t>
        </is>
      </c>
      <c r="K18" s="14" t="inlineStr">
        <is>
          <t>9+, romanzo, narrativa</t>
        </is>
      </c>
      <c r="L18" s="14" t="inlineStr">
        <is>
          <t>https://www.edizionicorsare.it/categoria-prodotto/collane/storie-corsare/</t>
        </is>
      </c>
      <c r="M18" s="16" t="n">
        <v>10</v>
      </c>
      <c r="N18" s="14" t="inlineStr">
        <is>
          <t>Catalogo Edizioni Corsare Primavera 2026</t>
        </is>
      </c>
      <c r="O18" s="16">
        <f>IF(ISNUMBER(M18),ROUND(M18*(1-Condizioni!$B$2),2),"")</f>
        <v/>
      </c>
      <c r="P18" s="17" t="inlineStr">
        <is>
          <t>Sì</t>
        </is>
      </c>
    </row>
    <row r="19">
      <c r="A19" s="14" t="inlineStr">
        <is>
          <t>Edizioni Corsare</t>
        </is>
      </c>
      <c r="B19" s="14" t="inlineStr">
        <is>
          <t>La città d'acqua</t>
        </is>
      </c>
      <c r="C19" s="14" t="inlineStr">
        <is>
          <t>Francesca Leita</t>
        </is>
      </c>
      <c r="D19" s="14" t="inlineStr">
        <is>
          <t>Storie corsare</t>
        </is>
      </c>
      <c r="E19" s="14" t="inlineStr">
        <is>
          <t>da 9 anni</t>
        </is>
      </c>
      <c r="F19" s="14" t="inlineStr">
        <is>
          <t>9+</t>
        </is>
      </c>
      <c r="G19" s="14" t="inlineStr">
        <is>
          <t>Romanzo</t>
        </is>
      </c>
      <c r="H19" s="14" t="inlineStr"/>
      <c r="I19" s="14" t="inlineStr">
        <is>
          <t>No</t>
        </is>
      </c>
      <c r="J19" s="14" t="inlineStr">
        <is>
          <t>Catalogo</t>
        </is>
      </c>
      <c r="K19" s="14" t="inlineStr">
        <is>
          <t>9+, romanzo, narrativa</t>
        </is>
      </c>
      <c r="L19" s="14" t="inlineStr">
        <is>
          <t>https://www.edizionicorsare.it/categoria-prodotto/collane/storie-corsare/</t>
        </is>
      </c>
      <c r="M19" s="16" t="n">
        <v>12</v>
      </c>
      <c r="N19" s="14" t="inlineStr">
        <is>
          <t>Catalogo Edizioni Corsare Primavera 2026</t>
        </is>
      </c>
      <c r="O19" s="16">
        <f>IF(ISNUMBER(M19),ROUND(M19*(1-Condizioni!$B$2),2),"")</f>
        <v/>
      </c>
      <c r="P19" s="17" t="inlineStr">
        <is>
          <t>Sì</t>
        </is>
      </c>
    </row>
    <row r="20">
      <c r="A20" s="14" t="inlineStr">
        <is>
          <t>Edizioni Corsare</t>
        </is>
      </c>
      <c r="B20" s="14" t="inlineStr">
        <is>
          <t>Leopard boy</t>
        </is>
      </c>
      <c r="C20" s="14" t="inlineStr">
        <is>
          <t>Marco Innocenti</t>
        </is>
      </c>
      <c r="D20" s="14" t="inlineStr">
        <is>
          <t>Storie corsare</t>
        </is>
      </c>
      <c r="E20" s="14" t="inlineStr">
        <is>
          <t>da 9 anni</t>
        </is>
      </c>
      <c r="F20" s="14" t="inlineStr">
        <is>
          <t>9+</t>
        </is>
      </c>
      <c r="G20" s="14" t="inlineStr">
        <is>
          <t>Avventura</t>
        </is>
      </c>
      <c r="H20" s="14" t="inlineStr">
        <is>
          <t>Bullismo, giustizia e vendetta</t>
        </is>
      </c>
      <c r="I20" s="14" t="inlineStr">
        <is>
          <t>No</t>
        </is>
      </c>
      <c r="J20" s="14" t="inlineStr">
        <is>
          <t>Catalogo</t>
        </is>
      </c>
      <c r="K20" s="14" t="inlineStr">
        <is>
          <t>9+, avventura, narrativa, bullismo</t>
        </is>
      </c>
      <c r="L20" s="14" t="inlineStr">
        <is>
          <t>https://www.edizionicorsare.it/categoria-prodotto/collane/storie-corsare/</t>
        </is>
      </c>
      <c r="M20" s="16" t="n">
        <v>12</v>
      </c>
      <c r="N20" s="14" t="inlineStr">
        <is>
          <t>Catalogo Edizioni Corsare Primavera 2026</t>
        </is>
      </c>
      <c r="O20" s="16">
        <f>IF(ISNUMBER(M20),ROUND(M20*(1-Condizioni!$B$2),2),"")</f>
        <v/>
      </c>
      <c r="P20" s="17" t="inlineStr">
        <is>
          <t>Sì</t>
        </is>
      </c>
    </row>
    <row r="21">
      <c r="A21" s="14" t="inlineStr">
        <is>
          <t>Edizioni Corsare</t>
        </is>
      </c>
      <c r="B21" s="14" t="inlineStr">
        <is>
          <t>Miss Mina</t>
        </is>
      </c>
      <c r="C21" s="14" t="inlineStr">
        <is>
          <t>Marco Innocenti</t>
        </is>
      </c>
      <c r="D21" s="14" t="inlineStr">
        <is>
          <t>Storie corsare</t>
        </is>
      </c>
      <c r="E21" s="14" t="inlineStr">
        <is>
          <t>da 9 anni</t>
        </is>
      </c>
      <c r="F21" s="14" t="inlineStr">
        <is>
          <t>9+</t>
        </is>
      </c>
      <c r="G21" s="14" t="inlineStr">
        <is>
          <t>Romanzo</t>
        </is>
      </c>
      <c r="H21" s="14" t="inlineStr">
        <is>
          <t>Disabilità, guerra e resilienza</t>
        </is>
      </c>
      <c r="I21" s="14" t="inlineStr">
        <is>
          <t>No</t>
        </is>
      </c>
      <c r="J21" s="14" t="inlineStr">
        <is>
          <t>Catalogo</t>
        </is>
      </c>
      <c r="K21" s="14" t="inlineStr">
        <is>
          <t>9+, romanzo, narrativa</t>
        </is>
      </c>
      <c r="L21" s="14" t="inlineStr">
        <is>
          <t>https://www.edizionicorsare.it/categoria-prodotto/collane/storie-corsare/</t>
        </is>
      </c>
      <c r="M21" s="16" t="n">
        <v>10</v>
      </c>
      <c r="N21" s="14" t="inlineStr">
        <is>
          <t>Catalogo Edizioni Corsare Primavera 2026</t>
        </is>
      </c>
      <c r="O21" s="16">
        <f>IF(ISNUMBER(M21),ROUND(M21*(1-Condizioni!$B$2),2),"")</f>
        <v/>
      </c>
      <c r="P21" s="17" t="inlineStr">
        <is>
          <t>Sì</t>
        </is>
      </c>
    </row>
    <row r="22">
      <c r="A22" s="14" t="inlineStr">
        <is>
          <t>Edizioni Corsare</t>
        </is>
      </c>
      <c r="B22" s="14" t="inlineStr">
        <is>
          <t>Pericolo smartphone</t>
        </is>
      </c>
      <c r="C22" s="14" t="inlineStr">
        <is>
          <t>(vedi scheda)</t>
        </is>
      </c>
      <c r="D22" s="14" t="inlineStr">
        <is>
          <t>Storie corsare</t>
        </is>
      </c>
      <c r="E22" s="14" t="inlineStr">
        <is>
          <t>9-13 anni (+ guida per adulti)</t>
        </is>
      </c>
      <c r="F22" s="14" t="inlineStr">
        <is>
          <t>9+</t>
        </is>
      </c>
      <c r="G22" s="14" t="inlineStr">
        <is>
          <t>Divulgazione/Saggio</t>
        </is>
      </c>
      <c r="H22" s="14" t="inlineStr">
        <is>
          <t>Uso consapevole di web e social</t>
        </is>
      </c>
      <c r="I22" s="14" t="inlineStr">
        <is>
          <t>No</t>
        </is>
      </c>
      <c r="J22" s="14" t="inlineStr">
        <is>
          <t>Collana</t>
        </is>
      </c>
      <c r="K22" s="14" t="inlineStr">
        <is>
          <t>9+</t>
        </is>
      </c>
      <c r="L22" s="14" t="inlineStr">
        <is>
          <t>https://www.edizionicorsare.it/categoria-prodotto/collane/storie-corsare/</t>
        </is>
      </c>
      <c r="M22" s="16" t="n">
        <v>12</v>
      </c>
      <c r="N22" s="14" t="inlineStr">
        <is>
          <t>https://www.ibs.it/x/e/9788899136277</t>
        </is>
      </c>
      <c r="O22" s="16">
        <f>IF(ISNUMBER(M22),ROUND(M22*(1-Condizioni!$B$2),2),"")</f>
        <v/>
      </c>
      <c r="P22" s="17" t="inlineStr">
        <is>
          <t>Sì</t>
        </is>
      </c>
    </row>
    <row r="23">
      <c r="A23" s="14" t="inlineStr">
        <is>
          <t>Edizioni Corsare</t>
        </is>
      </c>
      <c r="B23" s="14" t="inlineStr">
        <is>
          <t>Roka il figlio della terra</t>
        </is>
      </c>
      <c r="C23" s="14" t="inlineStr">
        <is>
          <t>Dino Ticli</t>
        </is>
      </c>
      <c r="D23" s="14" t="inlineStr">
        <is>
          <t>Storie corsare</t>
        </is>
      </c>
      <c r="E23" s="14" t="inlineStr">
        <is>
          <t>da 9 anni</t>
        </is>
      </c>
      <c r="F23" s="14" t="inlineStr">
        <is>
          <t>9+</t>
        </is>
      </c>
      <c r="G23" s="14" t="inlineStr">
        <is>
          <t>Avventura</t>
        </is>
      </c>
      <c r="H23" s="14" t="inlineStr">
        <is>
          <t>Rispetto per l’altro e preistoria</t>
        </is>
      </c>
      <c r="I23" s="14" t="inlineStr">
        <is>
          <t>No</t>
        </is>
      </c>
      <c r="J23" s="14" t="inlineStr">
        <is>
          <t>Catalogo</t>
        </is>
      </c>
      <c r="K23" s="14" t="inlineStr">
        <is>
          <t>9+, avventura, narrativa</t>
        </is>
      </c>
      <c r="L23" s="14" t="inlineStr">
        <is>
          <t>https://www.edizionicorsare.it/categoria-prodotto/collane/storie-corsare/</t>
        </is>
      </c>
      <c r="M23" s="16" t="n">
        <v>12</v>
      </c>
      <c r="N23" s="14" t="inlineStr">
        <is>
          <t>Catalogo Edizioni Corsare Primavera 2026</t>
        </is>
      </c>
      <c r="O23" s="16">
        <f>IF(ISNUMBER(M23),ROUND(M23*(1-Condizioni!$B$2),2),"")</f>
        <v/>
      </c>
      <c r="P23" s="17" t="inlineStr">
        <is>
          <t>Sì</t>
        </is>
      </c>
    </row>
    <row r="24">
      <c r="A24" s="14" t="inlineStr">
        <is>
          <t>Edizioni Corsare</t>
        </is>
      </c>
      <c r="B24" s="14" t="inlineStr">
        <is>
          <t>Ryunio. La bambina-drago</t>
        </is>
      </c>
      <c r="C24" s="14" t="inlineStr">
        <is>
          <t>Roberta Calandra</t>
        </is>
      </c>
      <c r="D24" s="14" t="inlineStr">
        <is>
          <t>Storie corsare</t>
        </is>
      </c>
      <c r="E24" s="14" t="inlineStr">
        <is>
          <t>da 9 anni</t>
        </is>
      </c>
      <c r="F24" s="14" t="inlineStr">
        <is>
          <t>9+</t>
        </is>
      </c>
      <c r="G24" s="14" t="inlineStr">
        <is>
          <t>Romanzo</t>
        </is>
      </c>
      <c r="H24" s="14" t="inlineStr">
        <is>
          <t>Adozione e accoglienza</t>
        </is>
      </c>
      <c r="I24" s="14" t="inlineStr">
        <is>
          <t>No</t>
        </is>
      </c>
      <c r="J24" s="14" t="inlineStr">
        <is>
          <t>Catalogo</t>
        </is>
      </c>
      <c r="K24" s="14" t="inlineStr">
        <is>
          <t>9+, romanzo, narrativa</t>
        </is>
      </c>
      <c r="L24" s="14" t="inlineStr">
        <is>
          <t>https://www.edizionicorsare.it/categoria-prodotto/collane/storie-corsare/</t>
        </is>
      </c>
      <c r="M24" s="16" t="n">
        <v>10.5</v>
      </c>
      <c r="N24" s="14" t="inlineStr">
        <is>
          <t>Catalogo Edizioni Corsare Primavera 2026</t>
        </is>
      </c>
      <c r="O24" s="16">
        <f>IF(ISNUMBER(M24),ROUND(M24*(1-Condizioni!$B$2),2),"")</f>
        <v/>
      </c>
      <c r="P24" s="17" t="inlineStr">
        <is>
          <t>Sì</t>
        </is>
      </c>
    </row>
    <row r="25">
      <c r="A25" s="14" t="inlineStr">
        <is>
          <t>Edizioni Corsare</t>
        </is>
      </c>
      <c r="B25" s="14" t="inlineStr">
        <is>
          <t>Un emoji per amico</t>
        </is>
      </c>
      <c r="C25" s="14" t="inlineStr">
        <is>
          <t>OSA (Ottocento Straordinari Allievi)</t>
        </is>
      </c>
      <c r="D25" s="14" t="inlineStr">
        <is>
          <t>Storie corsare</t>
        </is>
      </c>
      <c r="E25" s="14" t="inlineStr">
        <is>
          <t>da 9 anni</t>
        </is>
      </c>
      <c r="F25" s="14" t="inlineStr">
        <is>
          <t>9+</t>
        </is>
      </c>
      <c r="G25" s="14" t="inlineStr">
        <is>
          <t>Romanzo</t>
        </is>
      </c>
      <c r="H25" s="14" t="inlineStr">
        <is>
          <t>Dipendenza dal web, cyberbullismo e social network</t>
        </is>
      </c>
      <c r="I25" s="14" t="inlineStr">
        <is>
          <t>No</t>
        </is>
      </c>
      <c r="J25" s="14" t="inlineStr">
        <is>
          <t>Catalogo</t>
        </is>
      </c>
      <c r="K25" s="14" t="inlineStr">
        <is>
          <t>9+, romanzo, narrativa, bullismo</t>
        </is>
      </c>
      <c r="L25" s="14" t="inlineStr">
        <is>
          <t>https://www.edizionicorsare.it/categoria-prodotto/collane/storie-corsare/</t>
        </is>
      </c>
      <c r="M25" s="16" t="n">
        <v>12</v>
      </c>
      <c r="N25" s="14" t="inlineStr">
        <is>
          <t>Catalogo Edizioni Corsare Primavera 2026</t>
        </is>
      </c>
      <c r="O25" s="16">
        <f>IF(ISNUMBER(M25),ROUND(M25*(1-Condizioni!$B$2),2),"")</f>
        <v/>
      </c>
      <c r="P25" s="17" t="inlineStr">
        <is>
          <t>Sì</t>
        </is>
      </c>
    </row>
    <row r="26">
      <c r="A26" s="14" t="inlineStr">
        <is>
          <t>Edizioni Corsare</t>
        </is>
      </c>
      <c r="B26" s="14" t="inlineStr">
        <is>
          <t>Viola, la gallina e il soldato</t>
        </is>
      </c>
      <c r="C26" s="14" t="inlineStr">
        <is>
          <t>M. Beatrice Masella</t>
        </is>
      </c>
      <c r="D26" s="14" t="inlineStr">
        <is>
          <t>Storie corsare</t>
        </is>
      </c>
      <c r="E26" s="14" t="inlineStr">
        <is>
          <t>da 9 anni</t>
        </is>
      </c>
      <c r="F26" s="14" t="inlineStr">
        <is>
          <t>9+</t>
        </is>
      </c>
      <c r="G26" s="14" t="inlineStr">
        <is>
          <t>Romanzo</t>
        </is>
      </c>
      <c r="H26" s="14" t="inlineStr">
        <is>
          <t>Seconda guerra mondiale e coraggio</t>
        </is>
      </c>
      <c r="I26" s="14" t="inlineStr">
        <is>
          <t>No</t>
        </is>
      </c>
      <c r="J26" s="14" t="inlineStr">
        <is>
          <t>Catalogo</t>
        </is>
      </c>
      <c r="K26" s="14" t="inlineStr">
        <is>
          <t>9+, romanzo, narrativa</t>
        </is>
      </c>
      <c r="L26" s="14" t="inlineStr">
        <is>
          <t>https://www.edizionicorsare.it/categoria-prodotto/collane/storie-corsare/</t>
        </is>
      </c>
      <c r="M26" s="16" t="n">
        <v>12</v>
      </c>
      <c r="N26" s="14" t="inlineStr">
        <is>
          <t>Catalogo Edizioni Corsare Primavera 2026</t>
        </is>
      </c>
      <c r="O26" s="16">
        <f>IF(ISNUMBER(M26),ROUND(M26*(1-Condizioni!$B$2),2),"")</f>
        <v/>
      </c>
      <c r="P26" s="17" t="inlineStr">
        <is>
          <t>Sì</t>
        </is>
      </c>
    </row>
    <row r="27">
      <c r="A27" s="14" t="inlineStr">
        <is>
          <t>Edizioni Corsare</t>
        </is>
      </c>
      <c r="B27" s="14" t="inlineStr">
        <is>
          <t>Virginia e il tesoro perduto di Michelangelo</t>
        </is>
      </c>
      <c r="C27" s="14" t="inlineStr">
        <is>
          <t>Valentina Salerno; ill. Martina Distefano</t>
        </is>
      </c>
      <c r="D27" s="14" t="inlineStr">
        <is>
          <t>Storie corsare</t>
        </is>
      </c>
      <c r="E27" s="14" t="inlineStr">
        <is>
          <t>da 9 anni</t>
        </is>
      </c>
      <c r="F27" s="14" t="inlineStr">
        <is>
          <t>9+</t>
        </is>
      </c>
      <c r="G27" s="14" t="inlineStr">
        <is>
          <t>Avventura</t>
        </is>
      </c>
      <c r="H27" s="14" t="inlineStr">
        <is>
          <t>Arte e storia</t>
        </is>
      </c>
      <c r="I27" s="14" t="inlineStr">
        <is>
          <t>No</t>
        </is>
      </c>
      <c r="J27" s="14" t="inlineStr">
        <is>
          <t>Catalogo</t>
        </is>
      </c>
      <c r="K27" s="14" t="inlineStr">
        <is>
          <t>9+, avventura, narrativa</t>
        </is>
      </c>
      <c r="L27" s="14" t="inlineStr">
        <is>
          <t>https://www.edizionicorsare.it/categoria-prodotto/collane/storie-corsare/</t>
        </is>
      </c>
      <c r="M27" s="16" t="n">
        <v>15</v>
      </c>
      <c r="N27" s="14" t="inlineStr">
        <is>
          <t>Catalogo Edizioni Corsare Primavera 2026</t>
        </is>
      </c>
      <c r="O27" s="16">
        <f>IF(ISNUMBER(M27),ROUND(M27*(1-Condizioni!$B$2),2),"")</f>
        <v/>
      </c>
      <c r="P27" s="17" t="inlineStr">
        <is>
          <t>Sì</t>
        </is>
      </c>
    </row>
    <row r="28">
      <c r="A28" s="14" t="inlineStr">
        <is>
          <t>Edizioni Corsare</t>
        </is>
      </c>
      <c r="B28" s="14" t="inlineStr">
        <is>
          <t>Due ragazzi nella Firenze dei Medici</t>
        </is>
      </c>
      <c r="C28" s="14" t="inlineStr">
        <is>
          <t>Marco Di Tillo</t>
        </is>
      </c>
      <c r="D28" s="14" t="inlineStr">
        <is>
          <t>Storie corsare</t>
        </is>
      </c>
      <c r="E28" s="14" t="inlineStr">
        <is>
          <t>da 10 anni</t>
        </is>
      </c>
      <c r="F28" s="14" t="inlineStr">
        <is>
          <t>10+</t>
        </is>
      </c>
      <c r="G28" s="14" t="inlineStr">
        <is>
          <t>Romanzo</t>
        </is>
      </c>
      <c r="H28" s="14" t="inlineStr"/>
      <c r="I28" s="14" t="inlineStr">
        <is>
          <t>No</t>
        </is>
      </c>
      <c r="J28" s="14" t="inlineStr">
        <is>
          <t>Catalogo</t>
        </is>
      </c>
      <c r="K28" s="14" t="inlineStr">
        <is>
          <t>10+, romanzo, narrativa</t>
        </is>
      </c>
      <c r="L28" s="14" t="inlineStr">
        <is>
          <t>https://www.edizionicorsare.it/categoria-prodotto/collane/storie-corsare/</t>
        </is>
      </c>
      <c r="M28" s="16" t="n">
        <v>12</v>
      </c>
      <c r="N28" s="14" t="inlineStr">
        <is>
          <t>Catalogo Edizioni Corsare Primavera 2026</t>
        </is>
      </c>
      <c r="O28" s="16">
        <f>IF(ISNUMBER(M28),ROUND(M28*(1-Condizioni!$B$2),2),"")</f>
        <v/>
      </c>
      <c r="P28" s="17" t="inlineStr">
        <is>
          <t>Sì</t>
        </is>
      </c>
    </row>
    <row r="29">
      <c r="A29" s="14" t="inlineStr">
        <is>
          <t>Edizioni Corsare</t>
        </is>
      </c>
      <c r="B29" s="14" t="inlineStr">
        <is>
          <t>Il ladro di Picasso</t>
        </is>
      </c>
      <c r="C29" s="14" t="inlineStr">
        <is>
          <t>Marco Di Tillo</t>
        </is>
      </c>
      <c r="D29" s="14" t="inlineStr">
        <is>
          <t>Storie corsare</t>
        </is>
      </c>
      <c r="E29" s="14" t="inlineStr">
        <is>
          <t>da 10 anni</t>
        </is>
      </c>
      <c r="F29" s="14" t="inlineStr">
        <is>
          <t>10+</t>
        </is>
      </c>
      <c r="G29" s="14" t="inlineStr">
        <is>
          <t>Giallo/Mistero</t>
        </is>
      </c>
      <c r="H29" s="14" t="inlineStr"/>
      <c r="I29" s="14" t="inlineStr">
        <is>
          <t>No</t>
        </is>
      </c>
      <c r="J29" s="14" t="inlineStr">
        <is>
          <t>Catalogo</t>
        </is>
      </c>
      <c r="K29" s="14" t="inlineStr">
        <is>
          <t>10+, narrativa</t>
        </is>
      </c>
      <c r="L29" s="14" t="inlineStr">
        <is>
          <t>https://www.edizionicorsare.it/categoria-prodotto/collane/storie-corsare/</t>
        </is>
      </c>
      <c r="M29" s="16" t="n">
        <v>10</v>
      </c>
      <c r="N29" s="14" t="inlineStr">
        <is>
          <t>Catalogo Edizioni Corsare Primavera 2026</t>
        </is>
      </c>
      <c r="O29" s="16">
        <f>IF(ISNUMBER(M29),ROUND(M29*(1-Condizioni!$B$2),2),"")</f>
        <v/>
      </c>
      <c r="P29" s="17" t="inlineStr">
        <is>
          <t>Sì</t>
        </is>
      </c>
    </row>
    <row r="30">
      <c r="A30" s="14" t="inlineStr">
        <is>
          <t>Edizioni Corsare</t>
        </is>
      </c>
      <c r="B30" s="14" t="inlineStr">
        <is>
          <t>Wonder Football Club (serie)</t>
        </is>
      </c>
      <c r="C30" s="14" t="inlineStr">
        <is>
          <t>Marco Innocenti</t>
        </is>
      </c>
      <c r="D30" s="14" t="inlineStr">
        <is>
          <t>Wonder Football Club</t>
        </is>
      </c>
      <c r="E30" s="14" t="inlineStr">
        <is>
          <t>da 10 anni</t>
        </is>
      </c>
      <c r="F30" s="14" t="inlineStr">
        <is>
          <t>10+</t>
        </is>
      </c>
      <c r="G30" s="14" t="inlineStr">
        <is>
          <t>Romanzo</t>
        </is>
      </c>
      <c r="H30" s="14" t="inlineStr">
        <is>
          <t>Sport, amicizia e lavoro di squadra</t>
        </is>
      </c>
      <c r="I30" s="14" t="inlineStr">
        <is>
          <t>No</t>
        </is>
      </c>
      <c r="J30" s="14" t="inlineStr">
        <is>
          <t>Catalogo</t>
        </is>
      </c>
      <c r="K30" s="14" t="inlineStr">
        <is>
          <t>10+, romanzo, narrativa</t>
        </is>
      </c>
      <c r="L30" s="14" t="inlineStr">
        <is>
          <t>https://www.ibs.it/libri/collane/storie-corsare-p204353</t>
        </is>
      </c>
      <c r="M30" s="16" t="n">
        <v>12</v>
      </c>
      <c r="N30" s="14" t="inlineStr">
        <is>
          <t>Catalogo Edizioni Corsare Primavera 2026</t>
        </is>
      </c>
      <c r="O30" s="16">
        <f>IF(ISNUMBER(M30),ROUND(M30*(1-Condizioni!$B$2),2),"")</f>
        <v/>
      </c>
      <c r="P30" s="17" t="inlineStr">
        <is>
          <t>Sì</t>
        </is>
      </c>
    </row>
    <row r="31">
      <c r="A31" s="14" t="inlineStr">
        <is>
          <t>Edizioni Corsare</t>
        </is>
      </c>
      <c r="B31" s="14" t="inlineStr">
        <is>
          <t>Americhea</t>
        </is>
      </c>
      <c r="C31" s="14" t="inlineStr">
        <is>
          <t>Antonella Restelli; ill. Sara Cimarosti</t>
        </is>
      </c>
      <c r="D31" s="14" t="inlineStr">
        <is>
          <t>Narrativa YA / Border</t>
        </is>
      </c>
      <c r="E31" s="14" t="inlineStr">
        <is>
          <t>14+</t>
        </is>
      </c>
      <c r="F31" s="14" t="inlineStr">
        <is>
          <t>Adolescenza (14+)</t>
        </is>
      </c>
      <c r="G31" s="14" t="inlineStr">
        <is>
          <t>Romanzo</t>
        </is>
      </c>
      <c r="H31" s="14" t="inlineStr">
        <is>
          <t>Parità di genere e violenza</t>
        </is>
      </c>
      <c r="I31" s="14" t="inlineStr">
        <is>
          <t>No</t>
        </is>
      </c>
      <c r="J31" s="14" t="inlineStr">
        <is>
          <t>Catalogo</t>
        </is>
      </c>
      <c r="K31" s="14" t="inlineStr">
        <is>
          <t>adolescenza, romanzo, narrativa</t>
        </is>
      </c>
      <c r="L31" s="14" t="inlineStr">
        <is>
          <t>https://www.edizionicorsare.it/categoria-prodotto/collane/border-young-adult/</t>
        </is>
      </c>
      <c r="M31" s="16" t="n">
        <v>16</v>
      </c>
      <c r="N31" s="14" t="inlineStr">
        <is>
          <t>Catalogo Edizioni Corsare Primavera 2026</t>
        </is>
      </c>
      <c r="O31" s="16">
        <f>IF(ISNUMBER(M31),ROUND(M31*(1-Condizioni!$B$2),2),"")</f>
        <v/>
      </c>
      <c r="P31" s="17" t="inlineStr">
        <is>
          <t>Sì</t>
        </is>
      </c>
    </row>
    <row r="32">
      <c r="A32" s="14" t="inlineStr">
        <is>
          <t>Edizioni Corsare</t>
        </is>
      </c>
      <c r="B32" s="14" t="inlineStr">
        <is>
          <t>Curare le pietre</t>
        </is>
      </c>
      <c r="C32" s="14" t="inlineStr">
        <is>
          <t>Antonella Giacon</t>
        </is>
      </c>
      <c r="D32" s="14" t="inlineStr">
        <is>
          <t>Narrativa YA / Border</t>
        </is>
      </c>
      <c r="E32" s="14" t="inlineStr">
        <is>
          <t>14+</t>
        </is>
      </c>
      <c r="F32" s="14" t="inlineStr">
        <is>
          <t>Adolescenza (14+)</t>
        </is>
      </c>
      <c r="G32" s="14" t="inlineStr">
        <is>
          <t>Romanzo</t>
        </is>
      </c>
      <c r="H32" s="14" t="inlineStr">
        <is>
          <t>Volontariato e solidarietà</t>
        </is>
      </c>
      <c r="I32" s="14" t="inlineStr">
        <is>
          <t>No</t>
        </is>
      </c>
      <c r="J32" s="14" t="inlineStr">
        <is>
          <t>Catalogo</t>
        </is>
      </c>
      <c r="K32" s="14" t="inlineStr">
        <is>
          <t>adolescenza, romanzo, narrativa</t>
        </is>
      </c>
      <c r="L32" s="14" t="inlineStr">
        <is>
          <t>https://www.edizionicorsare.it/categoria-prodotto/collane/border-young-adult/</t>
        </is>
      </c>
      <c r="M32" s="16" t="n">
        <v>13</v>
      </c>
      <c r="N32" s="14" t="inlineStr">
        <is>
          <t>Catalogo Edizioni Corsare Primavera 2026</t>
        </is>
      </c>
      <c r="O32" s="16">
        <f>IF(ISNUMBER(M32),ROUND(M32*(1-Condizioni!$B$2),2),"")</f>
        <v/>
      </c>
      <c r="P32" s="17" t="inlineStr">
        <is>
          <t>Sì</t>
        </is>
      </c>
    </row>
    <row r="33">
      <c r="A33" s="14" t="inlineStr">
        <is>
          <t>Edizioni Corsare</t>
        </is>
      </c>
      <c r="B33" s="14" t="inlineStr">
        <is>
          <t>Diana e il segreto dei lupasky</t>
        </is>
      </c>
      <c r="C33" s="14" t="inlineStr">
        <is>
          <t>Giuliana Fanti</t>
        </is>
      </c>
      <c r="D33" s="14" t="inlineStr">
        <is>
          <t>Narrativa YA / Border</t>
        </is>
      </c>
      <c r="E33" s="14" t="inlineStr">
        <is>
          <t>14+</t>
        </is>
      </c>
      <c r="F33" s="14" t="inlineStr">
        <is>
          <t>Adolescenza (14+)</t>
        </is>
      </c>
      <c r="G33" s="14" t="inlineStr">
        <is>
          <t>Romanzo</t>
        </is>
      </c>
      <c r="H33" s="14" t="inlineStr">
        <is>
          <t>Ambiente e alleanza con gli animali</t>
        </is>
      </c>
      <c r="I33" s="14" t="inlineStr">
        <is>
          <t>No</t>
        </is>
      </c>
      <c r="J33" s="14" t="inlineStr">
        <is>
          <t>Catalogo</t>
        </is>
      </c>
      <c r="K33" s="14" t="inlineStr">
        <is>
          <t>adolescenza, romanzo, narrativa</t>
        </is>
      </c>
      <c r="L33" s="14" t="inlineStr">
        <is>
          <t>https://www.edizionicorsare.it/categoria-prodotto/collane/border-young-adult/</t>
        </is>
      </c>
      <c r="M33" s="16" t="n">
        <v>13</v>
      </c>
      <c r="N33" s="14" t="inlineStr">
        <is>
          <t>Catalogo Edizioni Corsare Primavera 2026</t>
        </is>
      </c>
      <c r="O33" s="16">
        <f>IF(ISNUMBER(M33),ROUND(M33*(1-Condizioni!$B$2),2),"")</f>
        <v/>
      </c>
      <c r="P33" s="17" t="inlineStr">
        <is>
          <t>Sì</t>
        </is>
      </c>
    </row>
    <row r="34">
      <c r="A34" s="14" t="inlineStr">
        <is>
          <t>Edizioni Corsare</t>
        </is>
      </c>
      <c r="B34" s="14" t="inlineStr">
        <is>
          <t>L'estate in cui Ethan salvò San Francisco</t>
        </is>
      </c>
      <c r="C34" s="14" t="inlineStr">
        <is>
          <t>Gianluca Grechi</t>
        </is>
      </c>
      <c r="D34" s="14" t="inlineStr">
        <is>
          <t>Narrativa YA / Border</t>
        </is>
      </c>
      <c r="E34" s="14" t="inlineStr">
        <is>
          <t>14+</t>
        </is>
      </c>
      <c r="F34" s="14" t="inlineStr">
        <is>
          <t>Adolescenza (14+)</t>
        </is>
      </c>
      <c r="G34" s="14" t="inlineStr">
        <is>
          <t>Romanzo</t>
        </is>
      </c>
      <c r="H34" s="14" t="inlineStr"/>
      <c r="I34" s="14" t="inlineStr">
        <is>
          <t>No</t>
        </is>
      </c>
      <c r="J34" s="14" t="inlineStr">
        <is>
          <t>Catalogo</t>
        </is>
      </c>
      <c r="K34" s="14" t="inlineStr">
        <is>
          <t>adolescenza, romanzo, narrativa</t>
        </is>
      </c>
      <c r="L34" s="14" t="inlineStr">
        <is>
          <t>https://www.edizionicorsare.it/categoria-prodotto/collane/border-young-adult/</t>
        </is>
      </c>
      <c r="M34" s="16" t="n">
        <v>13</v>
      </c>
      <c r="N34" s="14" t="inlineStr">
        <is>
          <t>Catalogo Edizioni Corsare Primavera 2026</t>
        </is>
      </c>
      <c r="O34" s="16">
        <f>IF(ISNUMBER(M34),ROUND(M34*(1-Condizioni!$B$2),2),"")</f>
        <v/>
      </c>
      <c r="P34" s="17" t="inlineStr">
        <is>
          <t>Sì</t>
        </is>
      </c>
    </row>
    <row r="35">
      <c r="A35" s="14" t="inlineStr">
        <is>
          <t>Edizioni Corsare</t>
        </is>
      </c>
      <c r="B35" s="14" t="inlineStr">
        <is>
          <t>L'ultimo tornado</t>
        </is>
      </c>
      <c r="C35" s="14" t="inlineStr">
        <is>
          <t>Alberto Bellini</t>
        </is>
      </c>
      <c r="D35" s="14" t="inlineStr">
        <is>
          <t>Narrativa YA / Border</t>
        </is>
      </c>
      <c r="E35" s="14" t="inlineStr">
        <is>
          <t>14+</t>
        </is>
      </c>
      <c r="F35" s="14" t="inlineStr">
        <is>
          <t>Adolescenza (14+)</t>
        </is>
      </c>
      <c r="G35" s="14" t="inlineStr">
        <is>
          <t>Romanzo</t>
        </is>
      </c>
      <c r="H35" s="14" t="inlineStr">
        <is>
          <t>Solitudine e crescita</t>
        </is>
      </c>
      <c r="I35" s="14" t="inlineStr">
        <is>
          <t>No</t>
        </is>
      </c>
      <c r="J35" s="14" t="inlineStr">
        <is>
          <t>Catalogo</t>
        </is>
      </c>
      <c r="K35" s="14" t="inlineStr">
        <is>
          <t>adolescenza, romanzo, narrativa</t>
        </is>
      </c>
      <c r="L35" s="14" t="inlineStr">
        <is>
          <t>https://www.edizionicorsare.it/categoria-prodotto/collane/border-young-adult/</t>
        </is>
      </c>
      <c r="M35" s="16" t="n">
        <v>14</v>
      </c>
      <c r="N35" s="14" t="inlineStr">
        <is>
          <t>Catalogo Edizioni Corsare Primavera 2026</t>
        </is>
      </c>
      <c r="O35" s="16">
        <f>IF(ISNUMBER(M35),ROUND(M35*(1-Condizioni!$B$2),2),"")</f>
        <v/>
      </c>
      <c r="P35" s="17" t="inlineStr">
        <is>
          <t>Sì</t>
        </is>
      </c>
    </row>
    <row r="36">
      <c r="A36" s="14" t="inlineStr">
        <is>
          <t>Edizioni Corsare</t>
        </is>
      </c>
      <c r="B36" s="14" t="inlineStr">
        <is>
          <t>Quattro giorni</t>
        </is>
      </c>
      <c r="C36" s="14" t="inlineStr">
        <is>
          <t>Antonella Giacon</t>
        </is>
      </c>
      <c r="D36" s="14" t="inlineStr">
        <is>
          <t>Narrativa YA / Border</t>
        </is>
      </c>
      <c r="E36" s="14" t="inlineStr">
        <is>
          <t>14+</t>
        </is>
      </c>
      <c r="F36" s="14" t="inlineStr">
        <is>
          <t>Adolescenza (14+)</t>
        </is>
      </c>
      <c r="G36" s="14" t="inlineStr">
        <is>
          <t>Romanzo</t>
        </is>
      </c>
      <c r="H36" s="14" t="inlineStr">
        <is>
          <t>Libertà e crescita</t>
        </is>
      </c>
      <c r="I36" s="14" t="inlineStr">
        <is>
          <t>No</t>
        </is>
      </c>
      <c r="J36" s="14" t="inlineStr">
        <is>
          <t>Catalogo</t>
        </is>
      </c>
      <c r="K36" s="14" t="inlineStr">
        <is>
          <t>adolescenza, romanzo, narrativa</t>
        </is>
      </c>
      <c r="L36" s="14" t="inlineStr">
        <is>
          <t>https://www.edizionicorsare.it/categoria-prodotto/collane/border-young-adult/</t>
        </is>
      </c>
      <c r="M36" s="16" t="n">
        <v>12</v>
      </c>
      <c r="N36" s="14" t="inlineStr">
        <is>
          <t>Catalogo Edizioni Corsare Primavera 2026</t>
        </is>
      </c>
      <c r="O36" s="16">
        <f>IF(ISNUMBER(M36),ROUND(M36*(1-Condizioni!$B$2),2),"")</f>
        <v/>
      </c>
      <c r="P36" s="17" t="inlineStr">
        <is>
          <t>Sì</t>
        </is>
      </c>
    </row>
  </sheetData>
  <autoFilter ref="A1:P3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7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Minibombo</t>
        </is>
      </c>
      <c r="B2" s="14" t="inlineStr">
        <is>
          <t>Adesso ti prendo</t>
        </is>
      </c>
      <c r="C2" s="14" t="inlineStr">
        <is>
          <t>Ilaria Antonini, Barbara Balduzzi e Marco Scalcione</t>
        </is>
      </c>
      <c r="D2" s="14" t="inlineStr">
        <is>
          <t>Catalogo Minibombo 2026</t>
        </is>
      </c>
      <c r="E2" s="14" t="inlineStr">
        <is>
          <t>dai 2 anni</t>
        </is>
      </c>
      <c r="F2" s="14" t="inlineStr">
        <is>
          <t>0-3 anni</t>
        </is>
      </c>
      <c r="G2" s="14" t="inlineStr">
        <is>
          <t>Albo illustrato</t>
        </is>
      </c>
      <c r="H2" s="14" t="inlineStr"/>
      <c r="I2" s="14" t="inlineStr">
        <is>
          <t>No</t>
        </is>
      </c>
      <c r="J2" s="14" t="inlineStr">
        <is>
          <t>Catalogo</t>
        </is>
      </c>
      <c r="K2" s="14" t="inlineStr">
        <is>
          <t>0-3 anni</t>
        </is>
      </c>
      <c r="L2" s="14" t="inlineStr">
        <is>
          <t>Catalogo Minibombo 2026 (ISBN 9788898177707)</t>
        </is>
      </c>
      <c r="M2" s="16" t="n">
        <v>13.9</v>
      </c>
      <c r="N2" s="14" t="inlineStr">
        <is>
          <t>Catalogo Minibombo 2026</t>
        </is>
      </c>
      <c r="O2" s="16">
        <f>IF(ISNUMBER(M2),ROUND(M2*(1-Condizioni!$B$2),2),"")</f>
        <v/>
      </c>
      <c r="P2" s="17" t="inlineStr">
        <is>
          <t>No</t>
        </is>
      </c>
    </row>
    <row r="3">
      <c r="A3" s="14" t="inlineStr">
        <is>
          <t>Minibombo</t>
        </is>
      </c>
      <c r="B3" s="14" t="inlineStr">
        <is>
          <t>Apri la gabbia!</t>
        </is>
      </c>
      <c r="C3" s="14" t="inlineStr">
        <is>
          <t>Silvia Borando e Lorenzo Clerici</t>
        </is>
      </c>
      <c r="D3" s="14" t="inlineStr">
        <is>
          <t>Catalogo Minibombo 2026</t>
        </is>
      </c>
      <c r="E3" s="14" t="inlineStr">
        <is>
          <t>da 1 anno</t>
        </is>
      </c>
      <c r="F3" s="14" t="inlineStr">
        <is>
          <t>0-3 anni</t>
        </is>
      </c>
      <c r="G3" s="14" t="inlineStr">
        <is>
          <t>Libro cartonato</t>
        </is>
      </c>
      <c r="H3" s="14" t="inlineStr"/>
      <c r="I3" s="14" t="inlineStr">
        <is>
          <t>No</t>
        </is>
      </c>
      <c r="J3" s="14" t="inlineStr">
        <is>
          <t>Catalogo</t>
        </is>
      </c>
      <c r="K3" s="14" t="inlineStr">
        <is>
          <t>0-3 anni</t>
        </is>
      </c>
      <c r="L3" s="14" t="inlineStr">
        <is>
          <t>Catalogo Minibombo 2026 (ISBN 9788898177912)</t>
        </is>
      </c>
      <c r="M3" s="16" t="n">
        <v>10.9</v>
      </c>
      <c r="N3" s="14" t="inlineStr">
        <is>
          <t>Catalogo Minibombo 2026</t>
        </is>
      </c>
      <c r="O3" s="16">
        <f>IF(ISNUMBER(M3),ROUND(M3*(1-Condizioni!$B$2),2),"")</f>
        <v/>
      </c>
      <c r="P3" s="17" t="inlineStr">
        <is>
          <t>No</t>
        </is>
      </c>
    </row>
    <row r="4">
      <c r="A4" s="14" t="inlineStr">
        <is>
          <t>Minibombo</t>
        </is>
      </c>
      <c r="B4" s="14" t="inlineStr">
        <is>
          <t>Arriva l’onda e...</t>
        </is>
      </c>
      <c r="C4" s="14" t="inlineStr">
        <is>
          <t>Lorenzo Clerici</t>
        </is>
      </c>
      <c r="D4" s="14" t="inlineStr">
        <is>
          <t>Catalogo Minibombo 2026</t>
        </is>
      </c>
      <c r="E4" s="14" t="inlineStr">
        <is>
          <t>dai 2 anni</t>
        </is>
      </c>
      <c r="F4" s="14" t="inlineStr">
        <is>
          <t>0-3 anni</t>
        </is>
      </c>
      <c r="G4" s="14" t="inlineStr">
        <is>
          <t>Albo illustrato</t>
        </is>
      </c>
      <c r="H4" s="14" t="inlineStr"/>
      <c r="I4" s="14" t="inlineStr">
        <is>
          <t>No</t>
        </is>
      </c>
      <c r="J4" s="14" t="inlineStr">
        <is>
          <t>Catalogo</t>
        </is>
      </c>
      <c r="K4" s="14" t="inlineStr">
        <is>
          <t>0-3 anni</t>
        </is>
      </c>
      <c r="L4" s="14" t="inlineStr">
        <is>
          <t>Catalogo Minibombo 2026 (ISBN 9788898177479)</t>
        </is>
      </c>
      <c r="M4" s="16" t="n">
        <v>11.9</v>
      </c>
      <c r="N4" s="14" t="inlineStr">
        <is>
          <t>Catalogo Minibombo 2026</t>
        </is>
      </c>
      <c r="O4" s="16">
        <f>IF(ISNUMBER(M4),ROUND(M4*(1-Condizioni!$B$2),2),"")</f>
        <v/>
      </c>
      <c r="P4" s="17" t="inlineStr">
        <is>
          <t>No</t>
        </is>
      </c>
    </row>
    <row r="5">
      <c r="A5" s="14" t="inlineStr">
        <is>
          <t>Minibombo</t>
        </is>
      </c>
      <c r="B5" s="14" t="inlineStr">
        <is>
          <t>Cerchio al parco</t>
        </is>
      </c>
      <c r="C5" s="14" t="inlineStr">
        <is>
          <t>Silvia Borando</t>
        </is>
      </c>
      <c r="D5" s="14" t="inlineStr">
        <is>
          <t>Catalogo Minibombo 2026</t>
        </is>
      </c>
      <c r="E5" s="14" t="inlineStr">
        <is>
          <t>da 1 anno</t>
        </is>
      </c>
      <c r="F5" s="14" t="inlineStr">
        <is>
          <t>0-3 anni</t>
        </is>
      </c>
      <c r="G5" s="14" t="inlineStr">
        <is>
          <t>Libro cartonato</t>
        </is>
      </c>
      <c r="H5" s="14" t="inlineStr"/>
      <c r="I5" s="14" t="inlineStr">
        <is>
          <t>No</t>
        </is>
      </c>
      <c r="J5" s="14" t="inlineStr">
        <is>
          <t>Catalogo</t>
        </is>
      </c>
      <c r="K5" s="14" t="inlineStr">
        <is>
          <t>0-3 anni</t>
        </is>
      </c>
      <c r="L5" s="14" t="inlineStr">
        <is>
          <t>Catalogo Minibombo 2026 (ISBN 9791281054103)</t>
        </is>
      </c>
      <c r="M5" s="16" t="n">
        <v>9.9</v>
      </c>
      <c r="N5" s="14" t="inlineStr">
        <is>
          <t>Catalogo Minibombo 2026</t>
        </is>
      </c>
      <c r="O5" s="16">
        <f>IF(ISNUMBER(M5),ROUND(M5*(1-Condizioni!$B$2),2),"")</f>
        <v/>
      </c>
      <c r="P5" s="17" t="inlineStr">
        <is>
          <t>Sì</t>
        </is>
      </c>
    </row>
    <row r="6">
      <c r="A6" s="14" t="inlineStr">
        <is>
          <t>Minibombo</t>
        </is>
      </c>
      <c r="B6" s="14" t="inlineStr">
        <is>
          <t>Chi c’è sotto il cappello?</t>
        </is>
      </c>
      <c r="C6" s="14" t="inlineStr">
        <is>
          <t>Elena Galloni</t>
        </is>
      </c>
      <c r="D6" s="14" t="inlineStr">
        <is>
          <t>Catalogo Minibombo 2026</t>
        </is>
      </c>
      <c r="E6" s="14" t="inlineStr">
        <is>
          <t>da 1 anno</t>
        </is>
      </c>
      <c r="F6" s="14" t="inlineStr">
        <is>
          <t>0-3 anni</t>
        </is>
      </c>
      <c r="G6" s="14" t="inlineStr">
        <is>
          <t>Libro cartonato</t>
        </is>
      </c>
      <c r="H6" s="14" t="inlineStr"/>
      <c r="I6" s="14" t="inlineStr">
        <is>
          <t>No</t>
        </is>
      </c>
      <c r="J6" s="14" t="inlineStr">
        <is>
          <t>Catalogo</t>
        </is>
      </c>
      <c r="K6" s="14" t="inlineStr">
        <is>
          <t>0-3 anni</t>
        </is>
      </c>
      <c r="L6" s="14" t="inlineStr">
        <is>
          <t>Catalogo Minibombo 2026 (ISBN 9788898177929)</t>
        </is>
      </c>
      <c r="M6" s="16" t="n">
        <v>10.9</v>
      </c>
      <c r="N6" s="14" t="inlineStr">
        <is>
          <t>Catalogo Minibombo 2026</t>
        </is>
      </c>
      <c r="O6" s="16">
        <f>IF(ISNUMBER(M6),ROUND(M6*(1-Condizioni!$B$2),2),"")</f>
        <v/>
      </c>
      <c r="P6" s="17" t="inlineStr">
        <is>
          <t>No</t>
        </is>
      </c>
    </row>
    <row r="7">
      <c r="A7" s="14" t="inlineStr">
        <is>
          <t>Minibombo</t>
        </is>
      </c>
      <c r="B7" s="14" t="inlineStr">
        <is>
          <t>Ciao, tartaruga!</t>
        </is>
      </c>
      <c r="C7" s="14" t="inlineStr">
        <is>
          <t>Kim Crumrine</t>
        </is>
      </c>
      <c r="D7" s="14" t="inlineStr">
        <is>
          <t>Catalogo Minibombo 2026</t>
        </is>
      </c>
      <c r="E7" s="14" t="inlineStr">
        <is>
          <t>dai 2 anni</t>
        </is>
      </c>
      <c r="F7" s="14" t="inlineStr">
        <is>
          <t>0-3 anni</t>
        </is>
      </c>
      <c r="G7" s="14" t="inlineStr">
        <is>
          <t>Libro cartonato</t>
        </is>
      </c>
      <c r="H7" s="14" t="inlineStr"/>
      <c r="I7" s="14" t="inlineStr">
        <is>
          <t>No</t>
        </is>
      </c>
      <c r="J7" s="14" t="inlineStr">
        <is>
          <t>Catalogo</t>
        </is>
      </c>
      <c r="K7" s="14" t="inlineStr">
        <is>
          <t>0-3 anni</t>
        </is>
      </c>
      <c r="L7" s="14" t="inlineStr">
        <is>
          <t>Catalogo Minibombo 2026 (ISBN 9791281054172)</t>
        </is>
      </c>
      <c r="M7" s="16" t="n">
        <v>11.9</v>
      </c>
      <c r="N7" s="14" t="inlineStr">
        <is>
          <t>Catalogo Minibombo 2026</t>
        </is>
      </c>
      <c r="O7" s="16">
        <f>IF(ISNUMBER(M7),ROUND(M7*(1-Condizioni!$B$2),2),"")</f>
        <v/>
      </c>
      <c r="P7" s="17" t="inlineStr">
        <is>
          <t>No</t>
        </is>
      </c>
    </row>
    <row r="8">
      <c r="A8" s="14" t="inlineStr">
        <is>
          <t>Minibombo</t>
        </is>
      </c>
      <c r="B8" s="14" t="inlineStr">
        <is>
          <t>Festa di primavera</t>
        </is>
      </c>
      <c r="C8" s="14" t="inlineStr">
        <is>
          <t>Silvia Borando</t>
        </is>
      </c>
      <c r="D8" s="14" t="inlineStr">
        <is>
          <t>Catalogo Minibombo 2026</t>
        </is>
      </c>
      <c r="E8" s="14" t="inlineStr">
        <is>
          <t>dai 2 anni</t>
        </is>
      </c>
      <c r="F8" s="14" t="inlineStr">
        <is>
          <t>0-3 anni</t>
        </is>
      </c>
      <c r="G8" s="14" t="inlineStr">
        <is>
          <t>Albo illustrato</t>
        </is>
      </c>
      <c r="H8" s="14" t="inlineStr"/>
      <c r="I8" s="14" t="inlineStr">
        <is>
          <t>No</t>
        </is>
      </c>
      <c r="J8" s="14" t="inlineStr">
        <is>
          <t>Catalogo</t>
        </is>
      </c>
      <c r="K8" s="14" t="inlineStr">
        <is>
          <t>0-3 anni</t>
        </is>
      </c>
      <c r="L8" s="14" t="inlineStr">
        <is>
          <t>Catalogo Minibombo 2026 (ISBN 9788898177646)</t>
        </is>
      </c>
      <c r="M8" s="16" t="n">
        <v>13.9</v>
      </c>
      <c r="N8" s="14" t="inlineStr">
        <is>
          <t>Catalogo Minibombo 2026</t>
        </is>
      </c>
      <c r="O8" s="16">
        <f>IF(ISNUMBER(M8),ROUND(M8*(1-Condizioni!$B$2),2),"")</f>
        <v/>
      </c>
      <c r="P8" s="17" t="inlineStr">
        <is>
          <t>No</t>
        </is>
      </c>
    </row>
    <row r="9">
      <c r="A9" s="14" t="inlineStr">
        <is>
          <t>Minibombo</t>
        </is>
      </c>
      <c r="B9" s="14" t="inlineStr">
        <is>
          <t>Grande Gatto Piccolo Gatto</t>
        </is>
      </c>
      <c r="C9" s="14" t="inlineStr">
        <is>
          <t>Silvia Borando</t>
        </is>
      </c>
      <c r="D9" s="14" t="inlineStr">
        <is>
          <t>Catalogo Minibombo 2026</t>
        </is>
      </c>
      <c r="E9" s="14" t="inlineStr">
        <is>
          <t>dai 2 anni</t>
        </is>
      </c>
      <c r="F9" s="14" t="inlineStr">
        <is>
          <t>0-3 anni</t>
        </is>
      </c>
      <c r="G9" s="14" t="inlineStr">
        <is>
          <t>Albo illustrato</t>
        </is>
      </c>
      <c r="H9" s="14" t="inlineStr"/>
      <c r="I9" s="14" t="inlineStr">
        <is>
          <t>No</t>
        </is>
      </c>
      <c r="J9" s="14" t="inlineStr">
        <is>
          <t>Catalogo</t>
        </is>
      </c>
      <c r="K9" s="14" t="inlineStr">
        <is>
          <t>0-3 anni</t>
        </is>
      </c>
      <c r="L9" s="14" t="inlineStr">
        <is>
          <t>Catalogo Minibombo 2026 (ISBN 9788898177301)</t>
        </is>
      </c>
      <c r="M9" s="16" t="n">
        <v>13.9</v>
      </c>
      <c r="N9" s="14" t="inlineStr">
        <is>
          <t>Catalogo Minibombo 2026</t>
        </is>
      </c>
      <c r="O9" s="16">
        <f>IF(ISNUMBER(M9),ROUND(M9*(1-Condizioni!$B$2),2),"")</f>
        <v/>
      </c>
      <c r="P9" s="17" t="inlineStr">
        <is>
          <t>Sì</t>
        </is>
      </c>
    </row>
    <row r="10">
      <c r="A10" s="14" t="inlineStr">
        <is>
          <t>Minibombo</t>
        </is>
      </c>
      <c r="B10" s="14" t="inlineStr">
        <is>
          <t>Hai preso tutto?</t>
        </is>
      </c>
      <c r="C10" s="14" t="inlineStr">
        <is>
          <t>Chiara Vignocchi e Silvia Borando</t>
        </is>
      </c>
      <c r="D10" s="14" t="inlineStr">
        <is>
          <t>Catalogo Minibombo 2026</t>
        </is>
      </c>
      <c r="E10" s="14" t="inlineStr">
        <is>
          <t>dai 2 anni</t>
        </is>
      </c>
      <c r="F10" s="14" t="inlineStr">
        <is>
          <t>0-3 anni</t>
        </is>
      </c>
      <c r="G10" s="14" t="inlineStr">
        <is>
          <t>Albo illustrato</t>
        </is>
      </c>
      <c r="H10" s="14" t="inlineStr"/>
      <c r="I10" s="14" t="inlineStr">
        <is>
          <t>No</t>
        </is>
      </c>
      <c r="J10" s="14" t="inlineStr">
        <is>
          <t>Catalogo</t>
        </is>
      </c>
      <c r="K10" s="14" t="inlineStr">
        <is>
          <t>0-3 anni</t>
        </is>
      </c>
      <c r="L10" s="14" t="inlineStr">
        <is>
          <t>Catalogo Minibombo 2026 (ISBN 9788898177653)</t>
        </is>
      </c>
      <c r="M10" s="16" t="n">
        <v>11.9</v>
      </c>
      <c r="N10" s="14" t="inlineStr">
        <is>
          <t>Catalogo Minibombo 2026</t>
        </is>
      </c>
      <c r="O10" s="16">
        <f>IF(ISNUMBER(M10),ROUND(M10*(1-Condizioni!$B$2),2),"")</f>
        <v/>
      </c>
      <c r="P10" s="17" t="inlineStr">
        <is>
          <t>No</t>
        </is>
      </c>
    </row>
    <row r="11">
      <c r="A11" s="14" t="inlineStr">
        <is>
          <t>Minibombo</t>
        </is>
      </c>
      <c r="B11" s="14" t="inlineStr">
        <is>
          <t>Ho un buco nel calzino</t>
        </is>
      </c>
      <c r="C11" s="14" t="inlineStr">
        <is>
          <t>Silvia Borando</t>
        </is>
      </c>
      <c r="D11" s="14" t="inlineStr">
        <is>
          <t>Catalogo Minibombo 2026</t>
        </is>
      </c>
      <c r="E11" s="14" t="inlineStr">
        <is>
          <t>da 1 anno</t>
        </is>
      </c>
      <c r="F11" s="14" t="inlineStr">
        <is>
          <t>0-3 anni</t>
        </is>
      </c>
      <c r="G11" s="14" t="inlineStr">
        <is>
          <t>Libro cartonato</t>
        </is>
      </c>
      <c r="H11" s="14" t="inlineStr"/>
      <c r="I11" s="14" t="inlineStr">
        <is>
          <t>No</t>
        </is>
      </c>
      <c r="J11" s="14" t="inlineStr">
        <is>
          <t>Catalogo</t>
        </is>
      </c>
      <c r="K11" s="14" t="inlineStr">
        <is>
          <t>0-3 anni</t>
        </is>
      </c>
      <c r="L11" s="14" t="inlineStr">
        <is>
          <t>Catalogo Minibombo 2026 (ISBN 9788898177820)</t>
        </is>
      </c>
      <c r="M11" s="16" t="n">
        <v>9.9</v>
      </c>
      <c r="N11" s="14" t="inlineStr">
        <is>
          <t>Catalogo Minibombo 2026</t>
        </is>
      </c>
      <c r="O11" s="16">
        <f>IF(ISNUMBER(M11),ROUND(M11*(1-Condizioni!$B$2),2),"")</f>
        <v/>
      </c>
      <c r="P11" s="17" t="inlineStr">
        <is>
          <t>No</t>
        </is>
      </c>
    </row>
    <row r="12">
      <c r="A12" s="14" t="inlineStr">
        <is>
          <t>Minibombo</t>
        </is>
      </c>
      <c r="B12" s="14" t="inlineStr">
        <is>
          <t>Ho un sasso nella scarpa</t>
        </is>
      </c>
      <c r="C12" s="14" t="inlineStr">
        <is>
          <t>Silvia Borando</t>
        </is>
      </c>
      <c r="D12" s="14" t="inlineStr">
        <is>
          <t>Catalogo Minibombo 2026</t>
        </is>
      </c>
      <c r="E12" s="14" t="inlineStr">
        <is>
          <t>da 1 anno</t>
        </is>
      </c>
      <c r="F12" s="14" t="inlineStr">
        <is>
          <t>0-3 anni</t>
        </is>
      </c>
      <c r="G12" s="14" t="inlineStr">
        <is>
          <t>Libro cartonato</t>
        </is>
      </c>
      <c r="H12" s="14" t="inlineStr"/>
      <c r="I12" s="14" t="inlineStr">
        <is>
          <t>No</t>
        </is>
      </c>
      <c r="J12" s="14" t="inlineStr">
        <is>
          <t>Catalogo</t>
        </is>
      </c>
      <c r="K12" s="14" t="inlineStr">
        <is>
          <t>0-3 anni</t>
        </is>
      </c>
      <c r="L12" s="14" t="inlineStr">
        <is>
          <t>Catalogo Minibombo 2026 (ISBN 9788898177837)</t>
        </is>
      </c>
      <c r="M12" s="16" t="n">
        <v>9.9</v>
      </c>
      <c r="N12" s="14" t="inlineStr">
        <is>
          <t>Catalogo Minibombo 2026</t>
        </is>
      </c>
      <c r="O12" s="16">
        <f>IF(ISNUMBER(M12),ROUND(M12*(1-Condizioni!$B$2),2),"")</f>
        <v/>
      </c>
      <c r="P12" s="17" t="inlineStr">
        <is>
          <t>No</t>
        </is>
      </c>
    </row>
    <row r="13">
      <c r="A13" s="14" t="inlineStr">
        <is>
          <t>Minibombo</t>
        </is>
      </c>
      <c r="B13" s="14" t="inlineStr">
        <is>
          <t>Il libro bianco - Ed. speciale</t>
        </is>
      </c>
      <c r="C13" s="14" t="inlineStr">
        <is>
          <t>Silvia Borando, Elisabetta Pica e Lorenzo Clerici</t>
        </is>
      </c>
      <c r="D13" s="14" t="inlineStr">
        <is>
          <t>Catalogo Minibombo 2026</t>
        </is>
      </c>
      <c r="E13" s="14" t="inlineStr">
        <is>
          <t>dai 2 anni</t>
        </is>
      </c>
      <c r="F13" s="14" t="inlineStr">
        <is>
          <t>0-3 anni</t>
        </is>
      </c>
      <c r="G13" s="14" t="inlineStr">
        <is>
          <t>Albo illustrato</t>
        </is>
      </c>
      <c r="H13" s="14" t="inlineStr"/>
      <c r="I13" s="14" t="inlineStr">
        <is>
          <t>No</t>
        </is>
      </c>
      <c r="J13" s="14" t="inlineStr">
        <is>
          <t>Catalogo</t>
        </is>
      </c>
      <c r="K13" s="14" t="inlineStr">
        <is>
          <t>0-3 anni</t>
        </is>
      </c>
      <c r="L13" s="14" t="inlineStr">
        <is>
          <t>Catalogo Minibombo 2026 (ISBN 9788898177899)</t>
        </is>
      </c>
      <c r="M13" s="16" t="n">
        <v>13.9</v>
      </c>
      <c r="N13" s="14" t="inlineStr">
        <is>
          <t>Catalogo Minibombo 2026</t>
        </is>
      </c>
      <c r="O13" s="16">
        <f>IF(ISNUMBER(M13),ROUND(M13*(1-Condizioni!$B$2),2),"")</f>
        <v/>
      </c>
      <c r="P13" s="17" t="inlineStr">
        <is>
          <t>Sì</t>
        </is>
      </c>
    </row>
    <row r="14">
      <c r="A14" s="14" t="inlineStr">
        <is>
          <t>Minibombo</t>
        </is>
      </c>
      <c r="B14" s="14" t="inlineStr">
        <is>
          <t>Il libro cane</t>
        </is>
      </c>
      <c r="C14" s="14" t="inlineStr">
        <is>
          <t>Lorenzo Clerici</t>
        </is>
      </c>
      <c r="D14" s="14" t="inlineStr">
        <is>
          <t>Catalogo Minibombo 2026</t>
        </is>
      </c>
      <c r="E14" s="14" t="inlineStr">
        <is>
          <t>dai 2 anni</t>
        </is>
      </c>
      <c r="F14" s="14" t="inlineStr">
        <is>
          <t>0-3 anni</t>
        </is>
      </c>
      <c r="G14" s="14" t="inlineStr">
        <is>
          <t>Albo illustrato</t>
        </is>
      </c>
      <c r="H14" s="14" t="inlineStr"/>
      <c r="I14" s="14" t="inlineStr">
        <is>
          <t>No</t>
        </is>
      </c>
      <c r="J14" s="14" t="inlineStr">
        <is>
          <t>Catalogo</t>
        </is>
      </c>
      <c r="K14" s="14" t="inlineStr">
        <is>
          <t>0-3 anni</t>
        </is>
      </c>
      <c r="L14" s="14" t="inlineStr">
        <is>
          <t>Catalogo Minibombo 2026 (ISBN 9788898177028)</t>
        </is>
      </c>
      <c r="M14" s="16" t="n">
        <v>9.9</v>
      </c>
      <c r="N14" s="14" t="inlineStr">
        <is>
          <t>Catalogo Minibombo 2026</t>
        </is>
      </c>
      <c r="O14" s="16">
        <f>IF(ISNUMBER(M14),ROUND(M14*(1-Condizioni!$B$2),2),"")</f>
        <v/>
      </c>
      <c r="P14" s="17" t="inlineStr">
        <is>
          <t>No</t>
        </is>
      </c>
    </row>
    <row r="15">
      <c r="A15" s="14" t="inlineStr">
        <is>
          <t>Minibombo</t>
        </is>
      </c>
      <c r="B15" s="14" t="inlineStr">
        <is>
          <t>Il libro criceto</t>
        </is>
      </c>
      <c r="C15" s="14" t="inlineStr">
        <is>
          <t>Silvia Borando</t>
        </is>
      </c>
      <c r="D15" s="14" t="inlineStr">
        <is>
          <t>Catalogo Minibombo 2026</t>
        </is>
      </c>
      <c r="E15" s="14" t="inlineStr">
        <is>
          <t>dai 2 anni</t>
        </is>
      </c>
      <c r="F15" s="14" t="inlineStr">
        <is>
          <t>0-3 anni</t>
        </is>
      </c>
      <c r="G15" s="14" t="inlineStr">
        <is>
          <t>Albo illustrato</t>
        </is>
      </c>
      <c r="H15" s="14" t="inlineStr"/>
      <c r="I15" s="14" t="inlineStr">
        <is>
          <t>No</t>
        </is>
      </c>
      <c r="J15" s="14" t="inlineStr">
        <is>
          <t>Catalogo</t>
        </is>
      </c>
      <c r="K15" s="14" t="inlineStr">
        <is>
          <t>0-3 anni</t>
        </is>
      </c>
      <c r="L15" s="14" t="inlineStr">
        <is>
          <t>Catalogo Minibombo 2026 (ISBN 9788898177103)</t>
        </is>
      </c>
      <c r="M15" s="16" t="n">
        <v>9.9</v>
      </c>
      <c r="N15" s="14" t="inlineStr">
        <is>
          <t>Catalogo Minibombo 2026</t>
        </is>
      </c>
      <c r="O15" s="16">
        <f>IF(ISNUMBER(M15),ROUND(M15*(1-Condizioni!$B$2),2),"")</f>
        <v/>
      </c>
      <c r="P15" s="17" t="inlineStr">
        <is>
          <t>No</t>
        </is>
      </c>
    </row>
    <row r="16">
      <c r="A16" s="14" t="inlineStr">
        <is>
          <t>Minibombo</t>
        </is>
      </c>
      <c r="B16" s="14" t="inlineStr">
        <is>
          <t>Il libro gatto</t>
        </is>
      </c>
      <c r="C16" s="14" t="inlineStr">
        <is>
          <t>Silvia Borando</t>
        </is>
      </c>
      <c r="D16" s="14" t="inlineStr">
        <is>
          <t>Catalogo Minibombo 2026</t>
        </is>
      </c>
      <c r="E16" s="14" t="inlineStr">
        <is>
          <t>dai 2 anni</t>
        </is>
      </c>
      <c r="F16" s="14" t="inlineStr">
        <is>
          <t>0-3 anni</t>
        </is>
      </c>
      <c r="G16" s="14" t="inlineStr">
        <is>
          <t>Albo illustrato</t>
        </is>
      </c>
      <c r="H16" s="14" t="inlineStr"/>
      <c r="I16" s="14" t="inlineStr">
        <is>
          <t>No</t>
        </is>
      </c>
      <c r="J16" s="14" t="inlineStr">
        <is>
          <t>Catalogo</t>
        </is>
      </c>
      <c r="K16" s="14" t="inlineStr">
        <is>
          <t>0-3 anni</t>
        </is>
      </c>
      <c r="L16" s="14" t="inlineStr">
        <is>
          <t>Catalogo Minibombo 2026 (ISBN 9788898177035)</t>
        </is>
      </c>
      <c r="M16" s="16" t="n">
        <v>9.9</v>
      </c>
      <c r="N16" s="14" t="inlineStr">
        <is>
          <t>Catalogo Minibombo 2026</t>
        </is>
      </c>
      <c r="O16" s="16">
        <f>IF(ISNUMBER(M16),ROUND(M16*(1-Condizioni!$B$2),2),"")</f>
        <v/>
      </c>
      <c r="P16" s="17" t="inlineStr">
        <is>
          <t>No</t>
        </is>
      </c>
    </row>
    <row r="17">
      <c r="A17" s="14" t="inlineStr">
        <is>
          <t>Minibombo</t>
        </is>
      </c>
      <c r="B17" s="14" t="inlineStr">
        <is>
          <t>Il piccolo fienile rosso</t>
        </is>
      </c>
      <c r="C17" s="14" t="inlineStr">
        <is>
          <t>Kim Crumrine</t>
        </is>
      </c>
      <c r="D17" s="14" t="inlineStr">
        <is>
          <t>Catalogo Minibombo 2026</t>
        </is>
      </c>
      <c r="E17" s="14" t="inlineStr">
        <is>
          <t>da 1 anno</t>
        </is>
      </c>
      <c r="F17" s="14" t="inlineStr">
        <is>
          <t>0-3 anni</t>
        </is>
      </c>
      <c r="G17" s="14" t="inlineStr">
        <is>
          <t>Libro cartonato</t>
        </is>
      </c>
      <c r="H17" s="14" t="inlineStr"/>
      <c r="I17" s="14" t="inlineStr">
        <is>
          <t>No</t>
        </is>
      </c>
      <c r="J17" s="14" t="inlineStr">
        <is>
          <t>Catalogo</t>
        </is>
      </c>
      <c r="K17" s="14" t="inlineStr">
        <is>
          <t>0-3 anni</t>
        </is>
      </c>
      <c r="L17" s="14" t="inlineStr">
        <is>
          <t>Catalogo Minibombo 2026 (ISBN 9791281054035)</t>
        </is>
      </c>
      <c r="M17" s="16" t="n">
        <v>11.9</v>
      </c>
      <c r="N17" s="14" t="inlineStr">
        <is>
          <t>Catalogo Minibombo 2026</t>
        </is>
      </c>
      <c r="O17" s="16">
        <f>IF(ISNUMBER(M17),ROUND(M17*(1-Condizioni!$B$2),2),"")</f>
        <v/>
      </c>
      <c r="P17" s="17" t="inlineStr">
        <is>
          <t>Sì</t>
        </is>
      </c>
    </row>
    <row r="18">
      <c r="A18" s="14" t="inlineStr">
        <is>
          <t>Minibombo</t>
        </is>
      </c>
      <c r="B18" s="14" t="inlineStr">
        <is>
          <t>La gara di canto</t>
        </is>
      </c>
      <c r="C18" s="14" t="inlineStr">
        <is>
          <t>Oliver Weiss</t>
        </is>
      </c>
      <c r="D18" s="14" t="inlineStr">
        <is>
          <t>Catalogo Minibombo 2026</t>
        </is>
      </c>
      <c r="E18" s="14" t="inlineStr">
        <is>
          <t>dai 2 anni</t>
        </is>
      </c>
      <c r="F18" s="14" t="inlineStr">
        <is>
          <t>0-3 anni</t>
        </is>
      </c>
      <c r="G18" s="14" t="inlineStr">
        <is>
          <t>Libro cartonato</t>
        </is>
      </c>
      <c r="H18" s="14" t="inlineStr"/>
      <c r="I18" s="14" t="inlineStr">
        <is>
          <t>No</t>
        </is>
      </c>
      <c r="J18" s="14" t="inlineStr">
        <is>
          <t>Catalogo</t>
        </is>
      </c>
      <c r="K18" s="14" t="inlineStr">
        <is>
          <t>0-3 anni</t>
        </is>
      </c>
      <c r="L18" s="14" t="inlineStr">
        <is>
          <t>Catalogo Minibombo 2026 (ISBN 9791281054202)</t>
        </is>
      </c>
      <c r="M18" s="16" t="n">
        <v>13.9</v>
      </c>
      <c r="N18" s="14" t="inlineStr">
        <is>
          <t>Catalogo Minibombo 2026</t>
        </is>
      </c>
      <c r="O18" s="16">
        <f>IF(ISNUMBER(M18),ROUND(M18*(1-Condizioni!$B$2),2),"")</f>
        <v/>
      </c>
      <c r="P18" s="17" t="inlineStr">
        <is>
          <t>No</t>
        </is>
      </c>
    </row>
    <row r="19">
      <c r="A19" s="14" t="inlineStr">
        <is>
          <t>Minibombo</t>
        </is>
      </c>
      <c r="B19" s="14" t="inlineStr">
        <is>
          <t>La mia famiglia mi somiglia</t>
        </is>
      </c>
      <c r="C19" s="14" t="inlineStr">
        <is>
          <t>Teresa Sdralevich</t>
        </is>
      </c>
      <c r="D19" s="14" t="inlineStr">
        <is>
          <t>Catalogo Minibombo 2026</t>
        </is>
      </c>
      <c r="E19" s="14" t="inlineStr">
        <is>
          <t>da 1 anno</t>
        </is>
      </c>
      <c r="F19" s="14" t="inlineStr">
        <is>
          <t>0-3 anni</t>
        </is>
      </c>
      <c r="G19" s="14" t="inlineStr">
        <is>
          <t>Libro cartonato</t>
        </is>
      </c>
      <c r="H19" s="14" t="inlineStr"/>
      <c r="I19" s="14" t="inlineStr">
        <is>
          <t>No</t>
        </is>
      </c>
      <c r="J19" s="14" t="inlineStr">
        <is>
          <t>Catalogo</t>
        </is>
      </c>
      <c r="K19" s="14" t="inlineStr">
        <is>
          <t>0-3 anni</t>
        </is>
      </c>
      <c r="L19" s="14" t="inlineStr">
        <is>
          <t>Catalogo Minibombo 2026 (ISBN 9788898177783)</t>
        </is>
      </c>
      <c r="M19" s="16" t="n">
        <v>9.9</v>
      </c>
      <c r="N19" s="14" t="inlineStr">
        <is>
          <t>Catalogo Minibombo 2026</t>
        </is>
      </c>
      <c r="O19" s="16">
        <f>IF(ISNUMBER(M19),ROUND(M19*(1-Condizioni!$B$2),2),"")</f>
        <v/>
      </c>
      <c r="P19" s="17" t="inlineStr">
        <is>
          <t>No</t>
        </is>
      </c>
    </row>
    <row r="20">
      <c r="A20" s="14" t="inlineStr">
        <is>
          <t>Minibombo</t>
        </is>
      </c>
      <c r="B20" s="14" t="inlineStr">
        <is>
          <t>La mia famiglia è uno zoo</t>
        </is>
      </c>
      <c r="C20" s="14" t="inlineStr">
        <is>
          <t>Teresa Sdralevich</t>
        </is>
      </c>
      <c r="D20" s="14" t="inlineStr">
        <is>
          <t>Catalogo Minibombo 2026</t>
        </is>
      </c>
      <c r="E20" s="14" t="inlineStr">
        <is>
          <t>da 1 anno</t>
        </is>
      </c>
      <c r="F20" s="14" t="inlineStr">
        <is>
          <t>0-3 anni</t>
        </is>
      </c>
      <c r="G20" s="14" t="inlineStr">
        <is>
          <t>Libro cartonato</t>
        </is>
      </c>
      <c r="H20" s="14" t="inlineStr"/>
      <c r="I20" s="14" t="inlineStr">
        <is>
          <t>No</t>
        </is>
      </c>
      <c r="J20" s="14" t="inlineStr">
        <is>
          <t>Catalogo</t>
        </is>
      </c>
      <c r="K20" s="14" t="inlineStr">
        <is>
          <t>0-3 anni</t>
        </is>
      </c>
      <c r="L20" s="14" t="inlineStr">
        <is>
          <t>Catalogo Minibombo 2026 (ISBN 9788898177790)</t>
        </is>
      </c>
      <c r="M20" s="16" t="n">
        <v>9.9</v>
      </c>
      <c r="N20" s="14" t="inlineStr">
        <is>
          <t>Catalogo Minibombo 2026</t>
        </is>
      </c>
      <c r="O20" s="16">
        <f>IF(ISNUMBER(M20),ROUND(M20*(1-Condizioni!$B$2),2),"")</f>
        <v/>
      </c>
      <c r="P20" s="17" t="inlineStr">
        <is>
          <t>Sì</t>
        </is>
      </c>
    </row>
    <row r="21">
      <c r="A21" s="14" t="inlineStr">
        <is>
          <t>Minibombo</t>
        </is>
      </c>
      <c r="B21" s="14" t="inlineStr">
        <is>
          <t>L’aeroplano blu</t>
        </is>
      </c>
      <c r="C21" s="14" t="inlineStr">
        <is>
          <t>Silvia Borando</t>
        </is>
      </c>
      <c r="D21" s="14" t="inlineStr">
        <is>
          <t>Catalogo Minibombo 2026</t>
        </is>
      </c>
      <c r="E21" s="14" t="inlineStr">
        <is>
          <t>dai 2 anni</t>
        </is>
      </c>
      <c r="F21" s="14" t="inlineStr">
        <is>
          <t>0-3 anni</t>
        </is>
      </c>
      <c r="G21" s="14" t="inlineStr">
        <is>
          <t>Albo illustrato</t>
        </is>
      </c>
      <c r="H21" s="14" t="inlineStr"/>
      <c r="I21" s="14" t="inlineStr">
        <is>
          <t>No</t>
        </is>
      </c>
      <c r="J21" s="14" t="inlineStr">
        <is>
          <t>Catalogo</t>
        </is>
      </c>
      <c r="K21" s="14" t="inlineStr">
        <is>
          <t>0-3 anni</t>
        </is>
      </c>
      <c r="L21" s="14" t="inlineStr">
        <is>
          <t>Catalogo Minibombo 2026 (ISBN 9791281054158)</t>
        </is>
      </c>
      <c r="M21" s="16" t="n">
        <v>13.9</v>
      </c>
      <c r="N21" s="14" t="inlineStr">
        <is>
          <t>Catalogo Minibombo 2026</t>
        </is>
      </c>
      <c r="O21" s="16">
        <f>IF(ISNUMBER(M21),ROUND(M21*(1-Condizioni!$B$2),2),"")</f>
        <v/>
      </c>
      <c r="P21" s="17" t="inlineStr">
        <is>
          <t>No</t>
        </is>
      </c>
    </row>
    <row r="22">
      <c r="A22" s="14" t="inlineStr">
        <is>
          <t>Minibombo</t>
        </is>
      </c>
      <c r="B22" s="14" t="inlineStr">
        <is>
          <t>Nascondino</t>
        </is>
      </c>
      <c r="C22" s="14" t="inlineStr">
        <is>
          <t>Silvia Borando</t>
        </is>
      </c>
      <c r="D22" s="14" t="inlineStr">
        <is>
          <t>Catalogo Minibombo 2026</t>
        </is>
      </c>
      <c r="E22" s="14" t="inlineStr">
        <is>
          <t>dai 2 anni</t>
        </is>
      </c>
      <c r="F22" s="14" t="inlineStr">
        <is>
          <t>0-3 anni</t>
        </is>
      </c>
      <c r="G22" s="14" t="inlineStr">
        <is>
          <t>Albo illustrato</t>
        </is>
      </c>
      <c r="H22" s="14" t="inlineStr"/>
      <c r="I22" s="14" t="inlineStr">
        <is>
          <t>No</t>
        </is>
      </c>
      <c r="J22" s="14" t="inlineStr">
        <is>
          <t>Catalogo</t>
        </is>
      </c>
      <c r="K22" s="14" t="inlineStr">
        <is>
          <t>0-3 anni</t>
        </is>
      </c>
      <c r="L22" s="14" t="inlineStr">
        <is>
          <t>Catalogo Minibombo 2026 (ISBN 9788898177325)</t>
        </is>
      </c>
      <c r="M22" s="16" t="n">
        <v>11.9</v>
      </c>
      <c r="N22" s="14" t="inlineStr">
        <is>
          <t>Catalogo Minibombo 2026</t>
        </is>
      </c>
      <c r="O22" s="16">
        <f>IF(ISNUMBER(M22),ROUND(M22*(1-Condizioni!$B$2),2),"")</f>
        <v/>
      </c>
      <c r="P22" s="17" t="inlineStr">
        <is>
          <t>No</t>
        </is>
      </c>
    </row>
    <row r="23">
      <c r="A23" s="14" t="inlineStr">
        <is>
          <t>Minibombo</t>
        </is>
      </c>
      <c r="B23" s="14" t="inlineStr">
        <is>
          <t>Niente da fare</t>
        </is>
      </c>
      <c r="C23" s="14" t="inlineStr">
        <is>
          <t>Silvia Borando</t>
        </is>
      </c>
      <c r="D23" s="14" t="inlineStr">
        <is>
          <t>Catalogo Minibombo 2026</t>
        </is>
      </c>
      <c r="E23" s="14" t="inlineStr">
        <is>
          <t>dai 2 anni</t>
        </is>
      </c>
      <c r="F23" s="14" t="inlineStr">
        <is>
          <t>0-3 anni</t>
        </is>
      </c>
      <c r="G23" s="14" t="inlineStr">
        <is>
          <t>Albo illustrato</t>
        </is>
      </c>
      <c r="H23" s="14" t="inlineStr"/>
      <c r="I23" s="14" t="inlineStr">
        <is>
          <t>No</t>
        </is>
      </c>
      <c r="J23" s="14" t="inlineStr">
        <is>
          <t>Catalogo</t>
        </is>
      </c>
      <c r="K23" s="14" t="inlineStr">
        <is>
          <t>0-3 anni</t>
        </is>
      </c>
      <c r="L23" s="14" t="inlineStr">
        <is>
          <t>Catalogo Minibombo 2026 (ISBN 9788898177530)</t>
        </is>
      </c>
      <c r="M23" s="16" t="n">
        <v>12.9</v>
      </c>
      <c r="N23" s="14" t="inlineStr">
        <is>
          <t>Catalogo Minibombo 2026</t>
        </is>
      </c>
      <c r="O23" s="16">
        <f>IF(ISNUMBER(M23),ROUND(M23*(1-Condizioni!$B$2),2),"")</f>
        <v/>
      </c>
      <c r="P23" s="17" t="inlineStr">
        <is>
          <t>No</t>
        </is>
      </c>
    </row>
    <row r="24">
      <c r="A24" s="14" t="inlineStr">
        <is>
          <t>Minibombo</t>
        </is>
      </c>
      <c r="B24" s="14" t="inlineStr">
        <is>
          <t>Orso, buco!</t>
        </is>
      </c>
      <c r="C24" s="14" t="inlineStr">
        <is>
          <t>Nicola Grossi</t>
        </is>
      </c>
      <c r="D24" s="14" t="inlineStr">
        <is>
          <t>Catalogo Minibombo 2026</t>
        </is>
      </c>
      <c r="E24" s="14" t="inlineStr">
        <is>
          <t>dai 2 anni</t>
        </is>
      </c>
      <c r="F24" s="14" t="inlineStr">
        <is>
          <t>0-3 anni</t>
        </is>
      </c>
      <c r="G24" s="14" t="inlineStr">
        <is>
          <t>Albo illustrato</t>
        </is>
      </c>
      <c r="H24" s="14" t="inlineStr"/>
      <c r="I24" s="14" t="inlineStr">
        <is>
          <t>No</t>
        </is>
      </c>
      <c r="J24" s="14" t="inlineStr">
        <is>
          <t>Catalogo</t>
        </is>
      </c>
      <c r="K24" s="14" t="inlineStr">
        <is>
          <t>0-3 anni</t>
        </is>
      </c>
      <c r="L24" s="14" t="inlineStr">
        <is>
          <t>Catalogo Minibombo 2026 (ISBN 9788898177066)</t>
        </is>
      </c>
      <c r="M24" s="16" t="n">
        <v>11.9</v>
      </c>
      <c r="N24" s="14" t="inlineStr">
        <is>
          <t>Catalogo Minibombo 2026</t>
        </is>
      </c>
      <c r="O24" s="16">
        <f>IF(ISNUMBER(M24),ROUND(M24*(1-Condizioni!$B$2),2),"")</f>
        <v/>
      </c>
      <c r="P24" s="17" t="inlineStr">
        <is>
          <t>Sì</t>
        </is>
      </c>
    </row>
    <row r="25">
      <c r="A25" s="14" t="inlineStr">
        <is>
          <t>Minibombo</t>
        </is>
      </c>
      <c r="B25" s="14" t="inlineStr">
        <is>
          <t>Orso, buco! (ed. cartonata)</t>
        </is>
      </c>
      <c r="C25" s="14" t="inlineStr">
        <is>
          <t>Nicola Grossi</t>
        </is>
      </c>
      <c r="D25" s="14" t="inlineStr">
        <is>
          <t>Catalogo Minibombo 2026</t>
        </is>
      </c>
      <c r="E25" s="14" t="inlineStr">
        <is>
          <t>da 1 anno</t>
        </is>
      </c>
      <c r="F25" s="14" t="inlineStr">
        <is>
          <t>0-3 anni</t>
        </is>
      </c>
      <c r="G25" s="14" t="inlineStr">
        <is>
          <t>Libro cartonato</t>
        </is>
      </c>
      <c r="H25" s="14" t="inlineStr"/>
      <c r="I25" s="14" t="inlineStr">
        <is>
          <t>No</t>
        </is>
      </c>
      <c r="J25" s="14" t="inlineStr">
        <is>
          <t>Catalogo</t>
        </is>
      </c>
      <c r="K25" s="14" t="inlineStr">
        <is>
          <t>0-3 anni</t>
        </is>
      </c>
      <c r="L25" s="14" t="inlineStr">
        <is>
          <t>Catalogo Minibombo 2026 (ISBN 9791281054264)</t>
        </is>
      </c>
      <c r="M25" s="16" t="n">
        <v>10.9</v>
      </c>
      <c r="N25" s="14" t="inlineStr">
        <is>
          <t>Catalogo Minibombo 2026</t>
        </is>
      </c>
      <c r="O25" s="16">
        <f>IF(ISNUMBER(M25),ROUND(M25*(1-Condizioni!$B$2),2),"")</f>
        <v/>
      </c>
      <c r="P25" s="17" t="inlineStr">
        <is>
          <t>No</t>
        </is>
      </c>
    </row>
    <row r="26">
      <c r="A26" s="14" t="inlineStr">
        <is>
          <t>Minibombo</t>
        </is>
      </c>
      <c r="B26" s="14" t="inlineStr">
        <is>
          <t>Quadrato al mare</t>
        </is>
      </c>
      <c r="C26" s="14" t="inlineStr">
        <is>
          <t>Silvia Borando</t>
        </is>
      </c>
      <c r="D26" s="14" t="inlineStr">
        <is>
          <t>Catalogo Minibombo 2026</t>
        </is>
      </c>
      <c r="E26" s="14" t="inlineStr">
        <is>
          <t>da 1 anno</t>
        </is>
      </c>
      <c r="F26" s="14" t="inlineStr">
        <is>
          <t>0-3 anni</t>
        </is>
      </c>
      <c r="G26" s="14" t="inlineStr">
        <is>
          <t>Libro cartonato</t>
        </is>
      </c>
      <c r="H26" s="14" t="inlineStr"/>
      <c r="I26" s="14" t="inlineStr">
        <is>
          <t>No</t>
        </is>
      </c>
      <c r="J26" s="14" t="inlineStr">
        <is>
          <t>Catalogo</t>
        </is>
      </c>
      <c r="K26" s="14" t="inlineStr">
        <is>
          <t>0-3 anni</t>
        </is>
      </c>
      <c r="L26" s="14" t="inlineStr">
        <is>
          <t>Catalogo Minibombo 2026 (ISBN 9791281054097)</t>
        </is>
      </c>
      <c r="M26" s="16" t="n">
        <v>9.9</v>
      </c>
      <c r="N26" s="14" t="inlineStr">
        <is>
          <t>Catalogo Minibombo 2026</t>
        </is>
      </c>
      <c r="O26" s="16">
        <f>IF(ISNUMBER(M26),ROUND(M26*(1-Condizioni!$B$2),2),"")</f>
        <v/>
      </c>
      <c r="P26" s="17" t="inlineStr">
        <is>
          <t>No</t>
        </is>
      </c>
    </row>
    <row r="27">
      <c r="A27" s="14" t="inlineStr">
        <is>
          <t>Minibombo</t>
        </is>
      </c>
      <c r="B27" s="14" t="inlineStr">
        <is>
          <t>Raccontami una storia</t>
        </is>
      </c>
      <c r="C27" s="14" t="inlineStr">
        <is>
          <t>Elisabetta Pica e Silvia Borando</t>
        </is>
      </c>
      <c r="D27" s="14" t="inlineStr">
        <is>
          <t>Catalogo Minibombo 2026</t>
        </is>
      </c>
      <c r="E27" s="14" t="inlineStr">
        <is>
          <t>dai 2 anni</t>
        </is>
      </c>
      <c r="F27" s="14" t="inlineStr">
        <is>
          <t>0-3 anni</t>
        </is>
      </c>
      <c r="G27" s="14" t="inlineStr">
        <is>
          <t>Albo illustrato</t>
        </is>
      </c>
      <c r="H27" s="14" t="inlineStr"/>
      <c r="I27" s="14" t="inlineStr">
        <is>
          <t>No</t>
        </is>
      </c>
      <c r="J27" s="14" t="inlineStr">
        <is>
          <t>Catalogo</t>
        </is>
      </c>
      <c r="K27" s="14" t="inlineStr">
        <is>
          <t>0-3 anni</t>
        </is>
      </c>
      <c r="L27" s="14" t="inlineStr">
        <is>
          <t>Catalogo Minibombo 2026 (ISBN 9788898177868)</t>
        </is>
      </c>
      <c r="M27" s="16" t="n">
        <v>11.9</v>
      </c>
      <c r="N27" s="14" t="inlineStr">
        <is>
          <t>Catalogo Minibombo 2026</t>
        </is>
      </c>
      <c r="O27" s="16">
        <f>IF(ISNUMBER(M27),ROUND(M27*(1-Condizioni!$B$2),2),"")</f>
        <v/>
      </c>
      <c r="P27" s="17" t="inlineStr">
        <is>
          <t>No</t>
        </is>
      </c>
    </row>
    <row r="28">
      <c r="A28" s="14" t="inlineStr">
        <is>
          <t>Minibombo</t>
        </is>
      </c>
      <c r="B28" s="14" t="inlineStr">
        <is>
          <t>Riccio dal barbiere</t>
        </is>
      </c>
      <c r="C28" s="14" t="inlineStr">
        <is>
          <t>Silvia Borando</t>
        </is>
      </c>
      <c r="D28" s="14" t="inlineStr">
        <is>
          <t>Catalogo Minibombo 2026</t>
        </is>
      </c>
      <c r="E28" s="14" t="inlineStr">
        <is>
          <t>dai 2 anni</t>
        </is>
      </c>
      <c r="F28" s="14" t="inlineStr">
        <is>
          <t>0-3 anni</t>
        </is>
      </c>
      <c r="G28" s="14" t="inlineStr">
        <is>
          <t>Albo illustrato</t>
        </is>
      </c>
      <c r="H28" s="14" t="inlineStr"/>
      <c r="I28" s="14" t="inlineStr">
        <is>
          <t>No</t>
        </is>
      </c>
      <c r="J28" s="14" t="inlineStr">
        <is>
          <t>Catalogo</t>
        </is>
      </c>
      <c r="K28" s="14" t="inlineStr">
        <is>
          <t>0-3 anni</t>
        </is>
      </c>
      <c r="L28" s="14" t="inlineStr">
        <is>
          <t>Catalogo Minibombo 2026 (ISBN 9788898177516)</t>
        </is>
      </c>
      <c r="M28" s="16" t="n">
        <v>9.9</v>
      </c>
      <c r="N28" s="14" t="inlineStr">
        <is>
          <t>Catalogo Minibombo 2026</t>
        </is>
      </c>
      <c r="O28" s="16">
        <f>IF(ISNUMBER(M28),ROUND(M28*(1-Condizioni!$B$2),2),"")</f>
        <v/>
      </c>
      <c r="P28" s="17" t="inlineStr">
        <is>
          <t>No</t>
        </is>
      </c>
    </row>
    <row r="29">
      <c r="A29" s="14" t="inlineStr">
        <is>
          <t>Minibombo</t>
        </is>
      </c>
      <c r="B29" s="14" t="inlineStr">
        <is>
          <t>Se ti dessi mezza mela</t>
        </is>
      </c>
      <c r="C29" s="14" t="inlineStr">
        <is>
          <t>Silvia Borando</t>
        </is>
      </c>
      <c r="D29" s="14" t="inlineStr">
        <is>
          <t>Catalogo Minibombo 2026</t>
        </is>
      </c>
      <c r="E29" s="14" t="inlineStr">
        <is>
          <t>dai 2 anni</t>
        </is>
      </c>
      <c r="F29" s="14" t="inlineStr">
        <is>
          <t>0-3 anni</t>
        </is>
      </c>
      <c r="G29" s="14" t="inlineStr">
        <is>
          <t>Albo illustrato</t>
        </is>
      </c>
      <c r="H29" s="14" t="inlineStr"/>
      <c r="I29" s="14" t="inlineStr">
        <is>
          <t>No</t>
        </is>
      </c>
      <c r="J29" s="14" t="inlineStr">
        <is>
          <t>Catalogo</t>
        </is>
      </c>
      <c r="K29" s="14" t="inlineStr">
        <is>
          <t>0-3 anni</t>
        </is>
      </c>
      <c r="L29" s="14" t="inlineStr">
        <is>
          <t>Catalogo Minibombo 2026 (ISBN 9791281054042)</t>
        </is>
      </c>
      <c r="M29" s="16" t="n">
        <v>13.9</v>
      </c>
      <c r="N29" s="14" t="inlineStr">
        <is>
          <t>Catalogo Minibombo 2026</t>
        </is>
      </c>
      <c r="O29" s="16">
        <f>IF(ISNUMBER(M29),ROUND(M29*(1-Condizioni!$B$2),2),"")</f>
        <v/>
      </c>
      <c r="P29" s="17" t="inlineStr">
        <is>
          <t>No</t>
        </is>
      </c>
    </row>
    <row r="30">
      <c r="A30" s="14" t="inlineStr">
        <is>
          <t>Minibombo</t>
        </is>
      </c>
      <c r="B30" s="14" t="inlineStr">
        <is>
          <t>Si vede non si vede</t>
        </is>
      </c>
      <c r="C30" s="14" t="inlineStr">
        <is>
          <t>Silvia Borando</t>
        </is>
      </c>
      <c r="D30" s="14" t="inlineStr">
        <is>
          <t>Catalogo Minibombo 2026</t>
        </is>
      </c>
      <c r="E30" s="14" t="inlineStr">
        <is>
          <t>da 1 anno</t>
        </is>
      </c>
      <c r="F30" s="14" t="inlineStr">
        <is>
          <t>0-3 anni</t>
        </is>
      </c>
      <c r="G30" s="14" t="inlineStr">
        <is>
          <t>Libro cartonato</t>
        </is>
      </c>
      <c r="H30" s="14" t="inlineStr"/>
      <c r="I30" s="14" t="inlineStr">
        <is>
          <t>No</t>
        </is>
      </c>
      <c r="J30" s="14" t="inlineStr">
        <is>
          <t>Catalogo</t>
        </is>
      </c>
      <c r="K30" s="14" t="inlineStr">
        <is>
          <t>0-3 anni</t>
        </is>
      </c>
      <c r="L30" s="14" t="inlineStr">
        <is>
          <t>Catalogo Minibombo 2026 (ISBN 9788898177967)</t>
        </is>
      </c>
      <c r="M30" s="16" t="n">
        <v>10.9</v>
      </c>
      <c r="N30" s="14" t="inlineStr">
        <is>
          <t>Catalogo Minibombo 2026</t>
        </is>
      </c>
      <c r="O30" s="16">
        <f>IF(ISNUMBER(M30),ROUND(M30*(1-Condizioni!$B$2),2),"")</f>
        <v/>
      </c>
      <c r="P30" s="17" t="inlineStr">
        <is>
          <t>No</t>
        </is>
      </c>
    </row>
    <row r="31">
      <c r="A31" s="14" t="inlineStr">
        <is>
          <t>Minibombo</t>
        </is>
      </c>
      <c r="B31" s="14" t="inlineStr">
        <is>
          <t>Triangolo al circo</t>
        </is>
      </c>
      <c r="C31" s="14" t="inlineStr">
        <is>
          <t>Silvia Borando</t>
        </is>
      </c>
      <c r="D31" s="14" t="inlineStr">
        <is>
          <t>Catalogo Minibombo 2026</t>
        </is>
      </c>
      <c r="E31" s="14" t="inlineStr">
        <is>
          <t>da 1 anno</t>
        </is>
      </c>
      <c r="F31" s="14" t="inlineStr">
        <is>
          <t>0-3 anni</t>
        </is>
      </c>
      <c r="G31" s="14" t="inlineStr">
        <is>
          <t>Libro cartonato</t>
        </is>
      </c>
      <c r="H31" s="14" t="inlineStr"/>
      <c r="I31" s="14" t="inlineStr">
        <is>
          <t>No</t>
        </is>
      </c>
      <c r="J31" s="14" t="inlineStr">
        <is>
          <t>Catalogo</t>
        </is>
      </c>
      <c r="K31" s="14" t="inlineStr">
        <is>
          <t>0-3 anni</t>
        </is>
      </c>
      <c r="L31" s="14" t="inlineStr">
        <is>
          <t>Catalogo Minibombo 2026 (ISBN 9791281054080)</t>
        </is>
      </c>
      <c r="M31" s="16" t="n">
        <v>9.9</v>
      </c>
      <c r="N31" s="14" t="inlineStr">
        <is>
          <t>Catalogo Minibombo 2026</t>
        </is>
      </c>
      <c r="O31" s="16">
        <f>IF(ISNUMBER(M31),ROUND(M31*(1-Condizioni!$B$2),2),"")</f>
        <v/>
      </c>
      <c r="P31" s="17" t="inlineStr">
        <is>
          <t>No</t>
        </is>
      </c>
    </row>
    <row r="32">
      <c r="A32" s="14" t="inlineStr">
        <is>
          <t>Minibombo</t>
        </is>
      </c>
      <c r="B32" s="14" t="inlineStr">
        <is>
          <t>Tutino con la terra</t>
        </is>
      </c>
      <c r="C32" s="14" t="inlineStr">
        <is>
          <t>Lorenzo Clerici</t>
        </is>
      </c>
      <c r="D32" s="14" t="inlineStr">
        <is>
          <t>Catalogo Minibombo 2026</t>
        </is>
      </c>
      <c r="E32" s="14" t="inlineStr">
        <is>
          <t>da 1 anno</t>
        </is>
      </c>
      <c r="F32" s="14" t="inlineStr">
        <is>
          <t>0-3 anni</t>
        </is>
      </c>
      <c r="G32" s="14" t="inlineStr">
        <is>
          <t>Libro cartonato</t>
        </is>
      </c>
      <c r="H32" s="14" t="inlineStr"/>
      <c r="I32" s="14" t="inlineStr">
        <is>
          <t>No</t>
        </is>
      </c>
      <c r="J32" s="14" t="inlineStr">
        <is>
          <t>Catalogo</t>
        </is>
      </c>
      <c r="K32" s="14" t="inlineStr">
        <is>
          <t>0-3 anni</t>
        </is>
      </c>
      <c r="L32" s="14" t="inlineStr">
        <is>
          <t>Catalogo Minibombo 2026 (ISBN 9791281054127)</t>
        </is>
      </c>
      <c r="M32" s="16" t="n">
        <v>9.9</v>
      </c>
      <c r="N32" s="14" t="inlineStr">
        <is>
          <t>Catalogo Minibombo 2026</t>
        </is>
      </c>
      <c r="O32" s="16">
        <f>IF(ISNUMBER(M32),ROUND(M32*(1-Condizioni!$B$2),2),"")</f>
        <v/>
      </c>
      <c r="P32" s="17" t="inlineStr">
        <is>
          <t>Sì</t>
        </is>
      </c>
    </row>
    <row r="33">
      <c r="A33" s="14" t="inlineStr">
        <is>
          <t>Minibombo</t>
        </is>
      </c>
      <c r="B33" s="14" t="inlineStr">
        <is>
          <t>Tutino e il vento</t>
        </is>
      </c>
      <c r="C33" s="14" t="inlineStr">
        <is>
          <t>Lorenzo Clerici</t>
        </is>
      </c>
      <c r="D33" s="14" t="inlineStr">
        <is>
          <t>Catalogo Minibombo 2026</t>
        </is>
      </c>
      <c r="E33" s="14" t="inlineStr">
        <is>
          <t>da 1 anno</t>
        </is>
      </c>
      <c r="F33" s="14" t="inlineStr">
        <is>
          <t>0-3 anni</t>
        </is>
      </c>
      <c r="G33" s="14" t="inlineStr">
        <is>
          <t>Libro cartonato</t>
        </is>
      </c>
      <c r="H33" s="14" t="inlineStr"/>
      <c r="I33" s="14" t="inlineStr">
        <is>
          <t>No</t>
        </is>
      </c>
      <c r="J33" s="14" t="inlineStr">
        <is>
          <t>Catalogo</t>
        </is>
      </c>
      <c r="K33" s="14" t="inlineStr">
        <is>
          <t>0-3 anni</t>
        </is>
      </c>
      <c r="L33" s="14" t="inlineStr">
        <is>
          <t>Catalogo Minibombo 2026 (ISBN 9788898177738)</t>
        </is>
      </c>
      <c r="M33" s="16" t="n">
        <v>9.9</v>
      </c>
      <c r="N33" s="14" t="inlineStr">
        <is>
          <t>Catalogo Minibombo 2026</t>
        </is>
      </c>
      <c r="O33" s="16">
        <f>IF(ISNUMBER(M33),ROUND(M33*(1-Condizioni!$B$2),2),"")</f>
        <v/>
      </c>
      <c r="P33" s="17" t="inlineStr">
        <is>
          <t>No</t>
        </is>
      </c>
    </row>
    <row r="34">
      <c r="A34" s="14" t="inlineStr">
        <is>
          <t>Minibombo</t>
        </is>
      </c>
      <c r="B34" s="14" t="inlineStr">
        <is>
          <t>Tutino e la pozzanghera</t>
        </is>
      </c>
      <c r="C34" s="14" t="inlineStr">
        <is>
          <t>Lorenzo Clerici</t>
        </is>
      </c>
      <c r="D34" s="14" t="inlineStr">
        <is>
          <t>Catalogo Minibombo 2026</t>
        </is>
      </c>
      <c r="E34" s="14" t="inlineStr">
        <is>
          <t>da 1 anno</t>
        </is>
      </c>
      <c r="F34" s="14" t="inlineStr">
        <is>
          <t>0-3 anni</t>
        </is>
      </c>
      <c r="G34" s="14" t="inlineStr">
        <is>
          <t>Libro cartonato</t>
        </is>
      </c>
      <c r="H34" s="14" t="inlineStr"/>
      <c r="I34" s="14" t="inlineStr">
        <is>
          <t>No</t>
        </is>
      </c>
      <c r="J34" s="14" t="inlineStr">
        <is>
          <t>Catalogo</t>
        </is>
      </c>
      <c r="K34" s="14" t="inlineStr">
        <is>
          <t>0-3 anni</t>
        </is>
      </c>
      <c r="L34" s="14" t="inlineStr">
        <is>
          <t>Catalogo Minibombo 2026 (ISBN 9788898177721)</t>
        </is>
      </c>
      <c r="M34" s="16" t="n">
        <v>9.9</v>
      </c>
      <c r="N34" s="14" t="inlineStr">
        <is>
          <t>Catalogo Minibombo 2026</t>
        </is>
      </c>
      <c r="O34" s="16">
        <f>IF(ISNUMBER(M34),ROUND(M34*(1-Condizioni!$B$2),2),"")</f>
        <v/>
      </c>
      <c r="P34" s="17" t="inlineStr">
        <is>
          <t>No</t>
        </is>
      </c>
    </row>
    <row r="35">
      <c r="A35" s="14" t="inlineStr">
        <is>
          <t>Minibombo</t>
        </is>
      </c>
      <c r="B35" s="14" t="inlineStr">
        <is>
          <t>Tutino e l’albero</t>
        </is>
      </c>
      <c r="C35" s="14" t="inlineStr">
        <is>
          <t>Lorenzo Clerici</t>
        </is>
      </c>
      <c r="D35" s="14" t="inlineStr">
        <is>
          <t>Catalogo Minibombo 2026</t>
        </is>
      </c>
      <c r="E35" s="14" t="inlineStr">
        <is>
          <t>da 1 anno</t>
        </is>
      </c>
      <c r="F35" s="14" t="inlineStr">
        <is>
          <t>0-3 anni</t>
        </is>
      </c>
      <c r="G35" s="14" t="inlineStr">
        <is>
          <t>Libro cartonato</t>
        </is>
      </c>
      <c r="H35" s="14" t="inlineStr"/>
      <c r="I35" s="14" t="inlineStr">
        <is>
          <t>No</t>
        </is>
      </c>
      <c r="J35" s="14" t="inlineStr">
        <is>
          <t>Catalogo</t>
        </is>
      </c>
      <c r="K35" s="14" t="inlineStr">
        <is>
          <t>0-3 anni</t>
        </is>
      </c>
      <c r="L35" s="14" t="inlineStr">
        <is>
          <t>Catalogo Minibombo 2026 (ISBN 9788898177714)</t>
        </is>
      </c>
      <c r="M35" s="16" t="n">
        <v>9.9</v>
      </c>
      <c r="N35" s="14" t="inlineStr">
        <is>
          <t>Catalogo Minibombo 2026</t>
        </is>
      </c>
      <c r="O35" s="16">
        <f>IF(ISNUMBER(M35),ROUND(M35*(1-Condizioni!$B$2),2),"")</f>
        <v/>
      </c>
      <c r="P35" s="17" t="inlineStr">
        <is>
          <t>No</t>
        </is>
      </c>
    </row>
    <row r="36">
      <c r="A36" s="14" t="inlineStr">
        <is>
          <t>Minibombo</t>
        </is>
      </c>
      <c r="B36" s="14" t="inlineStr">
        <is>
          <t>Tutino ha un po’ di fame</t>
        </is>
      </c>
      <c r="C36" s="14" t="inlineStr">
        <is>
          <t>Lorenzo Clerici</t>
        </is>
      </c>
      <c r="D36" s="14" t="inlineStr">
        <is>
          <t>Catalogo Minibombo 2026</t>
        </is>
      </c>
      <c r="E36" s="14" t="inlineStr">
        <is>
          <t>da 1 anno</t>
        </is>
      </c>
      <c r="F36" s="14" t="inlineStr">
        <is>
          <t>0-3 anni</t>
        </is>
      </c>
      <c r="G36" s="14" t="inlineStr">
        <is>
          <t>Libro cartonato</t>
        </is>
      </c>
      <c r="H36" s="14" t="inlineStr"/>
      <c r="I36" s="14" t="inlineStr">
        <is>
          <t>No</t>
        </is>
      </c>
      <c r="J36" s="14" t="inlineStr">
        <is>
          <t>Catalogo</t>
        </is>
      </c>
      <c r="K36" s="14" t="inlineStr">
        <is>
          <t>0-3 anni</t>
        </is>
      </c>
      <c r="L36" s="14" t="inlineStr">
        <is>
          <t>Catalogo Minibombo 2026 (ISBN 9788898177745)</t>
        </is>
      </c>
      <c r="M36" s="16" t="n">
        <v>9.9</v>
      </c>
      <c r="N36" s="14" t="inlineStr">
        <is>
          <t>Catalogo Minibombo 2026</t>
        </is>
      </c>
      <c r="O36" s="16">
        <f>IF(ISNUMBER(M36),ROUND(M36*(1-Condizioni!$B$2),2),"")</f>
        <v/>
      </c>
      <c r="P36" s="17" t="inlineStr">
        <is>
          <t>No</t>
        </is>
      </c>
    </row>
    <row r="37">
      <c r="A37" s="14" t="inlineStr">
        <is>
          <t>Minibombo</t>
        </is>
      </c>
      <c r="B37" s="14" t="inlineStr">
        <is>
          <t>Tutino nella neve</t>
        </is>
      </c>
      <c r="C37" s="14" t="inlineStr">
        <is>
          <t>Lorenzo Clerici</t>
        </is>
      </c>
      <c r="D37" s="14" t="inlineStr">
        <is>
          <t>Catalogo Minibombo 2026</t>
        </is>
      </c>
      <c r="E37" s="14" t="inlineStr">
        <is>
          <t>da 1 anno</t>
        </is>
      </c>
      <c r="F37" s="14" t="inlineStr">
        <is>
          <t>0-3 anni</t>
        </is>
      </c>
      <c r="G37" s="14" t="inlineStr">
        <is>
          <t>Libro cartonato</t>
        </is>
      </c>
      <c r="H37" s="14" t="inlineStr"/>
      <c r="I37" s="14" t="inlineStr">
        <is>
          <t>No</t>
        </is>
      </c>
      <c r="J37" s="14" t="inlineStr">
        <is>
          <t>Catalogo</t>
        </is>
      </c>
      <c r="K37" s="14" t="inlineStr">
        <is>
          <t>0-3 anni</t>
        </is>
      </c>
      <c r="L37" s="14" t="inlineStr">
        <is>
          <t>Catalogo Minibombo 2026 (ISBN 9791281054134)</t>
        </is>
      </c>
      <c r="M37" s="16" t="n">
        <v>9.9</v>
      </c>
      <c r="N37" s="14" t="inlineStr">
        <is>
          <t>Catalogo Minibombo 2026</t>
        </is>
      </c>
      <c r="O37" s="16">
        <f>IF(ISNUMBER(M37),ROUND(M37*(1-Condizioni!$B$2),2),"")</f>
        <v/>
      </c>
      <c r="P37" s="17" t="inlineStr">
        <is>
          <t>Sì</t>
        </is>
      </c>
    </row>
    <row r="38">
      <c r="A38" s="14" t="inlineStr">
        <is>
          <t>Minibombo</t>
        </is>
      </c>
      <c r="B38" s="14" t="inlineStr">
        <is>
          <t>Tutino non ha sonno</t>
        </is>
      </c>
      <c r="C38" s="14" t="inlineStr">
        <is>
          <t>Lorenzo Clerici</t>
        </is>
      </c>
      <c r="D38" s="14" t="inlineStr">
        <is>
          <t>Catalogo Minibombo 2026</t>
        </is>
      </c>
      <c r="E38" s="14" t="inlineStr">
        <is>
          <t>da 1 anno</t>
        </is>
      </c>
      <c r="F38" s="14" t="inlineStr">
        <is>
          <t>0-3 anni</t>
        </is>
      </c>
      <c r="G38" s="14" t="inlineStr">
        <is>
          <t>Libro cartonato</t>
        </is>
      </c>
      <c r="H38" s="14" t="inlineStr"/>
      <c r="I38" s="14" t="inlineStr">
        <is>
          <t>No</t>
        </is>
      </c>
      <c r="J38" s="14" t="inlineStr">
        <is>
          <t>Catalogo</t>
        </is>
      </c>
      <c r="K38" s="14" t="inlineStr">
        <is>
          <t>0-3 anni</t>
        </is>
      </c>
      <c r="L38" s="14" t="inlineStr">
        <is>
          <t>Catalogo Minibombo 2026 (ISBN 9788898177752)</t>
        </is>
      </c>
      <c r="M38" s="16" t="n">
        <v>9.9</v>
      </c>
      <c r="N38" s="14" t="inlineStr">
        <is>
          <t>Catalogo Minibombo 2026</t>
        </is>
      </c>
      <c r="O38" s="16">
        <f>IF(ISNUMBER(M38),ROUND(M38*(1-Condizioni!$B$2),2),"")</f>
        <v/>
      </c>
      <c r="P38" s="17" t="inlineStr">
        <is>
          <t>No</t>
        </is>
      </c>
    </row>
    <row r="39">
      <c r="A39" s="14" t="inlineStr">
        <is>
          <t>Minibombo</t>
        </is>
      </c>
      <c r="B39" s="14" t="inlineStr">
        <is>
          <t>Un bello spavento</t>
        </is>
      </c>
      <c r="C39" s="14" t="inlineStr">
        <is>
          <t>Elena Galloni</t>
        </is>
      </c>
      <c r="D39" s="14" t="inlineStr">
        <is>
          <t>Catalogo Minibombo 2026</t>
        </is>
      </c>
      <c r="E39" s="14" t="inlineStr">
        <is>
          <t>dai 2 anni</t>
        </is>
      </c>
      <c r="F39" s="14" t="inlineStr">
        <is>
          <t>0-3 anni</t>
        </is>
      </c>
      <c r="G39" s="14" t="inlineStr">
        <is>
          <t>Albo illustrato</t>
        </is>
      </c>
      <c r="H39" s="14" t="inlineStr"/>
      <c r="I39" s="14" t="inlineStr">
        <is>
          <t>No</t>
        </is>
      </c>
      <c r="J39" s="14" t="inlineStr">
        <is>
          <t>Catalogo</t>
        </is>
      </c>
      <c r="K39" s="14" t="inlineStr">
        <is>
          <t>0-3 anni</t>
        </is>
      </c>
      <c r="L39" s="14" t="inlineStr">
        <is>
          <t>Catalogo Minibombo 2026 (ISBN 9788898177639)</t>
        </is>
      </c>
      <c r="M39" s="16" t="n">
        <v>11.9</v>
      </c>
      <c r="N39" s="14" t="inlineStr">
        <is>
          <t>Catalogo Minibombo 2026</t>
        </is>
      </c>
      <c r="O39" s="16">
        <f>IF(ISNUMBER(M39),ROUND(M39*(1-Condizioni!$B$2),2),"")</f>
        <v/>
      </c>
      <c r="P39" s="17" t="inlineStr">
        <is>
          <t>No</t>
        </is>
      </c>
    </row>
    <row r="40">
      <c r="A40" s="14" t="inlineStr">
        <is>
          <t>Minibombo</t>
        </is>
      </c>
      <c r="B40" s="14" t="inlineStr">
        <is>
          <t>Un coniglietto molto ubbidiente</t>
        </is>
      </c>
      <c r="C40" s="14" t="inlineStr">
        <is>
          <t>Silvia Borando</t>
        </is>
      </c>
      <c r="D40" s="14" t="inlineStr">
        <is>
          <t>Catalogo Minibombo 2026</t>
        </is>
      </c>
      <c r="E40" s="14" t="inlineStr">
        <is>
          <t>dai 2 anni</t>
        </is>
      </c>
      <c r="F40" s="14" t="inlineStr">
        <is>
          <t>0-3 anni</t>
        </is>
      </c>
      <c r="G40" s="14" t="inlineStr">
        <is>
          <t>Albo illustrato</t>
        </is>
      </c>
      <c r="H40" s="14" t="inlineStr"/>
      <c r="I40" s="14" t="inlineStr">
        <is>
          <t>No</t>
        </is>
      </c>
      <c r="J40" s="14" t="inlineStr">
        <is>
          <t>Catalogo</t>
        </is>
      </c>
      <c r="K40" s="14" t="inlineStr">
        <is>
          <t>0-3 anni</t>
        </is>
      </c>
      <c r="L40" s="14" t="inlineStr">
        <is>
          <t>Catalogo Minibombo 2026 (ISBN 9791281054028)</t>
        </is>
      </c>
      <c r="M40" s="16" t="n">
        <v>12.9</v>
      </c>
      <c r="N40" s="14" t="inlineStr">
        <is>
          <t>Catalogo Minibombo 2026</t>
        </is>
      </c>
      <c r="O40" s="16">
        <f>IF(ISNUMBER(M40),ROUND(M40*(1-Condizioni!$B$2),2),"")</f>
        <v/>
      </c>
      <c r="P40" s="17" t="inlineStr">
        <is>
          <t>No</t>
        </is>
      </c>
    </row>
    <row r="41">
      <c r="A41" s="14" t="inlineStr">
        <is>
          <t>Minibombo</t>
        </is>
      </c>
      <c r="B41" s="14" t="inlineStr">
        <is>
          <t>Vicino lontano</t>
        </is>
      </c>
      <c r="C41" s="14" t="inlineStr">
        <is>
          <t>Silvia Borando</t>
        </is>
      </c>
      <c r="D41" s="14" t="inlineStr">
        <is>
          <t>Catalogo Minibombo 2026</t>
        </is>
      </c>
      <c r="E41" s="14" t="inlineStr">
        <is>
          <t>da 1 anno</t>
        </is>
      </c>
      <c r="F41" s="14" t="inlineStr">
        <is>
          <t>0-3 anni</t>
        </is>
      </c>
      <c r="G41" s="14" t="inlineStr">
        <is>
          <t>Libro cartonato</t>
        </is>
      </c>
      <c r="H41" s="14" t="inlineStr"/>
      <c r="I41" s="14" t="inlineStr">
        <is>
          <t>No</t>
        </is>
      </c>
      <c r="J41" s="14" t="inlineStr">
        <is>
          <t>Catalogo</t>
        </is>
      </c>
      <c r="K41" s="14" t="inlineStr">
        <is>
          <t>0-3 anni</t>
        </is>
      </c>
      <c r="L41" s="14" t="inlineStr">
        <is>
          <t>Catalogo Minibombo 2026 (ISBN 9788898177950)</t>
        </is>
      </c>
      <c r="M41" s="16" t="n">
        <v>10.9</v>
      </c>
      <c r="N41" s="14" t="inlineStr">
        <is>
          <t>Catalogo Minibombo 2026</t>
        </is>
      </c>
      <c r="O41" s="16">
        <f>IF(ISNUMBER(M41),ROUND(M41*(1-Condizioni!$B$2),2),"")</f>
        <v/>
      </c>
      <c r="P41" s="17" t="inlineStr">
        <is>
          <t>No</t>
        </is>
      </c>
    </row>
    <row r="42">
      <c r="A42" s="14" t="inlineStr">
        <is>
          <t>Minibombo</t>
        </is>
      </c>
      <c r="B42" s="14" t="inlineStr">
        <is>
          <t>Zebra dalla sarta</t>
        </is>
      </c>
      <c r="C42" s="14" t="inlineStr">
        <is>
          <t>Silvia Borando</t>
        </is>
      </c>
      <c r="D42" s="14" t="inlineStr">
        <is>
          <t>Catalogo Minibombo 2026</t>
        </is>
      </c>
      <c r="E42" s="14" t="inlineStr">
        <is>
          <t>dai 2 anni</t>
        </is>
      </c>
      <c r="F42" s="14" t="inlineStr">
        <is>
          <t>0-3 anni</t>
        </is>
      </c>
      <c r="G42" s="14" t="inlineStr">
        <is>
          <t>Albo illustrato</t>
        </is>
      </c>
      <c r="H42" s="14" t="inlineStr"/>
      <c r="I42" s="14" t="inlineStr">
        <is>
          <t>No</t>
        </is>
      </c>
      <c r="J42" s="14" t="inlineStr">
        <is>
          <t>Catalogo</t>
        </is>
      </c>
      <c r="K42" s="14" t="inlineStr">
        <is>
          <t>0-3 anni</t>
        </is>
      </c>
      <c r="L42" s="14" t="inlineStr">
        <is>
          <t>Catalogo Minibombo 2026 (ISBN 9788898177523)</t>
        </is>
      </c>
      <c r="M42" s="16" t="n">
        <v>9.9</v>
      </c>
      <c r="N42" s="14" t="inlineStr">
        <is>
          <t>Catalogo Minibombo 2026</t>
        </is>
      </c>
      <c r="O42" s="16">
        <f>IF(ISNUMBER(M42),ROUND(M42*(1-Condizioni!$B$2),2),"")</f>
        <v/>
      </c>
      <c r="P42" s="17" t="inlineStr">
        <is>
          <t>No</t>
        </is>
      </c>
    </row>
    <row r="43">
      <c r="A43" s="14" t="inlineStr">
        <is>
          <t>Minibombo</t>
        </is>
      </c>
      <c r="B43" s="14" t="inlineStr">
        <is>
          <t>Affamato come un lupo</t>
        </is>
      </c>
      <c r="C43" s="14" t="inlineStr">
        <is>
          <t>Silvia Borando</t>
        </is>
      </c>
      <c r="D43" s="14" t="inlineStr">
        <is>
          <t>Catalogo Minibombo 2026</t>
        </is>
      </c>
      <c r="E43" s="14" t="inlineStr">
        <is>
          <t>dai 3 anni</t>
        </is>
      </c>
      <c r="F43" s="14" t="inlineStr">
        <is>
          <t>3-6 anni</t>
        </is>
      </c>
      <c r="G43" s="14" t="inlineStr">
        <is>
          <t>Albo illustrato</t>
        </is>
      </c>
      <c r="H43" s="14" t="inlineStr"/>
      <c r="I43" s="14" t="inlineStr">
        <is>
          <t>No</t>
        </is>
      </c>
      <c r="J43" s="14" t="inlineStr">
        <is>
          <t>Catalogo</t>
        </is>
      </c>
      <c r="K43" s="14" t="inlineStr">
        <is>
          <t>3-6 anni</t>
        </is>
      </c>
      <c r="L43" s="14" t="inlineStr">
        <is>
          <t>Catalogo Minibombo 2026 (ISBN 9788898177387)</t>
        </is>
      </c>
      <c r="M43" s="16" t="n">
        <v>12.9</v>
      </c>
      <c r="N43" s="14" t="inlineStr">
        <is>
          <t>Catalogo Minibombo 2026</t>
        </is>
      </c>
      <c r="O43" s="16">
        <f>IF(ISNUMBER(M43),ROUND(M43*(1-Condizioni!$B$2),2),"")</f>
        <v/>
      </c>
      <c r="P43" s="17" t="inlineStr">
        <is>
          <t>Sì</t>
        </is>
      </c>
    </row>
    <row r="44">
      <c r="A44" s="14" t="inlineStr">
        <is>
          <t>Minibombo</t>
        </is>
      </c>
      <c r="B44" s="14" t="inlineStr">
        <is>
          <t>Affamato come un lupo – versione in simboli (InBook)</t>
        </is>
      </c>
      <c r="C44" s="14" t="inlineStr">
        <is>
          <t>traduzione in simboli a cura di reti di biblioteche</t>
        </is>
      </c>
      <c r="D44" s="14" t="inlineStr">
        <is>
          <t>InBook (non edizione Minibombo)</t>
        </is>
      </c>
      <c r="E44" s="14" t="inlineStr">
        <is>
          <t>n.d.</t>
        </is>
      </c>
      <c r="F44" s="14" t="inlineStr">
        <is>
          <t>3-6 anni</t>
        </is>
      </c>
      <c r="G44" s="14" t="inlineStr">
        <is>
          <t>Libro in simboli (CAA)</t>
        </is>
      </c>
      <c r="H44" s="14" t="inlineStr">
        <is>
          <t>Inclusione: libro in simboli</t>
        </is>
      </c>
      <c r="I44" s="18" t="inlineStr">
        <is>
          <t>Sì</t>
        </is>
      </c>
      <c r="J44" s="14" t="inlineStr">
        <is>
          <t>Tolto: versione in simboli InBook, non in vendita</t>
        </is>
      </c>
      <c r="K44" s="14" t="inlineStr">
        <is>
          <t>3-6 anni, CAA</t>
        </is>
      </c>
      <c r="L44" s="14" t="inlineStr">
        <is>
          <t>https://www.055firenze.it/art/216489/libri-in-simboli-nasce-la-prima-Rete-Operativa-Toscana-delle-Biblioteche-Inbook-libri-in-simboli</t>
        </is>
      </c>
      <c r="M44" s="19" t="n"/>
      <c r="N44" s="14" t="inlineStr"/>
      <c r="O44" s="16">
        <f>IF(ISNUMBER(M44),ROUND(M44*(1-Condizioni!$B$2),2),"")</f>
        <v/>
      </c>
      <c r="P44" s="17" t="inlineStr">
        <is>
          <t>No</t>
        </is>
      </c>
    </row>
    <row r="45">
      <c r="A45" s="14" t="inlineStr">
        <is>
          <t>Minibombo</t>
        </is>
      </c>
      <c r="B45" s="14" t="inlineStr">
        <is>
          <t>Allarme rosso!</t>
        </is>
      </c>
      <c r="C45" s="14" t="inlineStr">
        <is>
          <t>Marco Scalcione</t>
        </is>
      </c>
      <c r="D45" s="14" t="inlineStr">
        <is>
          <t>Catalogo Minibombo 2026</t>
        </is>
      </c>
      <c r="E45" s="14" t="inlineStr">
        <is>
          <t>dai 3 anni</t>
        </is>
      </c>
      <c r="F45" s="14" t="inlineStr">
        <is>
          <t>3-6 anni</t>
        </is>
      </c>
      <c r="G45" s="14" t="inlineStr">
        <is>
          <t>Albo illustrato</t>
        </is>
      </c>
      <c r="H45" s="14" t="inlineStr"/>
      <c r="I45" s="14" t="inlineStr">
        <is>
          <t>No</t>
        </is>
      </c>
      <c r="J45" s="14" t="inlineStr">
        <is>
          <t>Catalogo</t>
        </is>
      </c>
      <c r="K45" s="14" t="inlineStr">
        <is>
          <t>3-6 anni</t>
        </is>
      </c>
      <c r="L45" s="14" t="inlineStr">
        <is>
          <t>Catalogo Minibombo 2026 (ISBN 9788898177394)</t>
        </is>
      </c>
      <c r="M45" s="16" t="n">
        <v>12.9</v>
      </c>
      <c r="N45" s="14" t="inlineStr">
        <is>
          <t>Catalogo Minibombo 2026</t>
        </is>
      </c>
      <c r="O45" s="16">
        <f>IF(ISNUMBER(M45),ROUND(M45*(1-Condizioni!$B$2),2),"")</f>
        <v/>
      </c>
      <c r="P45" s="17" t="inlineStr">
        <is>
          <t>Sì</t>
        </is>
      </c>
    </row>
    <row r="46">
      <c r="A46" s="14" t="inlineStr">
        <is>
          <t>Minibombo</t>
        </is>
      </c>
      <c r="B46" s="14" t="inlineStr">
        <is>
          <t>Chi c’è tra i ritagli?</t>
        </is>
      </c>
      <c r="C46" s="14" t="inlineStr">
        <is>
          <t>Silvia Borando</t>
        </is>
      </c>
      <c r="D46" s="14" t="inlineStr">
        <is>
          <t>Catalogo Minibombo 2026</t>
        </is>
      </c>
      <c r="E46" s="14" t="inlineStr">
        <is>
          <t>dai 3 anni</t>
        </is>
      </c>
      <c r="F46" s="14" t="inlineStr">
        <is>
          <t>3-6 anni</t>
        </is>
      </c>
      <c r="G46" s="14" t="inlineStr">
        <is>
          <t>Albo illustrato</t>
        </is>
      </c>
      <c r="H46" s="14" t="inlineStr"/>
      <c r="I46" s="14" t="inlineStr">
        <is>
          <t>No</t>
        </is>
      </c>
      <c r="J46" s="14" t="inlineStr">
        <is>
          <t>Catalogo</t>
        </is>
      </c>
      <c r="K46" s="14" t="inlineStr">
        <is>
          <t>3-6 anni</t>
        </is>
      </c>
      <c r="L46" s="14" t="inlineStr">
        <is>
          <t>Catalogo Minibombo 2026 (ISBN 9788898177141)</t>
        </is>
      </c>
      <c r="M46" s="16" t="n">
        <v>12.9</v>
      </c>
      <c r="N46" s="14" t="inlineStr">
        <is>
          <t>Catalogo Minibombo 2026</t>
        </is>
      </c>
      <c r="O46" s="16">
        <f>IF(ISNUMBER(M46),ROUND(M46*(1-Condizioni!$B$2),2),"")</f>
        <v/>
      </c>
      <c r="P46" s="17" t="inlineStr">
        <is>
          <t>No</t>
        </is>
      </c>
    </row>
    <row r="47">
      <c r="A47" s="14" t="inlineStr">
        <is>
          <t>Minibombo</t>
        </is>
      </c>
      <c r="B47" s="14" t="inlineStr">
        <is>
          <t>Chi ha il coraggio?</t>
        </is>
      </c>
      <c r="C47" s="14" t="inlineStr">
        <is>
          <t>Silvia Borando</t>
        </is>
      </c>
      <c r="D47" s="14" t="inlineStr">
        <is>
          <t>Catalogo Minibombo 2026</t>
        </is>
      </c>
      <c r="E47" s="14" t="inlineStr">
        <is>
          <t>dai 3 anni</t>
        </is>
      </c>
      <c r="F47" s="14" t="inlineStr">
        <is>
          <t>3-6 anni</t>
        </is>
      </c>
      <c r="G47" s="14" t="inlineStr">
        <is>
          <t>Albo illustrato</t>
        </is>
      </c>
      <c r="H47" s="14" t="inlineStr"/>
      <c r="I47" s="14" t="inlineStr">
        <is>
          <t>No</t>
        </is>
      </c>
      <c r="J47" s="14" t="inlineStr">
        <is>
          <t>Catalogo</t>
        </is>
      </c>
      <c r="K47" s="14" t="inlineStr">
        <is>
          <t>3-6 anni</t>
        </is>
      </c>
      <c r="L47" s="14" t="inlineStr">
        <is>
          <t>Catalogo Minibombo 2026 (ISBN 9788898177295)</t>
        </is>
      </c>
      <c r="M47" s="16" t="n">
        <v>11.9</v>
      </c>
      <c r="N47" s="14" t="inlineStr">
        <is>
          <t>Catalogo Minibombo 2026</t>
        </is>
      </c>
      <c r="O47" s="16">
        <f>IF(ISNUMBER(M47),ROUND(M47*(1-Condizioni!$B$2),2),"")</f>
        <v/>
      </c>
      <c r="P47" s="17" t="inlineStr">
        <is>
          <t>No</t>
        </is>
      </c>
    </row>
    <row r="48">
      <c r="A48" s="14" t="inlineStr">
        <is>
          <t>Minibombo</t>
        </is>
      </c>
      <c r="B48" s="14" t="inlineStr">
        <is>
          <t>Chi mi ha rubato il naso?</t>
        </is>
      </c>
      <c r="C48" s="14" t="inlineStr">
        <is>
          <t>Lorenzo Clerici</t>
        </is>
      </c>
      <c r="D48" s="14" t="inlineStr">
        <is>
          <t>Catalogo Minibombo 2026</t>
        </is>
      </c>
      <c r="E48" s="14" t="inlineStr">
        <is>
          <t>dai 3 anni</t>
        </is>
      </c>
      <c r="F48" s="14" t="inlineStr">
        <is>
          <t>3-6 anni</t>
        </is>
      </c>
      <c r="G48" s="14" t="inlineStr">
        <is>
          <t>Albo illustrato</t>
        </is>
      </c>
      <c r="H48" s="14" t="inlineStr"/>
      <c r="I48" s="14" t="inlineStr">
        <is>
          <t>No</t>
        </is>
      </c>
      <c r="J48" s="14" t="inlineStr">
        <is>
          <t>Catalogo</t>
        </is>
      </c>
      <c r="K48" s="14" t="inlineStr">
        <is>
          <t>3-6 anni</t>
        </is>
      </c>
      <c r="L48" s="14" t="inlineStr">
        <is>
          <t>Catalogo Minibombo 2026 (ISBN 9788898177011)</t>
        </is>
      </c>
      <c r="M48" s="16" t="n">
        <v>11.9</v>
      </c>
      <c r="N48" s="14" t="inlineStr">
        <is>
          <t>Catalogo Minibombo 2026</t>
        </is>
      </c>
      <c r="O48" s="16">
        <f>IF(ISNUMBER(M48),ROUND(M48*(1-Condizioni!$B$2),2),"")</f>
        <v/>
      </c>
      <c r="P48" s="17" t="inlineStr">
        <is>
          <t>No</t>
        </is>
      </c>
    </row>
    <row r="49">
      <c r="A49" s="14" t="inlineStr">
        <is>
          <t>Minibombo</t>
        </is>
      </c>
      <c r="B49" s="14" t="inlineStr">
        <is>
          <t>Come riconoscere un innaffiatoio e molti altri oggetti in giardino</t>
        </is>
      </c>
      <c r="C49" s="14" t="inlineStr">
        <is>
          <t>Silvia Borando</t>
        </is>
      </c>
      <c r="D49" s="14" t="inlineStr">
        <is>
          <t>Catalogo Minibombo 2026</t>
        </is>
      </c>
      <c r="E49" s="14" t="inlineStr">
        <is>
          <t>dai 3 anni</t>
        </is>
      </c>
      <c r="F49" s="14" t="inlineStr">
        <is>
          <t>3-6 anni</t>
        </is>
      </c>
      <c r="G49" s="14" t="inlineStr">
        <is>
          <t>Albo illustrato</t>
        </is>
      </c>
      <c r="H49" s="14" t="inlineStr"/>
      <c r="I49" s="14" t="inlineStr">
        <is>
          <t>No</t>
        </is>
      </c>
      <c r="J49" s="14" t="inlineStr">
        <is>
          <t>Catalogo</t>
        </is>
      </c>
      <c r="K49" s="14" t="inlineStr">
        <is>
          <t>3-6 anni</t>
        </is>
      </c>
      <c r="L49" s="14" t="inlineStr">
        <is>
          <t>Catalogo Minibombo 2026 (ISBN 9791281054219)</t>
        </is>
      </c>
      <c r="M49" s="16" t="n">
        <v>14.9</v>
      </c>
      <c r="N49" s="14" t="inlineStr">
        <is>
          <t>Catalogo Minibombo 2026</t>
        </is>
      </c>
      <c r="O49" s="16">
        <f>IF(ISNUMBER(M49),ROUND(M49*(1-Condizioni!$B$2),2),"")</f>
        <v/>
      </c>
      <c r="P49" s="17" t="inlineStr">
        <is>
          <t>No</t>
        </is>
      </c>
    </row>
    <row r="50">
      <c r="A50" s="14" t="inlineStr">
        <is>
          <t>Minibombo</t>
        </is>
      </c>
      <c r="B50" s="14" t="inlineStr">
        <is>
          <t>Come riconoscere una forchetta e molti altri oggetti di casa</t>
        </is>
      </c>
      <c r="C50" s="14" t="inlineStr">
        <is>
          <t>Silvia Borando</t>
        </is>
      </c>
      <c r="D50" s="14" t="inlineStr">
        <is>
          <t>Catalogo Minibombo 2026</t>
        </is>
      </c>
      <c r="E50" s="14" t="inlineStr">
        <is>
          <t>dai 3 anni</t>
        </is>
      </c>
      <c r="F50" s="14" t="inlineStr">
        <is>
          <t>3-6 anni</t>
        </is>
      </c>
      <c r="G50" s="14" t="inlineStr">
        <is>
          <t>Albo illustrato</t>
        </is>
      </c>
      <c r="H50" s="14" t="inlineStr"/>
      <c r="I50" s="14" t="inlineStr">
        <is>
          <t>No</t>
        </is>
      </c>
      <c r="J50" s="14" t="inlineStr">
        <is>
          <t>Catalogo</t>
        </is>
      </c>
      <c r="K50" s="14" t="inlineStr">
        <is>
          <t>3-6 anni</t>
        </is>
      </c>
      <c r="L50" s="14" t="inlineStr">
        <is>
          <t>Catalogo Minibombo 2026 (ISBN 9791281054189)</t>
        </is>
      </c>
      <c r="M50" s="16" t="n">
        <v>14.9</v>
      </c>
      <c r="N50" s="14" t="inlineStr">
        <is>
          <t>Catalogo Minibombo 2026</t>
        </is>
      </c>
      <c r="O50" s="16">
        <f>IF(ISNUMBER(M50),ROUND(M50*(1-Condizioni!$B$2),2),"")</f>
        <v/>
      </c>
      <c r="P50" s="17" t="inlineStr">
        <is>
          <t>No</t>
        </is>
      </c>
    </row>
    <row r="51">
      <c r="A51" s="14" t="inlineStr">
        <is>
          <t>Minibombo</t>
        </is>
      </c>
      <c r="B51" s="14" t="inlineStr">
        <is>
          <t>Cose mai viste</t>
        </is>
      </c>
      <c r="C51" s="14" t="inlineStr">
        <is>
          <t>Silvia Borando</t>
        </is>
      </c>
      <c r="D51" s="14" t="inlineStr">
        <is>
          <t>Catalogo Minibombo 2026</t>
        </is>
      </c>
      <c r="E51" s="14" t="inlineStr">
        <is>
          <t>dai 3 anni</t>
        </is>
      </c>
      <c r="F51" s="14" t="inlineStr">
        <is>
          <t>3-6 anni</t>
        </is>
      </c>
      <c r="G51" s="14" t="inlineStr">
        <is>
          <t>Albo illustrato</t>
        </is>
      </c>
      <c r="H51" s="14" t="inlineStr"/>
      <c r="I51" s="14" t="inlineStr">
        <is>
          <t>No</t>
        </is>
      </c>
      <c r="J51" s="14" t="inlineStr">
        <is>
          <t>Catalogo</t>
        </is>
      </c>
      <c r="K51" s="14" t="inlineStr">
        <is>
          <t>3-6 anni</t>
        </is>
      </c>
      <c r="L51" s="14" t="inlineStr">
        <is>
          <t>Catalogo Minibombo 2026 (ISBN 9788898177462)</t>
        </is>
      </c>
      <c r="M51" s="16" t="n">
        <v>12.9</v>
      </c>
      <c r="N51" s="14" t="inlineStr">
        <is>
          <t>Catalogo Minibombo 2026</t>
        </is>
      </c>
      <c r="O51" s="16">
        <f>IF(ISNUMBER(M51),ROUND(M51*(1-Condizioni!$B$2),2),"")</f>
        <v/>
      </c>
      <c r="P51" s="17" t="inlineStr">
        <is>
          <t>No</t>
        </is>
      </c>
    </row>
    <row r="52">
      <c r="A52" s="14" t="inlineStr">
        <is>
          <t>Minibombo</t>
        </is>
      </c>
      <c r="B52" s="14" t="inlineStr">
        <is>
          <t>Dalla chioma</t>
        </is>
      </c>
      <c r="C52" s="14" t="inlineStr">
        <is>
          <t>Chiara Vignocchi, Paolo Chiarinotti e Silvia Borando</t>
        </is>
      </c>
      <c r="D52" s="14" t="inlineStr">
        <is>
          <t>Catalogo Minibombo 2026</t>
        </is>
      </c>
      <c r="E52" s="14" t="inlineStr">
        <is>
          <t>dai 3 anni</t>
        </is>
      </c>
      <c r="F52" s="14" t="inlineStr">
        <is>
          <t>3-6 anni</t>
        </is>
      </c>
      <c r="G52" s="14" t="inlineStr">
        <is>
          <t>Albo illustrato</t>
        </is>
      </c>
      <c r="H52" s="14" t="inlineStr"/>
      <c r="I52" s="14" t="inlineStr">
        <is>
          <t>No</t>
        </is>
      </c>
      <c r="J52" s="14" t="inlineStr">
        <is>
          <t>Catalogo</t>
        </is>
      </c>
      <c r="K52" s="14" t="inlineStr">
        <is>
          <t>3-6 anni</t>
        </is>
      </c>
      <c r="L52" s="14" t="inlineStr">
        <is>
          <t>Catalogo Minibombo 2026 (ISBN 9788898177226)</t>
        </is>
      </c>
      <c r="M52" s="16" t="n">
        <v>13.9</v>
      </c>
      <c r="N52" s="14" t="inlineStr">
        <is>
          <t>Catalogo Minibombo 2026</t>
        </is>
      </c>
      <c r="O52" s="16">
        <f>IF(ISNUMBER(M52),ROUND(M52*(1-Condizioni!$B$2),2),"")</f>
        <v/>
      </c>
      <c r="P52" s="17" t="inlineStr">
        <is>
          <t>No</t>
        </is>
      </c>
    </row>
    <row r="53">
      <c r="A53" s="14" t="inlineStr">
        <is>
          <t>Minibombo</t>
        </is>
      </c>
      <c r="B53" s="14" t="inlineStr">
        <is>
          <t>Due code mai viste</t>
        </is>
      </c>
      <c r="C53" s="14" t="inlineStr">
        <is>
          <t>Alberto Lot</t>
        </is>
      </c>
      <c r="D53" s="14" t="inlineStr">
        <is>
          <t>Catalogo Minibombo 2026</t>
        </is>
      </c>
      <c r="E53" s="14" t="inlineStr">
        <is>
          <t>dai 3 anni</t>
        </is>
      </c>
      <c r="F53" s="14" t="inlineStr">
        <is>
          <t>3-6 anni</t>
        </is>
      </c>
      <c r="G53" s="14" t="inlineStr">
        <is>
          <t>Albo illustrato</t>
        </is>
      </c>
      <c r="H53" s="14" t="inlineStr"/>
      <c r="I53" s="14" t="inlineStr">
        <is>
          <t>No</t>
        </is>
      </c>
      <c r="J53" s="14" t="inlineStr">
        <is>
          <t>Catalogo</t>
        </is>
      </c>
      <c r="K53" s="14" t="inlineStr">
        <is>
          <t>3-6 anni</t>
        </is>
      </c>
      <c r="L53" s="14" t="inlineStr">
        <is>
          <t>Catalogo Minibombo 2026 (ISBN 9788898177622)</t>
        </is>
      </c>
      <c r="M53" s="16" t="n">
        <v>12.9</v>
      </c>
      <c r="N53" s="14" t="inlineStr">
        <is>
          <t>Catalogo Minibombo 2026</t>
        </is>
      </c>
      <c r="O53" s="16">
        <f>IF(ISNUMBER(M53),ROUND(M53*(1-Condizioni!$B$2),2),"")</f>
        <v/>
      </c>
      <c r="P53" s="17" t="inlineStr">
        <is>
          <t>No</t>
        </is>
      </c>
    </row>
    <row r="54">
      <c r="A54" s="14" t="inlineStr">
        <is>
          <t>Minibombo</t>
        </is>
      </c>
      <c r="B54" s="14" t="inlineStr">
        <is>
          <t>Due cozze in riva al mare</t>
        </is>
      </c>
      <c r="C54" s="14" t="inlineStr">
        <is>
          <t>Marco Scalcione</t>
        </is>
      </c>
      <c r="D54" s="14" t="inlineStr">
        <is>
          <t>Catalogo Minibombo 2026</t>
        </is>
      </c>
      <c r="E54" s="14" t="inlineStr">
        <is>
          <t>dai 3 anni</t>
        </is>
      </c>
      <c r="F54" s="14" t="inlineStr">
        <is>
          <t>3-6 anni</t>
        </is>
      </c>
      <c r="G54" s="14" t="inlineStr">
        <is>
          <t>Albo illustrato</t>
        </is>
      </c>
      <c r="H54" s="14" t="inlineStr"/>
      <c r="I54" s="14" t="inlineStr">
        <is>
          <t>No</t>
        </is>
      </c>
      <c r="J54" s="14" t="inlineStr">
        <is>
          <t>Catalogo</t>
        </is>
      </c>
      <c r="K54" s="14" t="inlineStr">
        <is>
          <t>3-6 anni</t>
        </is>
      </c>
      <c r="L54" s="14" t="inlineStr">
        <is>
          <t>Catalogo Minibombo 2026 (ISBN 9788898177776)</t>
        </is>
      </c>
      <c r="M54" s="16" t="n">
        <v>13.9</v>
      </c>
      <c r="N54" s="14" t="inlineStr">
        <is>
          <t>Catalogo Minibombo 2026</t>
        </is>
      </c>
      <c r="O54" s="16">
        <f>IF(ISNUMBER(M54),ROUND(M54*(1-Condizioni!$B$2),2),"")</f>
        <v/>
      </c>
      <c r="P54" s="17" t="inlineStr">
        <is>
          <t>No</t>
        </is>
      </c>
    </row>
    <row r="55">
      <c r="A55" s="14" t="inlineStr">
        <is>
          <t>Minibombo</t>
        </is>
      </c>
      <c r="B55" s="14" t="inlineStr">
        <is>
          <t>Forme in gioco</t>
        </is>
      </c>
      <c r="C55" s="14" t="inlineStr">
        <is>
          <t>Silvia Borando</t>
        </is>
      </c>
      <c r="D55" s="14" t="inlineStr">
        <is>
          <t>Catalogo Minibombo 2026</t>
        </is>
      </c>
      <c r="E55" s="14" t="inlineStr">
        <is>
          <t>dai 3 anni</t>
        </is>
      </c>
      <c r="F55" s="14" t="inlineStr">
        <is>
          <t>3-6 anni</t>
        </is>
      </c>
      <c r="G55" s="14" t="inlineStr">
        <is>
          <t>Albo illustrato</t>
        </is>
      </c>
      <c r="H55" s="14" t="inlineStr"/>
      <c r="I55" s="14" t="inlineStr">
        <is>
          <t>No</t>
        </is>
      </c>
      <c r="J55" s="14" t="inlineStr">
        <is>
          <t>Catalogo</t>
        </is>
      </c>
      <c r="K55" s="14" t="inlineStr">
        <is>
          <t>3-6 anni</t>
        </is>
      </c>
      <c r="L55" s="14" t="inlineStr">
        <is>
          <t>Catalogo Minibombo 2026 (ISBN 9788898177134)</t>
        </is>
      </c>
      <c r="M55" s="16" t="n">
        <v>12.9</v>
      </c>
      <c r="N55" s="14" t="inlineStr">
        <is>
          <t>Catalogo Minibombo 2026</t>
        </is>
      </c>
      <c r="O55" s="16">
        <f>IF(ISNUMBER(M55),ROUND(M55*(1-Condizioni!$B$2),2),"")</f>
        <v/>
      </c>
      <c r="P55" s="17" t="inlineStr">
        <is>
          <t>No</t>
        </is>
      </c>
    </row>
    <row r="56">
      <c r="A56" s="14" t="inlineStr">
        <is>
          <t>Minibombo</t>
        </is>
      </c>
      <c r="B56" s="14" t="inlineStr">
        <is>
          <t>Gabbiano più gabbiano meno</t>
        </is>
      </c>
      <c r="C56" s="14" t="inlineStr">
        <is>
          <t>Silvia Borando e Marco Scalcione</t>
        </is>
      </c>
      <c r="D56" s="14" t="inlineStr">
        <is>
          <t>Catalogo Minibombo 2026</t>
        </is>
      </c>
      <c r="E56" s="14" t="inlineStr">
        <is>
          <t>dai 3 anni</t>
        </is>
      </c>
      <c r="F56" s="14" t="inlineStr">
        <is>
          <t>3-6 anni</t>
        </is>
      </c>
      <c r="G56" s="14" t="inlineStr">
        <is>
          <t>Albo illustrato</t>
        </is>
      </c>
      <c r="H56" s="14" t="inlineStr"/>
      <c r="I56" s="14" t="inlineStr">
        <is>
          <t>No</t>
        </is>
      </c>
      <c r="J56" s="14" t="inlineStr">
        <is>
          <t>Catalogo</t>
        </is>
      </c>
      <c r="K56" s="14" t="inlineStr">
        <is>
          <t>3-6 anni</t>
        </is>
      </c>
      <c r="L56" s="14" t="inlineStr">
        <is>
          <t>Catalogo Minibombo 2026 (ISBN 9788898177400)</t>
        </is>
      </c>
      <c r="M56" s="16" t="n">
        <v>13.9</v>
      </c>
      <c r="N56" s="14" t="inlineStr">
        <is>
          <t>Catalogo Minibombo 2026</t>
        </is>
      </c>
      <c r="O56" s="16">
        <f>IF(ISNUMBER(M56),ROUND(M56*(1-Condizioni!$B$2),2),"")</f>
        <v/>
      </c>
      <c r="P56" s="17" t="inlineStr">
        <is>
          <t>Sì</t>
        </is>
      </c>
    </row>
    <row r="57">
      <c r="A57" s="14" t="inlineStr">
        <is>
          <t>Minibombo</t>
        </is>
      </c>
      <c r="B57" s="14" t="inlineStr">
        <is>
          <t>Gatto Nero, Gatta Bianca</t>
        </is>
      </c>
      <c r="C57" s="14" t="inlineStr">
        <is>
          <t>Silvia Borando</t>
        </is>
      </c>
      <c r="D57" s="14" t="inlineStr">
        <is>
          <t>Catalogo Minibombo 2026</t>
        </is>
      </c>
      <c r="E57" s="14" t="inlineStr">
        <is>
          <t>dai 3 anni</t>
        </is>
      </c>
      <c r="F57" s="14" t="inlineStr">
        <is>
          <t>3-6 anni</t>
        </is>
      </c>
      <c r="G57" s="14" t="inlineStr">
        <is>
          <t>Albo illustrato</t>
        </is>
      </c>
      <c r="H57" s="14" t="inlineStr"/>
      <c r="I57" s="14" t="inlineStr">
        <is>
          <t>No</t>
        </is>
      </c>
      <c r="J57" s="14" t="inlineStr">
        <is>
          <t>Catalogo</t>
        </is>
      </c>
      <c r="K57" s="14" t="inlineStr">
        <is>
          <t>3-6 anni</t>
        </is>
      </c>
      <c r="L57" s="14" t="inlineStr">
        <is>
          <t>Catalogo Minibombo 2026 (ISBN 9788898177073)</t>
        </is>
      </c>
      <c r="M57" s="16" t="n">
        <v>12.9</v>
      </c>
      <c r="N57" s="14" t="inlineStr">
        <is>
          <t>Catalogo Minibombo 2026</t>
        </is>
      </c>
      <c r="O57" s="16">
        <f>IF(ISNUMBER(M57),ROUND(M57*(1-Condizioni!$B$2),2),"")</f>
        <v/>
      </c>
      <c r="P57" s="17" t="inlineStr">
        <is>
          <t>Sì</t>
        </is>
      </c>
    </row>
    <row r="58">
      <c r="A58" s="14" t="inlineStr">
        <is>
          <t>Minibombo</t>
        </is>
      </c>
      <c r="B58" s="14" t="inlineStr">
        <is>
          <t>Gelato!</t>
        </is>
      </c>
      <c r="C58" s="14" t="inlineStr">
        <is>
          <t>Elisabetta Pica e Silvia Borando</t>
        </is>
      </c>
      <c r="D58" s="14" t="inlineStr">
        <is>
          <t>Catalogo Minibombo 2026</t>
        </is>
      </c>
      <c r="E58" s="14" t="inlineStr">
        <is>
          <t>dai 3 anni</t>
        </is>
      </c>
      <c r="F58" s="14" t="inlineStr">
        <is>
          <t>3-6 anni</t>
        </is>
      </c>
      <c r="G58" s="14" t="inlineStr">
        <is>
          <t>Albo illustrato</t>
        </is>
      </c>
      <c r="H58" s="14" t="inlineStr"/>
      <c r="I58" s="14" t="inlineStr">
        <is>
          <t>No</t>
        </is>
      </c>
      <c r="J58" s="14" t="inlineStr">
        <is>
          <t>Catalogo</t>
        </is>
      </c>
      <c r="K58" s="14" t="inlineStr">
        <is>
          <t>3-6 anni</t>
        </is>
      </c>
      <c r="L58" s="14" t="inlineStr">
        <is>
          <t>Catalogo Minibombo 2026 (ISBN 9788898177431)</t>
        </is>
      </c>
      <c r="M58" s="16" t="n">
        <v>11.9</v>
      </c>
      <c r="N58" s="14" t="inlineStr">
        <is>
          <t>Catalogo Minibombo 2026</t>
        </is>
      </c>
      <c r="O58" s="16">
        <f>IF(ISNUMBER(M58),ROUND(M58*(1-Condizioni!$B$2),2),"")</f>
        <v/>
      </c>
      <c r="P58" s="17" t="inlineStr">
        <is>
          <t>No</t>
        </is>
      </c>
    </row>
    <row r="59">
      <c r="A59" s="14" t="inlineStr">
        <is>
          <t>Minibombo</t>
        </is>
      </c>
      <c r="B59" s="14" t="inlineStr">
        <is>
          <t>Guarda fuori</t>
        </is>
      </c>
      <c r="C59" s="14" t="inlineStr">
        <is>
          <t>Silvia Borando</t>
        </is>
      </c>
      <c r="D59" s="14" t="inlineStr">
        <is>
          <t>Catalogo Minibombo 2026</t>
        </is>
      </c>
      <c r="E59" s="14" t="inlineStr">
        <is>
          <t>dai 3 anni</t>
        </is>
      </c>
      <c r="F59" s="14" t="inlineStr">
        <is>
          <t>3-6 anni</t>
        </is>
      </c>
      <c r="G59" s="14" t="inlineStr">
        <is>
          <t>Albo illustrato</t>
        </is>
      </c>
      <c r="H59" s="14" t="inlineStr"/>
      <c r="I59" s="14" t="inlineStr">
        <is>
          <t>No</t>
        </is>
      </c>
      <c r="J59" s="14" t="inlineStr">
        <is>
          <t>Catalogo</t>
        </is>
      </c>
      <c r="K59" s="14" t="inlineStr">
        <is>
          <t>3-6 anni</t>
        </is>
      </c>
      <c r="L59" s="14" t="inlineStr">
        <is>
          <t>Catalogo Minibombo 2026 (ISBN 9788898177370)</t>
        </is>
      </c>
      <c r="M59" s="16" t="n">
        <v>12.9</v>
      </c>
      <c r="N59" s="14" t="inlineStr">
        <is>
          <t>Catalogo Minibombo 2026</t>
        </is>
      </c>
      <c r="O59" s="16">
        <f>IF(ISNUMBER(M59),ROUND(M59*(1-Condizioni!$B$2),2),"")</f>
        <v/>
      </c>
      <c r="P59" s="17" t="inlineStr">
        <is>
          <t>No</t>
        </is>
      </c>
    </row>
    <row r="60">
      <c r="A60" s="14" t="inlineStr">
        <is>
          <t>Minibombo</t>
        </is>
      </c>
      <c r="B60" s="14" t="inlineStr">
        <is>
          <t>Ha visto la mia coda?</t>
        </is>
      </c>
      <c r="C60" s="14" t="inlineStr">
        <is>
          <t>Alberto Lot</t>
        </is>
      </c>
      <c r="D60" s="14" t="inlineStr">
        <is>
          <t>Catalogo Minibombo 2026</t>
        </is>
      </c>
      <c r="E60" s="14" t="inlineStr">
        <is>
          <t>dai 3 anni</t>
        </is>
      </c>
      <c r="F60" s="14" t="inlineStr">
        <is>
          <t>3-6 anni</t>
        </is>
      </c>
      <c r="G60" s="14" t="inlineStr">
        <is>
          <t>Albo illustrato</t>
        </is>
      </c>
      <c r="H60" s="14" t="inlineStr"/>
      <c r="I60" s="14" t="inlineStr">
        <is>
          <t>No</t>
        </is>
      </c>
      <c r="J60" s="14" t="inlineStr">
        <is>
          <t>Catalogo</t>
        </is>
      </c>
      <c r="K60" s="14" t="inlineStr">
        <is>
          <t>3-6 anni</t>
        </is>
      </c>
      <c r="L60" s="14" t="inlineStr">
        <is>
          <t>Catalogo Minibombo 2026 (ISBN 9788898177547)</t>
        </is>
      </c>
      <c r="M60" s="16" t="n">
        <v>12.9</v>
      </c>
      <c r="N60" s="14" t="inlineStr">
        <is>
          <t>Catalogo Minibombo 2026</t>
        </is>
      </c>
      <c r="O60" s="16">
        <f>IF(ISNUMBER(M60),ROUND(M60*(1-Condizioni!$B$2),2),"")</f>
        <v/>
      </c>
      <c r="P60" s="17" t="inlineStr">
        <is>
          <t>Sì</t>
        </is>
      </c>
    </row>
    <row r="61">
      <c r="A61" s="14" t="inlineStr">
        <is>
          <t>Minibombo</t>
        </is>
      </c>
      <c r="B61" s="14" t="inlineStr">
        <is>
          <t>Ho visto una talpa</t>
        </is>
      </c>
      <c r="C61" s="14" t="inlineStr">
        <is>
          <t>Chiara Vignocchi e Silvia Borando</t>
        </is>
      </c>
      <c r="D61" s="14" t="inlineStr">
        <is>
          <t>Catalogo Minibombo 2026</t>
        </is>
      </c>
      <c r="E61" s="14" t="inlineStr">
        <is>
          <t>dai 3 anni</t>
        </is>
      </c>
      <c r="F61" s="14" t="inlineStr">
        <is>
          <t>3-6 anni</t>
        </is>
      </c>
      <c r="G61" s="14" t="inlineStr">
        <is>
          <t>Albo illustrato</t>
        </is>
      </c>
      <c r="H61" s="14" t="inlineStr"/>
      <c r="I61" s="14" t="inlineStr">
        <is>
          <t>No</t>
        </is>
      </c>
      <c r="J61" s="14" t="inlineStr">
        <is>
          <t>Catalogo</t>
        </is>
      </c>
      <c r="K61" s="14" t="inlineStr">
        <is>
          <t>3-6 anni</t>
        </is>
      </c>
      <c r="L61" s="14" t="inlineStr">
        <is>
          <t>Catalogo Minibombo 2026 (ISBN 9788898177455)</t>
        </is>
      </c>
      <c r="M61" s="16" t="n">
        <v>12.9</v>
      </c>
      <c r="N61" s="14" t="inlineStr">
        <is>
          <t>Catalogo Minibombo 2026</t>
        </is>
      </c>
      <c r="O61" s="16">
        <f>IF(ISNUMBER(M61),ROUND(M61*(1-Condizioni!$B$2),2),"")</f>
        <v/>
      </c>
      <c r="P61" s="17" t="inlineStr">
        <is>
          <t>Sì</t>
        </is>
      </c>
    </row>
    <row r="62">
      <c r="A62" s="14" t="inlineStr">
        <is>
          <t>Minibombo</t>
        </is>
      </c>
      <c r="B62" s="14" t="inlineStr">
        <is>
          <t>Il castoro, l’uovo e la gallina</t>
        </is>
      </c>
      <c r="C62" s="14" t="inlineStr">
        <is>
          <t>Eva Francescutto, Chiara Vignocchi e Silvia Borando</t>
        </is>
      </c>
      <c r="D62" s="14" t="inlineStr">
        <is>
          <t>Catalogo Minibombo 2026</t>
        </is>
      </c>
      <c r="E62" s="14" t="inlineStr">
        <is>
          <t>dai 3 anni</t>
        </is>
      </c>
      <c r="F62" s="14" t="inlineStr">
        <is>
          <t>3-6 anni</t>
        </is>
      </c>
      <c r="G62" s="14" t="inlineStr">
        <is>
          <t>Albo illustrato</t>
        </is>
      </c>
      <c r="H62" s="14" t="inlineStr"/>
      <c r="I62" s="14" t="inlineStr">
        <is>
          <t>No</t>
        </is>
      </c>
      <c r="J62" s="14" t="inlineStr">
        <is>
          <t>Catalogo</t>
        </is>
      </c>
      <c r="K62" s="14" t="inlineStr">
        <is>
          <t>3-6 anni</t>
        </is>
      </c>
      <c r="L62" s="14" t="inlineStr">
        <is>
          <t>Catalogo Minibombo 2026 (ISBN 9788898177509)</t>
        </is>
      </c>
      <c r="M62" s="16" t="n">
        <v>11.9</v>
      </c>
      <c r="N62" s="14" t="inlineStr">
        <is>
          <t>Catalogo Minibombo 2026</t>
        </is>
      </c>
      <c r="O62" s="16">
        <f>IF(ISNUMBER(M62),ROUND(M62*(1-Condizioni!$B$2),2),"")</f>
        <v/>
      </c>
      <c r="P62" s="17" t="inlineStr">
        <is>
          <t>No</t>
        </is>
      </c>
    </row>
    <row r="63">
      <c r="A63" s="14" t="inlineStr">
        <is>
          <t>Minibombo</t>
        </is>
      </c>
      <c r="B63" s="14" t="inlineStr">
        <is>
          <t>Il cespuglio</t>
        </is>
      </c>
      <c r="C63" s="14" t="inlineStr">
        <is>
          <t>Dario Pomodoro, Eva Francescutto e Silvia Borando</t>
        </is>
      </c>
      <c r="D63" s="14" t="inlineStr">
        <is>
          <t>Catalogo Minibombo 2026</t>
        </is>
      </c>
      <c r="E63" s="14" t="inlineStr">
        <is>
          <t>dai 3 anni</t>
        </is>
      </c>
      <c r="F63" s="14" t="inlineStr">
        <is>
          <t>3-6 anni</t>
        </is>
      </c>
      <c r="G63" s="14" t="inlineStr">
        <is>
          <t>Albo illustrato</t>
        </is>
      </c>
      <c r="H63" s="14" t="inlineStr"/>
      <c r="I63" s="14" t="inlineStr">
        <is>
          <t>No</t>
        </is>
      </c>
      <c r="J63" s="14" t="inlineStr">
        <is>
          <t>Catalogo</t>
        </is>
      </c>
      <c r="K63" s="14" t="inlineStr">
        <is>
          <t>3-6 anni</t>
        </is>
      </c>
      <c r="L63" s="14" t="inlineStr">
        <is>
          <t>Catalogo Minibombo 2026 (ISBN 9791281054196)</t>
        </is>
      </c>
      <c r="M63" s="16" t="n">
        <v>13.9</v>
      </c>
      <c r="N63" s="14" t="inlineStr">
        <is>
          <t>Catalogo Minibombo 2026</t>
        </is>
      </c>
      <c r="O63" s="16">
        <f>IF(ISNUMBER(M63),ROUND(M63*(1-Condizioni!$B$2),2),"")</f>
        <v/>
      </c>
      <c r="P63" s="17" t="inlineStr">
        <is>
          <t>Sì</t>
        </is>
      </c>
    </row>
    <row r="64">
      <c r="A64" s="14" t="inlineStr">
        <is>
          <t>Minibombo</t>
        </is>
      </c>
      <c r="B64" s="14" t="inlineStr">
        <is>
          <t>Il dubbio</t>
        </is>
      </c>
      <c r="C64" s="14" t="inlineStr">
        <is>
          <t>Silvia Borando e Alberto Lot</t>
        </is>
      </c>
      <c r="D64" s="14" t="inlineStr">
        <is>
          <t>Catalogo Minibombo 2026</t>
        </is>
      </c>
      <c r="E64" s="14" t="inlineStr">
        <is>
          <t>dai 3 anni</t>
        </is>
      </c>
      <c r="F64" s="14" t="inlineStr">
        <is>
          <t>3-6 anni</t>
        </is>
      </c>
      <c r="G64" s="14" t="inlineStr">
        <is>
          <t>Albo illustrato</t>
        </is>
      </c>
      <c r="H64" s="14" t="inlineStr"/>
      <c r="I64" s="14" t="inlineStr">
        <is>
          <t>No</t>
        </is>
      </c>
      <c r="J64" s="14" t="inlineStr">
        <is>
          <t>Catalogo</t>
        </is>
      </c>
      <c r="K64" s="14" t="inlineStr">
        <is>
          <t>3-6 anni</t>
        </is>
      </c>
      <c r="L64" s="14" t="inlineStr">
        <is>
          <t>Catalogo Minibombo 2026 (ISBN 9788898177844)</t>
        </is>
      </c>
      <c r="M64" s="16" t="n">
        <v>13.9</v>
      </c>
      <c r="N64" s="14" t="inlineStr">
        <is>
          <t>Catalogo Minibombo 2026</t>
        </is>
      </c>
      <c r="O64" s="16">
        <f>IF(ISNUMBER(M64),ROUND(M64*(1-Condizioni!$B$2),2),"")</f>
        <v/>
      </c>
      <c r="P64" s="17" t="inlineStr">
        <is>
          <t>Sì</t>
        </is>
      </c>
    </row>
    <row r="65">
      <c r="A65" s="14" t="inlineStr">
        <is>
          <t>Minibombo</t>
        </is>
      </c>
      <c r="B65" s="14" t="inlineStr">
        <is>
          <t>Il grande debutto</t>
        </is>
      </c>
      <c r="C65" s="14" t="inlineStr">
        <is>
          <t>Eva Francescutto e Alberto Lot</t>
        </is>
      </c>
      <c r="D65" s="14" t="inlineStr">
        <is>
          <t>Catalogo Minibombo 2026</t>
        </is>
      </c>
      <c r="E65" s="14" t="inlineStr">
        <is>
          <t>dai 3 anni</t>
        </is>
      </c>
      <c r="F65" s="14" t="inlineStr">
        <is>
          <t>3-6 anni</t>
        </is>
      </c>
      <c r="G65" s="14" t="inlineStr">
        <is>
          <t>Albo illustrato</t>
        </is>
      </c>
      <c r="H65" s="14" t="inlineStr"/>
      <c r="I65" s="14" t="inlineStr">
        <is>
          <t>No</t>
        </is>
      </c>
      <c r="J65" s="14" t="inlineStr">
        <is>
          <t>Catalogo</t>
        </is>
      </c>
      <c r="K65" s="14" t="inlineStr">
        <is>
          <t>3-6 anni</t>
        </is>
      </c>
      <c r="L65" s="14" t="inlineStr">
        <is>
          <t>Catalogo Minibombo 2026 (ISBN 9788898177554)</t>
        </is>
      </c>
      <c r="M65" s="16" t="n">
        <v>11.9</v>
      </c>
      <c r="N65" s="14" t="inlineStr">
        <is>
          <t>Catalogo Minibombo 2026</t>
        </is>
      </c>
      <c r="O65" s="16">
        <f>IF(ISNUMBER(M65),ROUND(M65*(1-Condizioni!$B$2),2),"")</f>
        <v/>
      </c>
      <c r="P65" s="17" t="inlineStr">
        <is>
          <t>No</t>
        </is>
      </c>
    </row>
    <row r="66">
      <c r="A66" s="14" t="inlineStr">
        <is>
          <t>Minibombo</t>
        </is>
      </c>
      <c r="B66" s="14" t="inlineStr">
        <is>
          <t>Il libro gatto – versione in simboli (InBook)</t>
        </is>
      </c>
      <c r="C66" s="14" t="inlineStr">
        <is>
          <t>traduzione in simboli a cura di reti di biblioteche</t>
        </is>
      </c>
      <c r="D66" s="14" t="inlineStr">
        <is>
          <t>InBook (non edizione Minibombo)</t>
        </is>
      </c>
      <c r="E66" s="14" t="inlineStr">
        <is>
          <t>n.d.</t>
        </is>
      </c>
      <c r="F66" s="14" t="inlineStr">
        <is>
          <t>3-6 anni</t>
        </is>
      </c>
      <c r="G66" s="14" t="inlineStr">
        <is>
          <t>Libro in simboli (CAA)</t>
        </is>
      </c>
      <c r="H66" s="14" t="inlineStr">
        <is>
          <t>Inclusione: libro in simboli</t>
        </is>
      </c>
      <c r="I66" s="18" t="inlineStr">
        <is>
          <t>Sì</t>
        </is>
      </c>
      <c r="J66" s="14" t="inlineStr">
        <is>
          <t>Tolto: versione in simboli InBook, non in vendita</t>
        </is>
      </c>
      <c r="K66" s="14" t="inlineStr">
        <is>
          <t>3-6 anni, CAA</t>
        </is>
      </c>
      <c r="L66" s="14" t="inlineStr">
        <is>
          <t>https://www.055firenze.it/art/216489/libri-in-simboli-nasce-la-prima-Rete-Operativa-Toscana-delle-Biblioteche-Inbook-libri-in-simboli</t>
        </is>
      </c>
      <c r="M66" s="19" t="n"/>
      <c r="N66" s="14" t="inlineStr"/>
      <c r="O66" s="16">
        <f>IF(ISNUMBER(M66),ROUND(M66*(1-Condizioni!$B$2),2),"")</f>
        <v/>
      </c>
      <c r="P66" s="17" t="inlineStr">
        <is>
          <t>No</t>
        </is>
      </c>
    </row>
    <row r="67">
      <c r="A67" s="14" t="inlineStr">
        <is>
          <t>Minibombo</t>
        </is>
      </c>
      <c r="B67" s="14" t="inlineStr">
        <is>
          <t>Il ristorante degli elefanti</t>
        </is>
      </c>
      <c r="C67" s="14" t="inlineStr">
        <is>
          <t>Alberto Lot</t>
        </is>
      </c>
      <c r="D67" s="14" t="inlineStr">
        <is>
          <t>Catalogo Minibombo 2026</t>
        </is>
      </c>
      <c r="E67" s="14" t="inlineStr">
        <is>
          <t>dai 3 anni</t>
        </is>
      </c>
      <c r="F67" s="14" t="inlineStr">
        <is>
          <t>3-6 anni</t>
        </is>
      </c>
      <c r="G67" s="14" t="inlineStr">
        <is>
          <t>Albo illustrato</t>
        </is>
      </c>
      <c r="H67" s="14" t="inlineStr"/>
      <c r="I67" s="14" t="inlineStr">
        <is>
          <t>No</t>
        </is>
      </c>
      <c r="J67" s="14" t="inlineStr">
        <is>
          <t>Catalogo</t>
        </is>
      </c>
      <c r="K67" s="14" t="inlineStr">
        <is>
          <t>3-6 anni</t>
        </is>
      </c>
      <c r="L67" s="14" t="inlineStr">
        <is>
          <t>Catalogo Minibombo 2026 (ISBN 9788898177691)</t>
        </is>
      </c>
      <c r="M67" s="16" t="n">
        <v>12.9</v>
      </c>
      <c r="N67" s="14" t="inlineStr">
        <is>
          <t>Catalogo Minibombo 2026</t>
        </is>
      </c>
      <c r="O67" s="16">
        <f>IF(ISNUMBER(M67),ROUND(M67*(1-Condizioni!$B$2),2),"")</f>
        <v/>
      </c>
      <c r="P67" s="17" t="inlineStr">
        <is>
          <t>No</t>
        </is>
      </c>
    </row>
    <row r="68">
      <c r="A68" s="14" t="inlineStr">
        <is>
          <t>Minibombo</t>
        </is>
      </c>
      <c r="B68" s="14" t="inlineStr">
        <is>
          <t>Ned e Ted</t>
        </is>
      </c>
      <c r="C68" s="14" t="inlineStr">
        <is>
          <t>Angelo Mozzillo ed Elisa Marzano</t>
        </is>
      </c>
      <c r="D68" s="14" t="inlineStr">
        <is>
          <t>Catalogo Minibombo 2026</t>
        </is>
      </c>
      <c r="E68" s="14" t="inlineStr">
        <is>
          <t>dai 3 anni</t>
        </is>
      </c>
      <c r="F68" s="14" t="inlineStr">
        <is>
          <t>3-6 anni</t>
        </is>
      </c>
      <c r="G68" s="14" t="inlineStr">
        <is>
          <t>Albo illustrato</t>
        </is>
      </c>
      <c r="H68" s="14" t="inlineStr"/>
      <c r="I68" s="14" t="inlineStr">
        <is>
          <t>No</t>
        </is>
      </c>
      <c r="J68" s="14" t="inlineStr">
        <is>
          <t>Catalogo</t>
        </is>
      </c>
      <c r="K68" s="14" t="inlineStr">
        <is>
          <t>3-6 anni</t>
        </is>
      </c>
      <c r="L68" s="14" t="inlineStr">
        <is>
          <t>Catalogo Minibombo 2026 (ISBN 9791281054141)</t>
        </is>
      </c>
      <c r="M68" s="16" t="n">
        <v>12.9</v>
      </c>
      <c r="N68" s="14" t="inlineStr">
        <is>
          <t>Catalogo Minibombo 2026</t>
        </is>
      </c>
      <c r="O68" s="16">
        <f>IF(ISNUMBER(M68),ROUND(M68*(1-Condizioni!$B$2),2),"")</f>
        <v/>
      </c>
      <c r="P68" s="17" t="inlineStr">
        <is>
          <t>No</t>
        </is>
      </c>
    </row>
    <row r="69">
      <c r="A69" s="14" t="inlineStr">
        <is>
          <t>Minibombo</t>
        </is>
      </c>
      <c r="B69" s="14" t="inlineStr">
        <is>
          <t>Orso, buco! – versione in simboli (InBook)</t>
        </is>
      </c>
      <c r="C69" s="14" t="inlineStr">
        <is>
          <t>traduzione in simboli a cura di reti di biblioteche</t>
        </is>
      </c>
      <c r="D69" s="14" t="inlineStr">
        <is>
          <t>InBook (non edizione Minibombo)</t>
        </is>
      </c>
      <c r="E69" s="14" t="inlineStr">
        <is>
          <t>n.d.</t>
        </is>
      </c>
      <c r="F69" s="14" t="inlineStr">
        <is>
          <t>3-6 anni</t>
        </is>
      </c>
      <c r="G69" s="14" t="inlineStr">
        <is>
          <t>Libro in simboli (CAA)</t>
        </is>
      </c>
      <c r="H69" s="14" t="inlineStr">
        <is>
          <t>Inclusione: libro in simboli</t>
        </is>
      </c>
      <c r="I69" s="18" t="inlineStr">
        <is>
          <t>Sì</t>
        </is>
      </c>
      <c r="J69" s="14" t="inlineStr">
        <is>
          <t>Tolto: versione in simboli InBook, non in vendita</t>
        </is>
      </c>
      <c r="K69" s="14" t="inlineStr">
        <is>
          <t>3-6 anni, CAA</t>
        </is>
      </c>
      <c r="L69" s="14" t="inlineStr">
        <is>
          <t>https://www.055firenze.it/art/216489/libri-in-simboli-nasce-la-prima-Rete-Operativa-Toscana-delle-Biblioteche-Inbook-libri-in-simboli</t>
        </is>
      </c>
      <c r="M69" s="19" t="n"/>
      <c r="N69" s="14" t="inlineStr"/>
      <c r="O69" s="16">
        <f>IF(ISNUMBER(M69),ROUND(M69*(1-Condizioni!$B$2),2),"")</f>
        <v/>
      </c>
      <c r="P69" s="17" t="inlineStr">
        <is>
          <t>No</t>
        </is>
      </c>
    </row>
    <row r="70">
      <c r="A70" s="14" t="inlineStr">
        <is>
          <t>Minibombo</t>
        </is>
      </c>
      <c r="B70" s="14" t="inlineStr">
        <is>
          <t>Questo libro fa di tutto</t>
        </is>
      </c>
      <c r="C70" s="14" t="inlineStr">
        <is>
          <t>Silvia Borando</t>
        </is>
      </c>
      <c r="D70" s="14" t="inlineStr">
        <is>
          <t>Catalogo Minibombo 2026</t>
        </is>
      </c>
      <c r="E70" s="14" t="inlineStr">
        <is>
          <t>dai 3 anni</t>
        </is>
      </c>
      <c r="F70" s="14" t="inlineStr">
        <is>
          <t>3-6 anni</t>
        </is>
      </c>
      <c r="G70" s="14" t="inlineStr">
        <is>
          <t>Albo illustrato</t>
        </is>
      </c>
      <c r="H70" s="14" t="inlineStr"/>
      <c r="I70" s="14" t="inlineStr">
        <is>
          <t>No</t>
        </is>
      </c>
      <c r="J70" s="14" t="inlineStr">
        <is>
          <t>Catalogo</t>
        </is>
      </c>
      <c r="K70" s="14" t="inlineStr">
        <is>
          <t>3-6 anni</t>
        </is>
      </c>
      <c r="L70" s="14" t="inlineStr">
        <is>
          <t>Catalogo Minibombo 2026 (ISBN 9788898177318)</t>
        </is>
      </c>
      <c r="M70" s="16" t="n">
        <v>11.9</v>
      </c>
      <c r="N70" s="14" t="inlineStr">
        <is>
          <t>Catalogo Minibombo 2026</t>
        </is>
      </c>
      <c r="O70" s="16">
        <f>IF(ISNUMBER(M70),ROUND(M70*(1-Condizioni!$B$2),2),"")</f>
        <v/>
      </c>
      <c r="P70" s="17" t="inlineStr">
        <is>
          <t>No</t>
        </is>
      </c>
    </row>
    <row r="71">
      <c r="A71" s="14" t="inlineStr">
        <is>
          <t>Minibombo</t>
        </is>
      </c>
      <c r="B71" s="14" t="inlineStr">
        <is>
          <t>Se incontrassi un orso</t>
        </is>
      </c>
      <c r="C71" s="14" t="inlineStr">
        <is>
          <t>Silvia Borando</t>
        </is>
      </c>
      <c r="D71" s="14" t="inlineStr">
        <is>
          <t>Catalogo Minibombo 2026</t>
        </is>
      </c>
      <c r="E71" s="14" t="inlineStr">
        <is>
          <t>dai 3 anni</t>
        </is>
      </c>
      <c r="F71" s="14" t="inlineStr">
        <is>
          <t>3-6 anni</t>
        </is>
      </c>
      <c r="G71" s="14" t="inlineStr">
        <is>
          <t>Albo illustrato</t>
        </is>
      </c>
      <c r="H71" s="14" t="inlineStr"/>
      <c r="I71" s="14" t="inlineStr">
        <is>
          <t>No</t>
        </is>
      </c>
      <c r="J71" s="14" t="inlineStr">
        <is>
          <t>Catalogo</t>
        </is>
      </c>
      <c r="K71" s="14" t="inlineStr">
        <is>
          <t>3-6 anni</t>
        </is>
      </c>
      <c r="L71" s="14" t="inlineStr">
        <is>
          <t>Catalogo Minibombo 2026 (ISBN 9788898177769)</t>
        </is>
      </c>
      <c r="M71" s="16" t="n">
        <v>12.9</v>
      </c>
      <c r="N71" s="14" t="inlineStr">
        <is>
          <t>Catalogo Minibombo 2026</t>
        </is>
      </c>
      <c r="O71" s="16">
        <f>IF(ISNUMBER(M71),ROUND(M71*(1-Condizioni!$B$2),2),"")</f>
        <v/>
      </c>
      <c r="P71" s="17" t="inlineStr">
        <is>
          <t>No</t>
        </is>
      </c>
    </row>
    <row r="72">
      <c r="A72" s="14" t="inlineStr">
        <is>
          <t>Minibombo</t>
        </is>
      </c>
      <c r="B72" s="14" t="inlineStr">
        <is>
          <t>Solo un puntino</t>
        </is>
      </c>
      <c r="C72" s="14" t="inlineStr">
        <is>
          <t>Elisabetta Pica, Chiara Vignocchi e Silvia Borando</t>
        </is>
      </c>
      <c r="D72" s="14" t="inlineStr">
        <is>
          <t>Catalogo Minibombo 2026</t>
        </is>
      </c>
      <c r="E72" s="14" t="inlineStr">
        <is>
          <t>dai 3 anni</t>
        </is>
      </c>
      <c r="F72" s="14" t="inlineStr">
        <is>
          <t>3-6 anni</t>
        </is>
      </c>
      <c r="G72" s="14" t="inlineStr">
        <is>
          <t>Albo illustrato</t>
        </is>
      </c>
      <c r="H72" s="14" t="inlineStr"/>
      <c r="I72" s="14" t="inlineStr">
        <is>
          <t>No</t>
        </is>
      </c>
      <c r="J72" s="14" t="inlineStr">
        <is>
          <t>Catalogo</t>
        </is>
      </c>
      <c r="K72" s="14" t="inlineStr">
        <is>
          <t>3-6 anni</t>
        </is>
      </c>
      <c r="L72" s="14" t="inlineStr">
        <is>
          <t>Catalogo Minibombo 2026 (ISBN 9788898177158)</t>
        </is>
      </c>
      <c r="M72" s="16" t="n">
        <v>11.9</v>
      </c>
      <c r="N72" s="14" t="inlineStr">
        <is>
          <t>Catalogo Minibombo 2026</t>
        </is>
      </c>
      <c r="O72" s="16">
        <f>IF(ISNUMBER(M72),ROUND(M72*(1-Condizioni!$B$2),2),"")</f>
        <v/>
      </c>
      <c r="P72" s="17" t="inlineStr">
        <is>
          <t>No</t>
        </is>
      </c>
    </row>
    <row r="73">
      <c r="A73" s="14" t="inlineStr">
        <is>
          <t>Minibombo</t>
        </is>
      </c>
      <c r="B73" s="14" t="inlineStr">
        <is>
          <t>Storie brevi</t>
        </is>
      </c>
      <c r="C73" s="14" t="inlineStr">
        <is>
          <t>Silvia Borando</t>
        </is>
      </c>
      <c r="D73" s="14" t="inlineStr">
        <is>
          <t>Catalogo Minibombo 2026</t>
        </is>
      </c>
      <c r="E73" s="14" t="inlineStr">
        <is>
          <t>dai 3 anni</t>
        </is>
      </c>
      <c r="F73" s="14" t="inlineStr">
        <is>
          <t>3-6 anni</t>
        </is>
      </c>
      <c r="G73" s="14" t="inlineStr">
        <is>
          <t>Albo illustrato</t>
        </is>
      </c>
      <c r="H73" s="14" t="inlineStr"/>
      <c r="I73" s="14" t="inlineStr">
        <is>
          <t>No</t>
        </is>
      </c>
      <c r="J73" s="14" t="inlineStr">
        <is>
          <t>Catalogo</t>
        </is>
      </c>
      <c r="K73" s="14" t="inlineStr">
        <is>
          <t>3-6 anni</t>
        </is>
      </c>
      <c r="L73" s="14" t="inlineStr">
        <is>
          <t>Catalogo Minibombo 2026 (ISBN 9788898177875)</t>
        </is>
      </c>
      <c r="M73" s="16" t="n">
        <v>12.9</v>
      </c>
      <c r="N73" s="14" t="inlineStr">
        <is>
          <t>Catalogo Minibombo 2026</t>
        </is>
      </c>
      <c r="O73" s="16">
        <f>IF(ISNUMBER(M73),ROUND(M73*(1-Condizioni!$B$2),2),"")</f>
        <v/>
      </c>
      <c r="P73" s="17" t="inlineStr">
        <is>
          <t>Sì</t>
        </is>
      </c>
    </row>
    <row r="74">
      <c r="A74" s="14" t="inlineStr">
        <is>
          <t>Minibombo</t>
        </is>
      </c>
      <c r="B74" s="14" t="inlineStr">
        <is>
          <t>Tutto il contrario</t>
        </is>
      </c>
      <c r="C74" s="14" t="inlineStr">
        <is>
          <t>Silvia Borando</t>
        </is>
      </c>
      <c r="D74" s="14" t="inlineStr">
        <is>
          <t>Catalogo Minibombo 2026</t>
        </is>
      </c>
      <c r="E74" s="14" t="inlineStr">
        <is>
          <t>dai 3 anni</t>
        </is>
      </c>
      <c r="F74" s="14" t="inlineStr">
        <is>
          <t>3-6 anni</t>
        </is>
      </c>
      <c r="G74" s="14" t="inlineStr">
        <is>
          <t>Albo illustrato</t>
        </is>
      </c>
      <c r="H74" s="14" t="inlineStr"/>
      <c r="I74" s="14" t="inlineStr">
        <is>
          <t>No</t>
        </is>
      </c>
      <c r="J74" s="14" t="inlineStr">
        <is>
          <t>Catalogo</t>
        </is>
      </c>
      <c r="K74" s="14" t="inlineStr">
        <is>
          <t>3-6 anni</t>
        </is>
      </c>
      <c r="L74" s="14" t="inlineStr">
        <is>
          <t>Catalogo Minibombo 2026 (ISBN 9788898177615)</t>
        </is>
      </c>
      <c r="M74" s="16" t="n">
        <v>12.9</v>
      </c>
      <c r="N74" s="14" t="inlineStr">
        <is>
          <t>Catalogo Minibombo 2026</t>
        </is>
      </c>
      <c r="O74" s="16">
        <f>IF(ISNUMBER(M74),ROUND(M74*(1-Condizioni!$B$2),2),"")</f>
        <v/>
      </c>
      <c r="P74" s="17" t="inlineStr">
        <is>
          <t>No</t>
        </is>
      </c>
    </row>
    <row r="75">
      <c r="A75" s="14" t="inlineStr">
        <is>
          <t>Minibombo</t>
        </is>
      </c>
      <c r="B75" s="14" t="inlineStr">
        <is>
          <t>Un colore bellissimo</t>
        </is>
      </c>
      <c r="C75" s="14" t="inlineStr">
        <is>
          <t>Marco Scalcione</t>
        </is>
      </c>
      <c r="D75" s="14" t="inlineStr">
        <is>
          <t>Catalogo Minibombo 2026</t>
        </is>
      </c>
      <c r="E75" s="14" t="inlineStr">
        <is>
          <t>dai 3 anni</t>
        </is>
      </c>
      <c r="F75" s="14" t="inlineStr">
        <is>
          <t>3-6 anni</t>
        </is>
      </c>
      <c r="G75" s="14" t="inlineStr">
        <is>
          <t>Albo illustrato</t>
        </is>
      </c>
      <c r="H75" s="14" t="inlineStr"/>
      <c r="I75" s="14" t="inlineStr">
        <is>
          <t>No</t>
        </is>
      </c>
      <c r="J75" s="14" t="inlineStr">
        <is>
          <t>Catalogo</t>
        </is>
      </c>
      <c r="K75" s="14" t="inlineStr">
        <is>
          <t>3-6 anni</t>
        </is>
      </c>
      <c r="L75" s="14" t="inlineStr">
        <is>
          <t>Catalogo Minibombo 2026 (ISBN 9788898177448)</t>
        </is>
      </c>
      <c r="M75" s="16" t="n">
        <v>11.9</v>
      </c>
      <c r="N75" s="14" t="inlineStr">
        <is>
          <t>Catalogo Minibombo 2026</t>
        </is>
      </c>
      <c r="O75" s="16">
        <f>IF(ISNUMBER(M75),ROUND(M75*(1-Condizioni!$B$2),2),"")</f>
        <v/>
      </c>
      <c r="P75" s="17" t="inlineStr">
        <is>
          <t>No</t>
        </is>
      </c>
    </row>
    <row r="76">
      <c r="A76" s="14" t="inlineStr">
        <is>
          <t>Minibombo</t>
        </is>
      </c>
      <c r="B76" s="14" t="inlineStr">
        <is>
          <t>Un mare di tristezza</t>
        </is>
      </c>
      <c r="C76" s="14" t="inlineStr">
        <is>
          <t>Anna Iudica, Chiara Vignocchi e Silvia Borando</t>
        </is>
      </c>
      <c r="D76" s="14" t="inlineStr">
        <is>
          <t>Catalogo Minibombo 2026</t>
        </is>
      </c>
      <c r="E76" s="14" t="inlineStr">
        <is>
          <t>dai 3 anni</t>
        </is>
      </c>
      <c r="F76" s="14" t="inlineStr">
        <is>
          <t>3-6 anni</t>
        </is>
      </c>
      <c r="G76" s="14" t="inlineStr">
        <is>
          <t>Albo illustrato</t>
        </is>
      </c>
      <c r="H76" s="14" t="inlineStr"/>
      <c r="I76" s="14" t="inlineStr">
        <is>
          <t>No</t>
        </is>
      </c>
      <c r="J76" s="14" t="inlineStr">
        <is>
          <t>Catalogo</t>
        </is>
      </c>
      <c r="K76" s="14" t="inlineStr">
        <is>
          <t>3-6 anni</t>
        </is>
      </c>
      <c r="L76" s="14" t="inlineStr">
        <is>
          <t>Catalogo Minibombo 2026 (ISBN 9788898177240)</t>
        </is>
      </c>
      <c r="M76" s="16" t="n">
        <v>11.9</v>
      </c>
      <c r="N76" s="14" t="inlineStr">
        <is>
          <t>Catalogo Minibombo 2026</t>
        </is>
      </c>
      <c r="O76" s="16">
        <f>IF(ISNUMBER(M76),ROUND(M76*(1-Condizioni!$B$2),2),"")</f>
        <v/>
      </c>
      <c r="P76" s="17" t="inlineStr">
        <is>
          <t>No</t>
        </is>
      </c>
    </row>
    <row r="77">
      <c r="A77" s="14" t="inlineStr">
        <is>
          <t>Minibombo</t>
        </is>
      </c>
      <c r="B77" s="14" t="inlineStr">
        <is>
          <t>Un sasso nella strada</t>
        </is>
      </c>
      <c r="C77" s="14" t="inlineStr">
        <is>
          <t>Ilaria Antonini, Barbara Balduzzi e Marco Scalcione</t>
        </is>
      </c>
      <c r="D77" s="14" t="inlineStr">
        <is>
          <t>Catalogo Minibombo 2026</t>
        </is>
      </c>
      <c r="E77" s="14" t="inlineStr">
        <is>
          <t>dai 3 anni</t>
        </is>
      </c>
      <c r="F77" s="14" t="inlineStr">
        <is>
          <t>3-6 anni</t>
        </is>
      </c>
      <c r="G77" s="14" t="inlineStr">
        <is>
          <t>Albo illustrato</t>
        </is>
      </c>
      <c r="H77" s="14" t="inlineStr"/>
      <c r="I77" s="14" t="inlineStr">
        <is>
          <t>No</t>
        </is>
      </c>
      <c r="J77" s="14" t="inlineStr">
        <is>
          <t>Catalogo</t>
        </is>
      </c>
      <c r="K77" s="14" t="inlineStr">
        <is>
          <t>3-6 anni</t>
        </is>
      </c>
      <c r="L77" s="14" t="inlineStr">
        <is>
          <t>Catalogo Minibombo 2026 (ISBN 9788898177233)</t>
        </is>
      </c>
      <c r="M77" s="16" t="n">
        <v>11.9</v>
      </c>
      <c r="N77" s="14" t="inlineStr">
        <is>
          <t>Catalogo Minibombo 2026</t>
        </is>
      </c>
      <c r="O77" s="16">
        <f>IF(ISNUMBER(M77),ROUND(M77*(1-Condizioni!$B$2),2),"")</f>
        <v/>
      </c>
      <c r="P77" s="17" t="inlineStr">
        <is>
          <t>No</t>
        </is>
      </c>
    </row>
    <row r="78">
      <c r="A78" s="14" t="inlineStr">
        <is>
          <t>Minibombo</t>
        </is>
      </c>
      <c r="B78" s="14" t="inlineStr">
        <is>
          <t>Un segreto importante</t>
        </is>
      </c>
      <c r="C78" s="14" t="inlineStr">
        <is>
          <t>Angelo Mozzillo ed Elisa Marzano</t>
        </is>
      </c>
      <c r="D78" s="14" t="inlineStr">
        <is>
          <t>Catalogo Minibombo 2026</t>
        </is>
      </c>
      <c r="E78" s="14" t="inlineStr">
        <is>
          <t>dai 3 anni</t>
        </is>
      </c>
      <c r="F78" s="14" t="inlineStr">
        <is>
          <t>3-6 anni</t>
        </is>
      </c>
      <c r="G78" s="14" t="inlineStr">
        <is>
          <t>Albo illustrato</t>
        </is>
      </c>
      <c r="H78" s="14" t="inlineStr"/>
      <c r="I78" s="14" t="inlineStr">
        <is>
          <t>No</t>
        </is>
      </c>
      <c r="J78" s="14" t="inlineStr">
        <is>
          <t>Catalogo</t>
        </is>
      </c>
      <c r="K78" s="14" t="inlineStr">
        <is>
          <t>3-6 anni</t>
        </is>
      </c>
      <c r="L78" s="14" t="inlineStr">
        <is>
          <t>Catalogo Minibombo 2026 (ISBN 9788898177882)</t>
        </is>
      </c>
      <c r="M78" s="16" t="n">
        <v>13.9</v>
      </c>
      <c r="N78" s="14" t="inlineStr">
        <is>
          <t>Catalogo Minibombo 2026</t>
        </is>
      </c>
      <c r="O78" s="16">
        <f>IF(ISNUMBER(M78),ROUND(M78*(1-Condizioni!$B$2),2),"")</f>
        <v/>
      </c>
      <c r="P78" s="17" t="inlineStr">
        <is>
          <t>Sì</t>
        </is>
      </c>
    </row>
  </sheetData>
  <autoFilter ref="A1:P78"/>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People</t>
        </is>
      </c>
      <c r="B2" s="14" t="inlineStr">
        <is>
          <t>Immagina. Crea. Vivi!</t>
        </is>
      </c>
      <c r="C2" s="14" t="inlineStr">
        <is>
          <t>n.d.</t>
        </is>
      </c>
      <c r="D2" s="14" t="inlineStr">
        <is>
          <t>Kids</t>
        </is>
      </c>
      <c r="E2" s="14" t="inlineStr">
        <is>
          <t>da 5 anni</t>
        </is>
      </c>
      <c r="F2" s="14" t="inlineStr">
        <is>
          <t>3-6 anni</t>
        </is>
      </c>
      <c r="G2" s="14" t="inlineStr">
        <is>
          <t>Albo illustrato</t>
        </is>
      </c>
      <c r="H2" s="14" t="inlineStr"/>
      <c r="I2" s="14" t="inlineStr">
        <is>
          <t>No</t>
        </is>
      </c>
      <c r="J2" s="14" t="inlineStr">
        <is>
          <t>Verificata (IBS / editore)</t>
        </is>
      </c>
      <c r="K2" s="14" t="inlineStr">
        <is>
          <t>3-6 anni</t>
        </is>
      </c>
      <c r="L2" s="14" t="inlineStr">
        <is>
          <t>https://www.hoepli.it/editori/people.html</t>
        </is>
      </c>
      <c r="M2" s="16" t="n">
        <v>9</v>
      </c>
      <c r="N2" s="14" t="inlineStr">
        <is>
          <t>https://www.ibs.it/x/e/9791259794178</t>
        </is>
      </c>
      <c r="O2" s="16">
        <f>IF(ISNUMBER(M2),ROUND(M2*(1-Condizioni!$B$2),2),"")</f>
        <v/>
      </c>
      <c r="P2" s="17" t="inlineStr">
        <is>
          <t>Sì</t>
        </is>
      </c>
    </row>
    <row r="3">
      <c r="A3" s="14" t="inlineStr">
        <is>
          <t>People</t>
        </is>
      </c>
      <c r="B3" s="14" t="inlineStr">
        <is>
          <t>Io non ho paura del lupo</t>
        </is>
      </c>
      <c r="C3" s="14" t="inlineStr">
        <is>
          <t>Tommaso D'Errico</t>
        </is>
      </c>
      <c r="D3" s="14" t="inlineStr">
        <is>
          <t>Kids</t>
        </is>
      </c>
      <c r="E3" s="14" t="inlineStr">
        <is>
          <t>14+</t>
        </is>
      </c>
      <c r="F3" s="14" t="inlineStr">
        <is>
          <t>Adolescenza (14+)</t>
        </is>
      </c>
      <c r="G3" s="14" t="inlineStr">
        <is>
          <t>Albo illustrato</t>
        </is>
      </c>
      <c r="H3" s="14" t="inlineStr"/>
      <c r="I3" s="14" t="inlineStr">
        <is>
          <t>No</t>
        </is>
      </c>
      <c r="J3" s="14" t="inlineStr">
        <is>
          <t>Verificata (Bottegart)</t>
        </is>
      </c>
      <c r="K3" s="14" t="inlineStr">
        <is>
          <t>adolescenza</t>
        </is>
      </c>
      <c r="L3" s="14" t="inlineStr">
        <is>
          <t>https://www.ibs.it/libri/editori/people</t>
        </is>
      </c>
      <c r="M3" s="16" t="n">
        <v>18</v>
      </c>
      <c r="N3" s="14" t="inlineStr">
        <is>
          <t>https://www.ibs.it/x/e/9791259792280</t>
        </is>
      </c>
      <c r="O3" s="16">
        <f>IF(ISNUMBER(M3),ROUND(M3*(1-Condizioni!$B$2),2),"")</f>
        <v/>
      </c>
      <c r="P3" s="17" t="inlineStr">
        <is>
          <t>Sì</t>
        </is>
      </c>
    </row>
    <row r="4">
      <c r="A4" s="14" t="inlineStr">
        <is>
          <t>People</t>
        </is>
      </c>
      <c r="B4" s="14" t="inlineStr">
        <is>
          <t>Non esistono piccoli antifascisti</t>
        </is>
      </c>
      <c r="C4" s="14" t="inlineStr">
        <is>
          <t>Johannes Bückler</t>
        </is>
      </c>
      <c r="D4" s="14" t="inlineStr">
        <is>
          <t>Kids / Immaginazione</t>
        </is>
      </c>
      <c r="E4" s="14" t="inlineStr">
        <is>
          <t>da 12 anni</t>
        </is>
      </c>
      <c r="F4" s="14" t="inlineStr">
        <is>
          <t>Scuola media (11-13)</t>
        </is>
      </c>
      <c r="G4" s="14" t="inlineStr">
        <is>
          <t>Narrativa</t>
        </is>
      </c>
      <c r="H4" s="14" t="inlineStr">
        <is>
          <t>Antifascismo</t>
        </is>
      </c>
      <c r="I4" s="14" t="inlineStr">
        <is>
          <t>No</t>
        </is>
      </c>
      <c r="J4" s="14" t="inlineStr">
        <is>
          <t>Verificata (Bottegart)</t>
        </is>
      </c>
      <c r="K4" s="14" t="inlineStr">
        <is>
          <t>prima/seconda/terza media, narrativa</t>
        </is>
      </c>
      <c r="L4" s="14" t="inlineStr">
        <is>
          <t>https://www.libreriauniversitaria.it/libri-editore_People-people.htm</t>
        </is>
      </c>
      <c r="M4" s="16" t="n">
        <v>16</v>
      </c>
      <c r="N4" s="14" t="inlineStr">
        <is>
          <t>https://www.ibs.it/x/e/9791259792822</t>
        </is>
      </c>
      <c r="O4" s="16">
        <f>IF(ISNUMBER(M4),ROUND(M4*(1-Condizioni!$B$2),2),"")</f>
        <v/>
      </c>
      <c r="P4" s="17" t="inlineStr">
        <is>
          <t>Sì</t>
        </is>
      </c>
    </row>
  </sheetData>
  <autoFilter ref="A1:P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P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Nero Latte</t>
        </is>
      </c>
      <c r="B2" s="14" t="inlineStr">
        <is>
          <t>Catalogo: poesia e albi illustrati; collabora con circa 30 librerie indipendenti</t>
        </is>
      </c>
      <c r="C2" s="14" t="inlineStr">
        <is>
          <t>Patrizia Baglione (editrice)</t>
        </is>
      </c>
      <c r="D2" s="14" t="inlineStr">
        <is>
          <t>Poesia / Albi illustrati</t>
        </is>
      </c>
      <c r="E2" s="14" t="inlineStr">
        <is>
          <t>n.d.</t>
        </is>
      </c>
      <c r="F2" s="14" t="inlineStr">
        <is>
          <t>n.d. / tutte le età</t>
        </is>
      </c>
      <c r="G2" s="14" t="inlineStr">
        <is>
          <t>—</t>
        </is>
      </c>
      <c r="H2" s="14" t="inlineStr"/>
      <c r="I2" s="14" t="inlineStr">
        <is>
          <t>No</t>
        </is>
      </c>
      <c r="J2" s="15" t="inlineStr">
        <is>
          <t>Da verificare</t>
        </is>
      </c>
      <c r="K2" s="14" t="inlineStr"/>
      <c r="L2" s="14" t="inlineStr">
        <is>
          <t>https://www.pennaespada.it/in-pochi-mesi-la-casa-editrice-in-contatto-con-ben-33-librerie-indipendenti</t>
        </is>
      </c>
      <c r="M2" s="19" t="n"/>
      <c r="N2" s="14" t="inlineStr"/>
      <c r="O2" s="16">
        <f>IF(ISNUMBER(M2),ROUND(M2*(1-Condizioni!$B$2),2),"")</f>
        <v/>
      </c>
      <c r="P2" s="17" t="inlineStr">
        <is>
          <t>Sì</t>
        </is>
      </c>
    </row>
    <row r="3">
      <c r="A3" s="14" t="inlineStr">
        <is>
          <t>Nero Latte</t>
        </is>
      </c>
      <c r="B3" s="14" t="inlineStr">
        <is>
          <t>La bottega di Bepo il sarto</t>
        </is>
      </c>
      <c r="C3" s="14" t="inlineStr">
        <is>
          <t>Alessandra D'Amico</t>
        </is>
      </c>
      <c r="D3" s="14" t="inlineStr">
        <is>
          <t>Albi illustrati</t>
        </is>
      </c>
      <c r="E3" s="14" t="inlineStr">
        <is>
          <t>n.d.</t>
        </is>
      </c>
      <c r="F3" s="14" t="inlineStr">
        <is>
          <t>n.d. / tutte le età</t>
        </is>
      </c>
      <c r="G3" s="14" t="inlineStr">
        <is>
          <t>Albo illustrato</t>
        </is>
      </c>
      <c r="H3" s="14" t="inlineStr"/>
      <c r="I3" s="14" t="inlineStr">
        <is>
          <t>No</t>
        </is>
      </c>
      <c r="J3" s="14" t="inlineStr">
        <is>
          <t>Tolto: fuori catalogo</t>
        </is>
      </c>
      <c r="K3" s="14" t="inlineStr"/>
      <c r="L3" s="14" t="inlineStr">
        <is>
          <t>https://leggeretutti.eu/nasce-una-nuova-casa-editrice-nero_latte-edizioni/</t>
        </is>
      </c>
      <c r="M3" s="19" t="n"/>
      <c r="N3" s="14" t="inlineStr"/>
      <c r="O3" s="16">
        <f>IF(ISNUMBER(M3),ROUND(M3*(1-Condizioni!$B$2),2),"")</f>
        <v/>
      </c>
      <c r="P3" s="17" t="inlineStr">
        <is>
          <t>No</t>
        </is>
      </c>
    </row>
    <row r="4">
      <c r="A4" s="14" t="inlineStr">
        <is>
          <t>Nero Latte</t>
        </is>
      </c>
      <c r="B4" s="14" t="inlineStr">
        <is>
          <t>Verso il mondo (poesia, per adulti)</t>
        </is>
      </c>
      <c r="C4" s="14" t="inlineStr">
        <is>
          <t>Pier Francesco Latte</t>
        </is>
      </c>
      <c r="D4" s="14" t="inlineStr">
        <is>
          <t>Poesia</t>
        </is>
      </c>
      <c r="E4" s="14" t="inlineStr">
        <is>
          <t>adulti</t>
        </is>
      </c>
      <c r="F4" s="14" t="inlineStr">
        <is>
          <t>n.d. / tutte le età</t>
        </is>
      </c>
      <c r="G4" s="14" t="inlineStr">
        <is>
          <t>Poesia</t>
        </is>
      </c>
      <c r="H4" s="14" t="inlineStr"/>
      <c r="I4" s="14" t="inlineStr">
        <is>
          <t>No</t>
        </is>
      </c>
      <c r="J4" s="14" t="inlineStr">
        <is>
          <t>Catalogo</t>
        </is>
      </c>
      <c r="K4" s="14" t="inlineStr"/>
      <c r="L4" s="14" t="inlineStr">
        <is>
          <t>https://leggeretutti.eu/nasce-una-nuova-casa-editrice-nero_latte-edizioni/</t>
        </is>
      </c>
      <c r="M4" s="19" t="n"/>
      <c r="N4" s="14" t="inlineStr"/>
      <c r="O4" s="16">
        <f>IF(ISNUMBER(M4),ROUND(M4*(1-Condizioni!$B$2),2),"")</f>
        <v/>
      </c>
      <c r="P4" s="17" t="inlineStr">
        <is>
          <t>Sì</t>
        </is>
      </c>
    </row>
  </sheetData>
  <autoFilter ref="A1:P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39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Logos</t>
        </is>
      </c>
      <c r="B2" s="14" t="inlineStr">
        <is>
          <t>Bimba Gatto Acqua Papera</t>
        </is>
      </c>
      <c r="C2" s="14" t="inlineStr">
        <is>
          <t>Ellen Duthie; ill. Daniela Martagón</t>
        </is>
      </c>
      <c r="D2" s="14" t="inlineStr">
        <is>
          <t>Wonder Ponder</t>
        </is>
      </c>
      <c r="E2" s="14" t="inlineStr">
        <is>
          <t>0-3 anni</t>
        </is>
      </c>
      <c r="F2" s="14" t="inlineStr">
        <is>
          <t>0-3 anni</t>
        </is>
      </c>
      <c r="G2" s="14" t="inlineStr">
        <is>
          <t>Albo illustrato</t>
        </is>
      </c>
      <c r="H2" s="14" t="inlineStr"/>
      <c r="I2" s="14" t="inlineStr">
        <is>
          <t>No</t>
        </is>
      </c>
      <c r="J2" s="14" t="inlineStr">
        <is>
          <t>Catalogo</t>
        </is>
      </c>
      <c r="K2" s="14" t="inlineStr">
        <is>
          <t>0-3 anni</t>
        </is>
      </c>
      <c r="L2" s="14" t="inlineStr">
        <is>
          <t>https://www.libri.it/bimba-gatto-acqua-papera</t>
        </is>
      </c>
      <c r="M2" s="16" t="n">
        <v>10</v>
      </c>
      <c r="N2" s="14" t="inlineStr">
        <is>
          <t>Lista titoli Logos Edizioni 2026 (PVP)</t>
        </is>
      </c>
      <c r="O2" s="16">
        <f>IF(ISNUMBER(M2),ROUND(M2*(1-Condizioni!$B$2),2),"")</f>
        <v/>
      </c>
      <c r="P2" s="17" t="inlineStr">
        <is>
          <t>No</t>
        </is>
      </c>
    </row>
    <row r="3">
      <c r="A3" s="14" t="inlineStr">
        <is>
          <t>Logos</t>
        </is>
      </c>
      <c r="B3" s="14" t="inlineStr">
        <is>
          <t>Bimbo Uovo Cane Osso</t>
        </is>
      </c>
      <c r="C3" s="14" t="inlineStr">
        <is>
          <t>Ellen Duthie; ill. Daniela Martagón</t>
        </is>
      </c>
      <c r="D3" s="14" t="inlineStr">
        <is>
          <t>Wonder Ponder</t>
        </is>
      </c>
      <c r="E3" s="14" t="inlineStr">
        <is>
          <t>0-3 anni</t>
        </is>
      </c>
      <c r="F3" s="14" t="inlineStr">
        <is>
          <t>0-3 anni</t>
        </is>
      </c>
      <c r="G3" s="14" t="inlineStr">
        <is>
          <t>Albo illustrato</t>
        </is>
      </c>
      <c r="H3" s="14" t="inlineStr"/>
      <c r="I3" s="14" t="inlineStr">
        <is>
          <t>No</t>
        </is>
      </c>
      <c r="J3" s="14" t="inlineStr">
        <is>
          <t>Catalogo</t>
        </is>
      </c>
      <c r="K3" s="14" t="inlineStr">
        <is>
          <t>0-3 anni</t>
        </is>
      </c>
      <c r="L3" s="14" t="inlineStr">
        <is>
          <t>https://www.libri.it/bimbo-uovo-cane-osso</t>
        </is>
      </c>
      <c r="M3" s="16" t="n">
        <v>10</v>
      </c>
      <c r="N3" s="14" t="inlineStr">
        <is>
          <t>Lista titoli Logos Edizioni 2026 (PVP)</t>
        </is>
      </c>
      <c r="O3" s="16">
        <f>IF(ISNUMBER(M3),ROUND(M3*(1-Condizioni!$B$2),2),"")</f>
        <v/>
      </c>
      <c r="P3" s="17" t="inlineStr">
        <is>
          <t>No</t>
        </is>
      </c>
    </row>
    <row r="4">
      <c r="A4" s="14" t="inlineStr">
        <is>
          <t>Logos</t>
        </is>
      </c>
      <c r="B4" s="14" t="inlineStr">
        <is>
          <t>Mio Fratello</t>
        </is>
      </c>
      <c r="C4" s="14" t="inlineStr">
        <is>
          <t>El Hematocrítico; ill. Alberto Vázquez</t>
        </is>
      </c>
      <c r="D4" s="14" t="inlineStr">
        <is>
          <t>Ipinipini</t>
        </is>
      </c>
      <c r="E4" s="14" t="inlineStr">
        <is>
          <t>0-3 anni</t>
        </is>
      </c>
      <c r="F4" s="14" t="inlineStr">
        <is>
          <t>0-3 anni</t>
        </is>
      </c>
      <c r="G4" s="14" t="inlineStr">
        <is>
          <t>Albo illustrato</t>
        </is>
      </c>
      <c r="H4" s="14" t="inlineStr"/>
      <c r="I4" s="14" t="inlineStr">
        <is>
          <t>No</t>
        </is>
      </c>
      <c r="J4" s="14" t="inlineStr">
        <is>
          <t>Catalogo</t>
        </is>
      </c>
      <c r="K4" s="14" t="inlineStr">
        <is>
          <t>0-3 anni</t>
        </is>
      </c>
      <c r="L4" s="14" t="inlineStr">
        <is>
          <t>https://www.libri.it/mio-fratello-ipinipini</t>
        </is>
      </c>
      <c r="M4" s="16" t="n">
        <v>10</v>
      </c>
      <c r="N4" s="14" t="inlineStr">
        <is>
          <t>Lista titoli Logos Edizioni 2026 (PVP)</t>
        </is>
      </c>
      <c r="O4" s="16">
        <f>IF(ISNUMBER(M4),ROUND(M4*(1-Condizioni!$B$2),2),"")</f>
        <v/>
      </c>
      <c r="P4" s="17" t="inlineStr">
        <is>
          <t>No</t>
        </is>
      </c>
    </row>
    <row r="5">
      <c r="A5" s="14" t="inlineStr">
        <is>
          <t>Logos</t>
        </is>
      </c>
      <c r="B5" s="14" t="inlineStr">
        <is>
          <t>Stop</t>
        </is>
      </c>
      <c r="C5" s="14" t="inlineStr">
        <is>
          <t>Roger Olmos</t>
        </is>
      </c>
      <c r="D5" s="14" t="inlineStr">
        <is>
          <t>Ipinipini</t>
        </is>
      </c>
      <c r="E5" s="14" t="inlineStr">
        <is>
          <t>0-3 anni</t>
        </is>
      </c>
      <c r="F5" s="14" t="inlineStr">
        <is>
          <t>0-3 anni</t>
        </is>
      </c>
      <c r="G5" s="14" t="inlineStr">
        <is>
          <t>Albo illustrato</t>
        </is>
      </c>
      <c r="H5" s="14" t="inlineStr"/>
      <c r="I5" s="14" t="inlineStr">
        <is>
          <t>No</t>
        </is>
      </c>
      <c r="J5" s="14" t="inlineStr">
        <is>
          <t>Catalogo</t>
        </is>
      </c>
      <c r="K5" s="14" t="inlineStr">
        <is>
          <t>0-3 anni</t>
        </is>
      </c>
      <c r="L5" s="14" t="inlineStr">
        <is>
          <t>https://www.libri.it/stop</t>
        </is>
      </c>
      <c r="M5" s="16" t="n">
        <v>14</v>
      </c>
      <c r="N5" s="14" t="inlineStr">
        <is>
          <t>Lista titoli Logos Edizioni 2026 (PVP)</t>
        </is>
      </c>
      <c r="O5" s="16">
        <f>IF(ISNUMBER(M5),ROUND(M5*(1-Condizioni!$B$2),2),"")</f>
        <v/>
      </c>
      <c r="P5" s="17" t="inlineStr">
        <is>
          <t>No</t>
        </is>
      </c>
    </row>
    <row r="6">
      <c r="A6" s="14" t="inlineStr">
        <is>
          <t>Logos</t>
        </is>
      </c>
      <c r="B6" s="14" t="inlineStr">
        <is>
          <t>Tilu’ Blu Gioca con la Neve</t>
        </is>
      </c>
      <c r="C6" s="14" t="inlineStr">
        <is>
          <t>Daniel Picouly; ill. Frédéric Pillot</t>
        </is>
      </c>
      <c r="D6" s="14" t="inlineStr">
        <is>
          <t>Ipinipini</t>
        </is>
      </c>
      <c r="E6" s="14" t="inlineStr">
        <is>
          <t>0-3 anni</t>
        </is>
      </c>
      <c r="F6" s="14" t="inlineStr">
        <is>
          <t>0-3 anni</t>
        </is>
      </c>
      <c r="G6" s="14" t="inlineStr">
        <is>
          <t>Albo illustrato</t>
        </is>
      </c>
      <c r="H6" s="14" t="inlineStr"/>
      <c r="I6" s="14" t="inlineStr">
        <is>
          <t>No</t>
        </is>
      </c>
      <c r="J6" s="14" t="inlineStr">
        <is>
          <t>Catalogo</t>
        </is>
      </c>
      <c r="K6" s="14" t="inlineStr">
        <is>
          <t>0-3 anni</t>
        </is>
      </c>
      <c r="L6" s="14" t="inlineStr">
        <is>
          <t>https://www.libri.it/tilu-gioca-con-la-neve</t>
        </is>
      </c>
      <c r="M6" s="16" t="n">
        <v>10</v>
      </c>
      <c r="N6" s="14" t="inlineStr">
        <is>
          <t>Lista titoli Logos Edizioni 2026 (PVP)</t>
        </is>
      </c>
      <c r="O6" s="16">
        <f>IF(ISNUMBER(M6),ROUND(M6*(1-Condizioni!$B$2),2),"")</f>
        <v/>
      </c>
      <c r="P6" s="17" t="inlineStr">
        <is>
          <t>No</t>
        </is>
      </c>
    </row>
    <row r="7">
      <c r="A7" s="14" t="inlineStr">
        <is>
          <t>Logos</t>
        </is>
      </c>
      <c r="B7" s="14" t="inlineStr">
        <is>
          <t>Tilu’ Blu non Vuole Andare a Letto</t>
        </is>
      </c>
      <c r="C7" s="14" t="inlineStr">
        <is>
          <t>Daniel Picouly; ill. Frédéric Pillot</t>
        </is>
      </c>
      <c r="D7" s="14" t="inlineStr">
        <is>
          <t>Ipinipini</t>
        </is>
      </c>
      <c r="E7" s="14" t="inlineStr">
        <is>
          <t>0-3 anni</t>
        </is>
      </c>
      <c r="F7" s="14" t="inlineStr">
        <is>
          <t>0-3 anni</t>
        </is>
      </c>
      <c r="G7" s="14" t="inlineStr">
        <is>
          <t>Albo illustrato</t>
        </is>
      </c>
      <c r="H7" s="14" t="inlineStr"/>
      <c r="I7" s="14" t="inlineStr">
        <is>
          <t>No</t>
        </is>
      </c>
      <c r="J7" s="14" t="inlineStr">
        <is>
          <t>Catalogo</t>
        </is>
      </c>
      <c r="K7" s="14" t="inlineStr">
        <is>
          <t>0-3 anni</t>
        </is>
      </c>
      <c r="L7" s="14" t="inlineStr">
        <is>
          <t>https://www.libri.it/tilu-non-vuole-andare-a-letto</t>
        </is>
      </c>
      <c r="M7" s="16" t="n">
        <v>10</v>
      </c>
      <c r="N7" s="14" t="inlineStr">
        <is>
          <t>Lista titoli Logos Edizioni 2026 (PVP)</t>
        </is>
      </c>
      <c r="O7" s="16">
        <f>IF(ISNUMBER(M7),ROUND(M7*(1-Condizioni!$B$2),2),"")</f>
        <v/>
      </c>
      <c r="P7" s="17" t="inlineStr">
        <is>
          <t>No</t>
        </is>
      </c>
    </row>
    <row r="8">
      <c r="A8" s="14" t="inlineStr">
        <is>
          <t>Logos</t>
        </is>
      </c>
      <c r="B8" s="14" t="inlineStr">
        <is>
          <t>Tilù Blu Vuole Andare a Caccia di Uova</t>
        </is>
      </c>
      <c r="C8" s="14" t="inlineStr">
        <is>
          <t>Daniel Picouly; ill. Frédéric Pillot</t>
        </is>
      </c>
      <c r="D8" s="14" t="inlineStr">
        <is>
          <t>Ipinipini</t>
        </is>
      </c>
      <c r="E8" s="14" t="inlineStr">
        <is>
          <t>0-3 anni</t>
        </is>
      </c>
      <c r="F8" s="14" t="inlineStr">
        <is>
          <t>0-3 anni</t>
        </is>
      </c>
      <c r="G8" s="14" t="inlineStr">
        <is>
          <t>Albo illustrato</t>
        </is>
      </c>
      <c r="H8" s="14" t="inlineStr"/>
      <c r="I8" s="14" t="inlineStr">
        <is>
          <t>No</t>
        </is>
      </c>
      <c r="J8" s="14" t="inlineStr">
        <is>
          <t>Catalogo</t>
        </is>
      </c>
      <c r="K8" s="14" t="inlineStr">
        <is>
          <t>0-3 anni</t>
        </is>
      </c>
      <c r="L8" s="14" t="inlineStr">
        <is>
          <t>https://www.libri.it/tilu-blu-vuole-andare-a-caccia-di-uova</t>
        </is>
      </c>
      <c r="M8" s="16" t="n">
        <v>10</v>
      </c>
      <c r="N8" s="14" t="inlineStr">
        <is>
          <t>Lista titoli Logos Edizioni 2026 (PVP)</t>
        </is>
      </c>
      <c r="O8" s="16">
        <f>IF(ISNUMBER(M8),ROUND(M8*(1-Condizioni!$B$2),2),"")</f>
        <v/>
      </c>
      <c r="P8" s="17" t="inlineStr">
        <is>
          <t>No</t>
        </is>
      </c>
    </row>
    <row r="9">
      <c r="A9" s="14" t="inlineStr">
        <is>
          <t>Logos</t>
        </is>
      </c>
      <c r="B9" s="14" t="inlineStr">
        <is>
          <t>Tilù Blu Vuole Bene al Suo Papà</t>
        </is>
      </c>
      <c r="C9" s="14" t="inlineStr">
        <is>
          <t>Daniel Picouly; ill. Frédéric Pillot</t>
        </is>
      </c>
      <c r="D9" s="14" t="inlineStr">
        <is>
          <t>Ipinipini</t>
        </is>
      </c>
      <c r="E9" s="14" t="inlineStr">
        <is>
          <t>0-3 anni</t>
        </is>
      </c>
      <c r="F9" s="14" t="inlineStr">
        <is>
          <t>0-3 anni</t>
        </is>
      </c>
      <c r="G9" s="14" t="inlineStr">
        <is>
          <t>Albo illustrato</t>
        </is>
      </c>
      <c r="H9" s="14" t="inlineStr"/>
      <c r="I9" s="14" t="inlineStr">
        <is>
          <t>No</t>
        </is>
      </c>
      <c r="J9" s="14" t="inlineStr">
        <is>
          <t>Catalogo</t>
        </is>
      </c>
      <c r="K9" s="14" t="inlineStr">
        <is>
          <t>0-3 anni</t>
        </is>
      </c>
      <c r="L9" s="14" t="inlineStr">
        <is>
          <t>https://www.libri.it/tilu-papa</t>
        </is>
      </c>
      <c r="M9" s="16" t="n">
        <v>10</v>
      </c>
      <c r="N9" s="14" t="inlineStr">
        <is>
          <t>Lista titoli Logos Edizioni 2026 (PVP)</t>
        </is>
      </c>
      <c r="O9" s="16">
        <f>IF(ISNUMBER(M9),ROUND(M9*(1-Condizioni!$B$2),2),"")</f>
        <v/>
      </c>
      <c r="P9" s="17" t="inlineStr">
        <is>
          <t>No</t>
        </is>
      </c>
    </row>
    <row r="10">
      <c r="A10" s="14" t="inlineStr">
        <is>
          <t>Logos</t>
        </is>
      </c>
      <c r="B10" s="14" t="inlineStr">
        <is>
          <t>Tilù Blu Vuole Bene alla Sua Mamma</t>
        </is>
      </c>
      <c r="C10" s="14" t="inlineStr">
        <is>
          <t>Daniel Picouly; ill. Frédéric Pillot</t>
        </is>
      </c>
      <c r="D10" s="14" t="inlineStr">
        <is>
          <t>Ipinipini</t>
        </is>
      </c>
      <c r="E10" s="14" t="inlineStr">
        <is>
          <t>0-3 anni</t>
        </is>
      </c>
      <c r="F10" s="14" t="inlineStr">
        <is>
          <t>0-3 anni</t>
        </is>
      </c>
      <c r="G10" s="14" t="inlineStr">
        <is>
          <t>Albo illustrato</t>
        </is>
      </c>
      <c r="H10" s="14" t="inlineStr"/>
      <c r="I10" s="14" t="inlineStr">
        <is>
          <t>No</t>
        </is>
      </c>
      <c r="J10" s="14" t="inlineStr">
        <is>
          <t>Catalogo</t>
        </is>
      </c>
      <c r="K10" s="14" t="inlineStr">
        <is>
          <t>0-3 anni</t>
        </is>
      </c>
      <c r="L10" s="14" t="inlineStr">
        <is>
          <t>https://www.libri.it/tilu-mamma</t>
        </is>
      </c>
      <c r="M10" s="16" t="n">
        <v>10</v>
      </c>
      <c r="N10" s="14" t="inlineStr">
        <is>
          <t>Lista titoli Logos Edizioni 2026 (PVP)</t>
        </is>
      </c>
      <c r="O10" s="16">
        <f>IF(ISNUMBER(M10),ROUND(M10*(1-Condizioni!$B$2),2),"")</f>
        <v/>
      </c>
      <c r="P10" s="17" t="inlineStr">
        <is>
          <t>No</t>
        </is>
      </c>
    </row>
    <row r="11">
      <c r="A11" s="14" t="inlineStr">
        <is>
          <t>Logos</t>
        </is>
      </c>
      <c r="B11" s="14" t="inlineStr">
        <is>
          <t>Tilù Blu Vuole un Vasino con le Ruote</t>
        </is>
      </c>
      <c r="C11" s="14" t="inlineStr">
        <is>
          <t>Daniel Picouly; ill. Frédéric Pillot</t>
        </is>
      </c>
      <c r="D11" s="14" t="inlineStr">
        <is>
          <t>Ipinipini</t>
        </is>
      </c>
      <c r="E11" s="14" t="inlineStr">
        <is>
          <t>0-3 anni</t>
        </is>
      </c>
      <c r="F11" s="14" t="inlineStr">
        <is>
          <t>0-3 anni</t>
        </is>
      </c>
      <c r="G11" s="14" t="inlineStr">
        <is>
          <t>Albo illustrato</t>
        </is>
      </c>
      <c r="H11" s="14" t="inlineStr"/>
      <c r="I11" s="14" t="inlineStr">
        <is>
          <t>No</t>
        </is>
      </c>
      <c r="J11" s="14" t="inlineStr">
        <is>
          <t>Catalogo</t>
        </is>
      </c>
      <c r="K11" s="14" t="inlineStr">
        <is>
          <t>0-3 anni</t>
        </is>
      </c>
      <c r="L11" s="14" t="inlineStr">
        <is>
          <t>https://www.libri.it/tilu-blu-vuole-un-vasino-con-le-ruote</t>
        </is>
      </c>
      <c r="M11" s="16" t="n">
        <v>10</v>
      </c>
      <c r="N11" s="14" t="inlineStr">
        <is>
          <t>Lista titoli Logos Edizioni 2026 (PVP)</t>
        </is>
      </c>
      <c r="O11" s="16">
        <f>IF(ISNUMBER(M11),ROUND(M11*(1-Condizioni!$B$2),2),"")</f>
        <v/>
      </c>
      <c r="P11" s="17" t="inlineStr">
        <is>
          <t>No</t>
        </is>
      </c>
    </row>
    <row r="12">
      <c r="A12" s="14" t="inlineStr">
        <is>
          <t>Logos</t>
        </is>
      </c>
      <c r="B12" s="14" t="inlineStr">
        <is>
          <t>Tilù Blu non Vuole Più il Ciuccio</t>
        </is>
      </c>
      <c r="C12" s="14" t="inlineStr">
        <is>
          <t>Daniel Picouly; ill. Frédéric Pillot</t>
        </is>
      </c>
      <c r="D12" s="14" t="inlineStr">
        <is>
          <t>Ipinipini</t>
        </is>
      </c>
      <c r="E12" s="14" t="inlineStr">
        <is>
          <t>0-3 anni</t>
        </is>
      </c>
      <c r="F12" s="14" t="inlineStr">
        <is>
          <t>0-3 anni</t>
        </is>
      </c>
      <c r="G12" s="14" t="inlineStr">
        <is>
          <t>Albo illustrato</t>
        </is>
      </c>
      <c r="H12" s="14" t="inlineStr"/>
      <c r="I12" s="14" t="inlineStr">
        <is>
          <t>No</t>
        </is>
      </c>
      <c r="J12" s="14" t="inlineStr">
        <is>
          <t>Catalogo</t>
        </is>
      </c>
      <c r="K12" s="14" t="inlineStr">
        <is>
          <t>0-3 anni</t>
        </is>
      </c>
      <c r="L12" s="14" t="inlineStr">
        <is>
          <t>https://www.libri.it/tilu-ciuccio</t>
        </is>
      </c>
      <c r="M12" s="16" t="n">
        <v>10</v>
      </c>
      <c r="N12" s="14" t="inlineStr">
        <is>
          <t>Lista titoli Logos Edizioni 2026 (PVP)</t>
        </is>
      </c>
      <c r="O12" s="16">
        <f>IF(ISNUMBER(M12),ROUND(M12*(1-Condizioni!$B$2),2),"")</f>
        <v/>
      </c>
      <c r="P12" s="17" t="inlineStr">
        <is>
          <t>No</t>
        </is>
      </c>
    </row>
    <row r="13">
      <c r="A13" s="14" t="inlineStr">
        <is>
          <t>Logos</t>
        </is>
      </c>
      <c r="B13" s="14" t="inlineStr">
        <is>
          <t>Tilù Blu non Vuole piu’ Fare i Capricci</t>
        </is>
      </c>
      <c r="C13" s="14" t="inlineStr">
        <is>
          <t>Daniel Picouly; ill. Frédéric Pillot</t>
        </is>
      </c>
      <c r="D13" s="14" t="inlineStr">
        <is>
          <t>Ipinipini</t>
        </is>
      </c>
      <c r="E13" s="14" t="inlineStr">
        <is>
          <t>0-3 anni</t>
        </is>
      </c>
      <c r="F13" s="14" t="inlineStr">
        <is>
          <t>0-3 anni</t>
        </is>
      </c>
      <c r="G13" s="14" t="inlineStr">
        <is>
          <t>Albo illustrato</t>
        </is>
      </c>
      <c r="H13" s="14" t="inlineStr"/>
      <c r="I13" s="14" t="inlineStr">
        <is>
          <t>No</t>
        </is>
      </c>
      <c r="J13" s="14" t="inlineStr">
        <is>
          <t>Catalogo</t>
        </is>
      </c>
      <c r="K13" s="14" t="inlineStr">
        <is>
          <t>0-3 anni</t>
        </is>
      </c>
      <c r="L13" s="14" t="inlineStr">
        <is>
          <t>https://www.libri.it/tilu-blu-non-vuole-piu-fare-i-capricci</t>
        </is>
      </c>
      <c r="M13" s="16" t="n">
        <v>10</v>
      </c>
      <c r="N13" s="14" t="inlineStr">
        <is>
          <t>Lista titoli Logos Edizioni 2026 (PVP)</t>
        </is>
      </c>
      <c r="O13" s="16">
        <f>IF(ISNUMBER(M13),ROUND(M13*(1-Condizioni!$B$2),2),"")</f>
        <v/>
      </c>
      <c r="P13" s="17" t="inlineStr">
        <is>
          <t>No</t>
        </is>
      </c>
    </row>
    <row r="14">
      <c r="A14" s="14" t="inlineStr">
        <is>
          <t>Logos</t>
        </is>
      </c>
      <c r="B14" s="14" t="inlineStr">
        <is>
          <t>Un Cane</t>
        </is>
      </c>
      <c r="C14" s="14" t="inlineStr">
        <is>
          <t>El Hematocrítico; ill. Alberto Vázquez</t>
        </is>
      </c>
      <c r="D14" s="14" t="inlineStr">
        <is>
          <t>Ipinipini</t>
        </is>
      </c>
      <c r="E14" s="14" t="inlineStr">
        <is>
          <t>0-3 anni</t>
        </is>
      </c>
      <c r="F14" s="14" t="inlineStr">
        <is>
          <t>0-3 anni</t>
        </is>
      </c>
      <c r="G14" s="14" t="inlineStr">
        <is>
          <t>Albo illustrato</t>
        </is>
      </c>
      <c r="H14" s="14" t="inlineStr"/>
      <c r="I14" s="14" t="inlineStr">
        <is>
          <t>No</t>
        </is>
      </c>
      <c r="J14" s="14" t="inlineStr">
        <is>
          <t>Catalogo</t>
        </is>
      </c>
      <c r="K14" s="14" t="inlineStr">
        <is>
          <t>0-3 anni</t>
        </is>
      </c>
      <c r="L14" s="14" t="inlineStr">
        <is>
          <t>https://www.libri.it/un-cane-ipinipini</t>
        </is>
      </c>
      <c r="M14" s="16" t="n">
        <v>13</v>
      </c>
      <c r="N14" s="14" t="inlineStr">
        <is>
          <t>Lista titoli Logos Edizioni 2026 (PVP)</t>
        </is>
      </c>
      <c r="O14" s="16">
        <f>IF(ISNUMBER(M14),ROUND(M14*(1-Condizioni!$B$2),2),"")</f>
        <v/>
      </c>
      <c r="P14" s="17" t="inlineStr">
        <is>
          <t>No</t>
        </is>
      </c>
    </row>
    <row r="15">
      <c r="A15" s="14" t="inlineStr">
        <is>
          <t>Logos</t>
        </is>
      </c>
      <c r="B15" s="14" t="inlineStr">
        <is>
          <t>Yipo</t>
        </is>
      </c>
      <c r="C15" s="14" t="inlineStr">
        <is>
          <t>Juan Gedovius</t>
        </is>
      </c>
      <c r="D15" s="14" t="inlineStr">
        <is>
          <t>Ipinipini</t>
        </is>
      </c>
      <c r="E15" s="14" t="inlineStr">
        <is>
          <t>0-3 anni</t>
        </is>
      </c>
      <c r="F15" s="14" t="inlineStr">
        <is>
          <t>0-3 anni</t>
        </is>
      </c>
      <c r="G15" s="14" t="inlineStr">
        <is>
          <t>Albo illustrato</t>
        </is>
      </c>
      <c r="H15" s="14" t="inlineStr"/>
      <c r="I15" s="14" t="inlineStr">
        <is>
          <t>No</t>
        </is>
      </c>
      <c r="J15" s="14" t="inlineStr">
        <is>
          <t>Catalogo</t>
        </is>
      </c>
      <c r="K15" s="14" t="inlineStr">
        <is>
          <t>0-3 anni</t>
        </is>
      </c>
      <c r="L15" s="14" t="inlineStr">
        <is>
          <t>https://www.libri.it/yipo</t>
        </is>
      </c>
      <c r="M15" s="16" t="n">
        <v>14</v>
      </c>
      <c r="N15" s="14" t="inlineStr">
        <is>
          <t>Lista titoli Logos Edizioni 2026 (PVP)</t>
        </is>
      </c>
      <c r="O15" s="16">
        <f>IF(ISNUMBER(M15),ROUND(M15*(1-Condizioni!$B$2),2),"")</f>
        <v/>
      </c>
      <c r="P15" s="17" t="inlineStr">
        <is>
          <t>No</t>
        </is>
      </c>
    </row>
    <row r="16">
      <c r="A16" s="14" t="inlineStr">
        <is>
          <t>Logos</t>
        </is>
      </c>
      <c r="B16" s="14" t="inlineStr">
        <is>
          <t>Buongiorno Piccola Maialina</t>
        </is>
      </c>
      <c r="C16" s="14" t="inlineStr">
        <is>
          <t>Janosch</t>
        </is>
      </c>
      <c r="D16" s="14" t="inlineStr">
        <is>
          <t>Biblioteca Ciopi</t>
        </is>
      </c>
      <c r="E16" s="14" t="inlineStr">
        <is>
          <t>da 3 anni</t>
        </is>
      </c>
      <c r="F16" s="14" t="inlineStr">
        <is>
          <t>3-6 anni</t>
        </is>
      </c>
      <c r="G16" s="14" t="inlineStr">
        <is>
          <t>Narrativa</t>
        </is>
      </c>
      <c r="H16" s="14" t="inlineStr"/>
      <c r="I16" s="14" t="inlineStr">
        <is>
          <t>No</t>
        </is>
      </c>
      <c r="J16" s="14" t="inlineStr">
        <is>
          <t>Catalogo</t>
        </is>
      </c>
      <c r="K16" s="14" t="inlineStr">
        <is>
          <t>3-6 anni, narrativa</t>
        </is>
      </c>
      <c r="L16" s="14" t="inlineStr">
        <is>
          <t>https://www.libri.it/buongiorno-piccola-maialina</t>
        </is>
      </c>
      <c r="M16" s="16" t="n">
        <v>10</v>
      </c>
      <c r="N16" s="14" t="inlineStr">
        <is>
          <t>Lista titoli Logos Edizioni 2026 (PVP)</t>
        </is>
      </c>
      <c r="O16" s="16">
        <f>IF(ISNUMBER(M16),ROUND(M16*(1-Condizioni!$B$2),2),"")</f>
        <v/>
      </c>
      <c r="P16" s="17" t="inlineStr">
        <is>
          <t>No</t>
        </is>
      </c>
    </row>
    <row r="17">
      <c r="A17" s="14" t="inlineStr">
        <is>
          <t>Logos</t>
        </is>
      </c>
      <c r="B17" s="14" t="inlineStr">
        <is>
          <t>Che Paura</t>
        </is>
      </c>
      <c r="C17" s="14" t="inlineStr">
        <is>
          <t>Clotilde Goubely</t>
        </is>
      </c>
      <c r="D17" s="14" t="inlineStr">
        <is>
          <t>Albo Ciopi</t>
        </is>
      </c>
      <c r="E17" s="14" t="inlineStr">
        <is>
          <t>da 3 anni</t>
        </is>
      </c>
      <c r="F17" s="14" t="inlineStr">
        <is>
          <t>3-6 anni</t>
        </is>
      </c>
      <c r="G17" s="14" t="inlineStr">
        <is>
          <t>Albo illustrato</t>
        </is>
      </c>
      <c r="H17" s="14" t="inlineStr"/>
      <c r="I17" s="14" t="inlineStr">
        <is>
          <t>No</t>
        </is>
      </c>
      <c r="J17" s="14" t="inlineStr">
        <is>
          <t>Catalogo</t>
        </is>
      </c>
      <c r="K17" s="14" t="inlineStr">
        <is>
          <t>3-6 anni</t>
        </is>
      </c>
      <c r="L17" s="14" t="inlineStr">
        <is>
          <t>https://www.libri.it/che-paura</t>
        </is>
      </c>
      <c r="M17" s="16" t="n">
        <v>18</v>
      </c>
      <c r="N17" s="14" t="inlineStr">
        <is>
          <t>Lista titoli Logos Edizioni 2026 (PVP)</t>
        </is>
      </c>
      <c r="O17" s="16">
        <f>IF(ISNUMBER(M17),ROUND(M17*(1-Condizioni!$B$2),2),"")</f>
        <v/>
      </c>
      <c r="P17" s="17" t="inlineStr">
        <is>
          <t>No</t>
        </is>
      </c>
    </row>
    <row r="18">
      <c r="A18" s="14" t="inlineStr">
        <is>
          <t>Logos</t>
        </is>
      </c>
      <c r="B18" s="14" t="inlineStr">
        <is>
          <t>Chi Ha Rubato le Uova di Mimosa?</t>
        </is>
      </c>
      <c r="C18" s="14" t="inlineStr">
        <is>
          <t>Clotilde Goubely; ill. clotilde Goubely</t>
        </is>
      </c>
      <c r="D18" s="14" t="inlineStr">
        <is>
          <t>Albo Ciopi</t>
        </is>
      </c>
      <c r="E18" s="14" t="inlineStr">
        <is>
          <t>da 3 anni</t>
        </is>
      </c>
      <c r="F18" s="14" t="inlineStr">
        <is>
          <t>3-6 anni</t>
        </is>
      </c>
      <c r="G18" s="14" t="inlineStr">
        <is>
          <t>Albo illustrato</t>
        </is>
      </c>
      <c r="H18" s="14" t="inlineStr"/>
      <c r="I18" s="14" t="inlineStr">
        <is>
          <t>No</t>
        </is>
      </c>
      <c r="J18" s="14" t="inlineStr">
        <is>
          <t>Catalogo</t>
        </is>
      </c>
      <c r="K18" s="14" t="inlineStr">
        <is>
          <t>3-6 anni</t>
        </is>
      </c>
      <c r="L18" s="14" t="inlineStr">
        <is>
          <t>https://www.libri.it/uova-mimosa</t>
        </is>
      </c>
      <c r="M18" s="16" t="n">
        <v>18</v>
      </c>
      <c r="N18" s="14" t="inlineStr">
        <is>
          <t>Lista titoli Logos Edizioni 2026 (PVP)</t>
        </is>
      </c>
      <c r="O18" s="16">
        <f>IF(ISNUMBER(M18),ROUND(M18*(1-Condizioni!$B$2),2),"")</f>
        <v/>
      </c>
      <c r="P18" s="17" t="inlineStr">
        <is>
          <t>No</t>
        </is>
      </c>
    </row>
    <row r="19">
      <c r="A19" s="14" t="inlineStr">
        <is>
          <t>Logos</t>
        </is>
      </c>
      <c r="B19" s="14" t="inlineStr">
        <is>
          <t>Chi Vuol Essere Mio Amico?</t>
        </is>
      </c>
      <c r="C19" s="14" t="inlineStr">
        <is>
          <t>Clotilde Goubely</t>
        </is>
      </c>
      <c r="D19" s="14" t="inlineStr">
        <is>
          <t>Albo Ciopi</t>
        </is>
      </c>
      <c r="E19" s="14" t="inlineStr">
        <is>
          <t>da 3 anni</t>
        </is>
      </c>
      <c r="F19" s="14" t="inlineStr">
        <is>
          <t>3-6 anni</t>
        </is>
      </c>
      <c r="G19" s="14" t="inlineStr">
        <is>
          <t>Albo illustrato</t>
        </is>
      </c>
      <c r="H19" s="14" t="inlineStr"/>
      <c r="I19" s="14" t="inlineStr">
        <is>
          <t>No</t>
        </is>
      </c>
      <c r="J19" s="14" t="inlineStr">
        <is>
          <t>Catalogo</t>
        </is>
      </c>
      <c r="K19" s="14" t="inlineStr">
        <is>
          <t>3-6 anni</t>
        </is>
      </c>
      <c r="L19" s="14" t="inlineStr">
        <is>
          <t>https://www.libri.it/chi-vuol-essere-mio-amico</t>
        </is>
      </c>
      <c r="M19" s="16" t="n">
        <v>18</v>
      </c>
      <c r="N19" s="14" t="inlineStr">
        <is>
          <t>Lista titoli Logos Edizioni 2026 (PVP)</t>
        </is>
      </c>
      <c r="O19" s="16">
        <f>IF(ISNUMBER(M19),ROUND(M19*(1-Condizioni!$B$2),2),"")</f>
        <v/>
      </c>
      <c r="P19" s="17" t="inlineStr">
        <is>
          <t>No</t>
        </is>
      </c>
    </row>
    <row r="20">
      <c r="A20" s="14" t="inlineStr">
        <is>
          <t>Logos</t>
        </is>
      </c>
      <c r="B20" s="14" t="inlineStr">
        <is>
          <t>Cuz i Cva?</t>
        </is>
      </c>
      <c r="C20" s="14" t="inlineStr">
        <is>
          <t>Carson Ellis</t>
        </is>
      </c>
      <c r="D20" s="14" t="inlineStr">
        <is>
          <t>Albo Ciopi</t>
        </is>
      </c>
      <c r="E20" s="14" t="inlineStr">
        <is>
          <t>da 3 anni</t>
        </is>
      </c>
      <c r="F20" s="14" t="inlineStr">
        <is>
          <t>3-6 anni</t>
        </is>
      </c>
      <c r="G20" s="14" t="inlineStr">
        <is>
          <t>Albo illustrato</t>
        </is>
      </c>
      <c r="H20" s="14" t="inlineStr"/>
      <c r="I20" s="14" t="inlineStr">
        <is>
          <t>No</t>
        </is>
      </c>
      <c r="J20" s="14" t="inlineStr">
        <is>
          <t>Catalogo</t>
        </is>
      </c>
      <c r="K20" s="14" t="inlineStr">
        <is>
          <t>3-6 anni</t>
        </is>
      </c>
      <c r="L20" s="14" t="inlineStr">
        <is>
          <t>https://www.libri.it/cuzz</t>
        </is>
      </c>
      <c r="M20" s="16" t="n">
        <v>17</v>
      </c>
      <c r="N20" s="14" t="inlineStr">
        <is>
          <t>Lista titoli Logos Edizioni 2026 (PVP)</t>
        </is>
      </c>
      <c r="O20" s="16">
        <f>IF(ISNUMBER(M20),ROUND(M20*(1-Condizioni!$B$2),2),"")</f>
        <v/>
      </c>
      <c r="P20" s="17" t="inlineStr">
        <is>
          <t>No</t>
        </is>
      </c>
    </row>
    <row r="21">
      <c r="A21" s="14" t="inlineStr">
        <is>
          <t>Logos</t>
        </is>
      </c>
      <c r="B21" s="14" t="inlineStr">
        <is>
          <t>C’E Posta per Tigre</t>
        </is>
      </c>
      <c r="C21" s="14" t="inlineStr">
        <is>
          <t>Janosch</t>
        </is>
      </c>
      <c r="D21" s="14" t="inlineStr">
        <is>
          <t>Biblioteca Ciopi</t>
        </is>
      </c>
      <c r="E21" s="14" t="inlineStr">
        <is>
          <t>da 3 anni</t>
        </is>
      </c>
      <c r="F21" s="14" t="inlineStr">
        <is>
          <t>3-6 anni</t>
        </is>
      </c>
      <c r="G21" s="14" t="inlineStr">
        <is>
          <t>Narrativa</t>
        </is>
      </c>
      <c r="H21" s="14" t="inlineStr"/>
      <c r="I21" s="14" t="inlineStr">
        <is>
          <t>No</t>
        </is>
      </c>
      <c r="J21" s="14" t="inlineStr">
        <is>
          <t>Catalogo</t>
        </is>
      </c>
      <c r="K21" s="14" t="inlineStr">
        <is>
          <t>3-6 anni, narrativa</t>
        </is>
      </c>
      <c r="L21" s="14" t="inlineStr">
        <is>
          <t>https://www.libri.it/ce-posta-per-tigre</t>
        </is>
      </c>
      <c r="M21" s="16" t="n">
        <v>8</v>
      </c>
      <c r="N21" s="14" t="inlineStr">
        <is>
          <t>Lista titoli Logos Edizioni 2026 (PVP)</t>
        </is>
      </c>
      <c r="O21" s="16">
        <f>IF(ISNUMBER(M21),ROUND(M21*(1-Condizioni!$B$2),2),"")</f>
        <v/>
      </c>
      <c r="P21" s="17" t="inlineStr">
        <is>
          <t>No</t>
        </is>
      </c>
    </row>
    <row r="22">
      <c r="A22" s="14" t="inlineStr">
        <is>
          <t>Logos</t>
        </is>
      </c>
      <c r="B22" s="14" t="inlineStr">
        <is>
          <t>Daisy e la Belva</t>
        </is>
      </c>
      <c r="C22" s="14" t="inlineStr">
        <is>
          <t>Jane Simmons</t>
        </is>
      </c>
      <c r="D22" s="14" t="inlineStr">
        <is>
          <t>Albo Ciopi</t>
        </is>
      </c>
      <c r="E22" s="14" t="inlineStr">
        <is>
          <t>da 3 anni</t>
        </is>
      </c>
      <c r="F22" s="14" t="inlineStr">
        <is>
          <t>3-6 anni</t>
        </is>
      </c>
      <c r="G22" s="14" t="inlineStr">
        <is>
          <t>Albo illustrato</t>
        </is>
      </c>
      <c r="H22" s="14" t="inlineStr"/>
      <c r="I22" s="14" t="inlineStr">
        <is>
          <t>No</t>
        </is>
      </c>
      <c r="J22" s="14" t="inlineStr">
        <is>
          <t>Catalogo</t>
        </is>
      </c>
      <c r="K22" s="14" t="inlineStr">
        <is>
          <t>3-6 anni</t>
        </is>
      </c>
      <c r="L22" s="14" t="inlineStr">
        <is>
          <t>https://www.libri.it/daisy-e-la-bestia</t>
        </is>
      </c>
      <c r="M22" s="16" t="n">
        <v>17</v>
      </c>
      <c r="N22" s="14" t="inlineStr">
        <is>
          <t>Lista titoli Logos Edizioni 2026 (PVP)</t>
        </is>
      </c>
      <c r="O22" s="16">
        <f>IF(ISNUMBER(M22),ROUND(M22*(1-Condizioni!$B$2),2),"")</f>
        <v/>
      </c>
      <c r="P22" s="17" t="inlineStr">
        <is>
          <t>No</t>
        </is>
      </c>
    </row>
    <row r="23">
      <c r="A23" s="14" t="inlineStr">
        <is>
          <t>Logos</t>
        </is>
      </c>
      <c r="B23" s="14" t="inlineStr">
        <is>
          <t>Daisy e l’Uovo</t>
        </is>
      </c>
      <c r="C23" s="14" t="inlineStr">
        <is>
          <t>Jane Simmons</t>
        </is>
      </c>
      <c r="D23" s="14" t="inlineStr">
        <is>
          <t>Albo Ciopi</t>
        </is>
      </c>
      <c r="E23" s="14" t="inlineStr">
        <is>
          <t>da 3 anni</t>
        </is>
      </c>
      <c r="F23" s="14" t="inlineStr">
        <is>
          <t>3-6 anni</t>
        </is>
      </c>
      <c r="G23" s="14" t="inlineStr">
        <is>
          <t>Albo illustrato</t>
        </is>
      </c>
      <c r="H23" s="14" t="inlineStr"/>
      <c r="I23" s="14" t="inlineStr">
        <is>
          <t>No</t>
        </is>
      </c>
      <c r="J23" s="14" t="inlineStr">
        <is>
          <t>Catalogo</t>
        </is>
      </c>
      <c r="K23" s="14" t="inlineStr">
        <is>
          <t>3-6 anni</t>
        </is>
      </c>
      <c r="L23" s="14" t="inlineStr">
        <is>
          <t>https://www.libri.it/daisy-e-l-uovo</t>
        </is>
      </c>
      <c r="M23" s="16" t="n">
        <v>17</v>
      </c>
      <c r="N23" s="14" t="inlineStr">
        <is>
          <t>Lista titoli Logos Edizioni 2026 (PVP)</t>
        </is>
      </c>
      <c r="O23" s="16">
        <f>IF(ISNUMBER(M23),ROUND(M23*(1-Condizioni!$B$2),2),"")</f>
        <v/>
      </c>
      <c r="P23" s="17" t="inlineStr">
        <is>
          <t>No</t>
        </is>
      </c>
    </row>
    <row r="24">
      <c r="A24" s="14" t="inlineStr">
        <is>
          <t>Logos</t>
        </is>
      </c>
      <c r="B24" s="14" t="inlineStr">
        <is>
          <t>Dormi Dormi Tartaruga</t>
        </is>
      </c>
      <c r="C24" s="14" t="inlineStr">
        <is>
          <t>Roberto Aliaga; ill. Alessandra Cimatoribus</t>
        </is>
      </c>
      <c r="D24" s="14" t="inlineStr">
        <is>
          <t>Albo Ciopi</t>
        </is>
      </c>
      <c r="E24" s="14" t="inlineStr">
        <is>
          <t>da 3 anni</t>
        </is>
      </c>
      <c r="F24" s="14" t="inlineStr">
        <is>
          <t>3-6 anni</t>
        </is>
      </c>
      <c r="G24" s="14" t="inlineStr">
        <is>
          <t>Albo illustrato</t>
        </is>
      </c>
      <c r="H24" s="14" t="inlineStr"/>
      <c r="I24" s="14" t="inlineStr">
        <is>
          <t>No</t>
        </is>
      </c>
      <c r="J24" s="14" t="inlineStr">
        <is>
          <t>Catalogo</t>
        </is>
      </c>
      <c r="K24" s="14" t="inlineStr">
        <is>
          <t>3-6 anni</t>
        </is>
      </c>
      <c r="L24" s="14" t="inlineStr">
        <is>
          <t>https://www.libri.it/dormi-dormi-tartaruga-ristampa</t>
        </is>
      </c>
      <c r="M24" s="16" t="n">
        <v>15</v>
      </c>
      <c r="N24" s="14" t="inlineStr">
        <is>
          <t>Lista titoli Logos Edizioni 2026 (PVP)</t>
        </is>
      </c>
      <c r="O24" s="16">
        <f>IF(ISNUMBER(M24),ROUND(M24*(1-Condizioni!$B$2),2),"")</f>
        <v/>
      </c>
      <c r="P24" s="17" t="inlineStr">
        <is>
          <t>No</t>
        </is>
      </c>
    </row>
    <row r="25">
      <c r="A25" s="14" t="inlineStr">
        <is>
          <t>Logos</t>
        </is>
      </c>
      <c r="B25" s="14" t="inlineStr">
        <is>
          <t>Edmondo Va a Scuola</t>
        </is>
      </c>
      <c r="C25" s="14" t="inlineStr">
        <is>
          <t>Thibault Guichon-Laurier; ill. Frédéric Pillot</t>
        </is>
      </c>
      <c r="D25" s="14" t="inlineStr">
        <is>
          <t>Albo Ciopi</t>
        </is>
      </c>
      <c r="E25" s="14" t="inlineStr">
        <is>
          <t>da 3 anni</t>
        </is>
      </c>
      <c r="F25" s="14" t="inlineStr">
        <is>
          <t>3-6 anni</t>
        </is>
      </c>
      <c r="G25" s="14" t="inlineStr">
        <is>
          <t>Albo illustrato</t>
        </is>
      </c>
      <c r="H25" s="14" t="inlineStr"/>
      <c r="I25" s="14" t="inlineStr">
        <is>
          <t>No</t>
        </is>
      </c>
      <c r="J25" s="14" t="inlineStr">
        <is>
          <t>Catalogo</t>
        </is>
      </c>
      <c r="K25" s="14" t="inlineStr">
        <is>
          <t>3-6 anni</t>
        </is>
      </c>
      <c r="L25" s="14" t="inlineStr">
        <is>
          <t>https://www.libri.it/edmondo-scuola</t>
        </is>
      </c>
      <c r="M25" s="16" t="n">
        <v>15</v>
      </c>
      <c r="N25" s="14" t="inlineStr">
        <is>
          <t>Lista titoli Logos Edizioni 2026 (PVP)</t>
        </is>
      </c>
      <c r="O25" s="16">
        <f>IF(ISNUMBER(M25),ROUND(M25*(1-Condizioni!$B$2),2),"")</f>
        <v/>
      </c>
      <c r="P25" s="17" t="inlineStr">
        <is>
          <t>No</t>
        </is>
      </c>
    </row>
    <row r="26">
      <c r="A26" s="14" t="inlineStr">
        <is>
          <t>Logos</t>
        </is>
      </c>
      <c r="B26" s="14" t="inlineStr">
        <is>
          <t>Edmondo Va al Mare</t>
        </is>
      </c>
      <c r="C26" s="14" t="inlineStr">
        <is>
          <t>Thibault Guichon-Laurier; ill. Frédéric Pillot</t>
        </is>
      </c>
      <c r="D26" s="14" t="inlineStr">
        <is>
          <t>Albo Ciopi</t>
        </is>
      </c>
      <c r="E26" s="14" t="inlineStr">
        <is>
          <t>da 3 anni</t>
        </is>
      </c>
      <c r="F26" s="14" t="inlineStr">
        <is>
          <t>3-6 anni</t>
        </is>
      </c>
      <c r="G26" s="14" t="inlineStr">
        <is>
          <t>Albo illustrato</t>
        </is>
      </c>
      <c r="H26" s="14" t="inlineStr"/>
      <c r="I26" s="14" t="inlineStr">
        <is>
          <t>No</t>
        </is>
      </c>
      <c r="J26" s="14" t="inlineStr">
        <is>
          <t>Catalogo</t>
        </is>
      </c>
      <c r="K26" s="14" t="inlineStr">
        <is>
          <t>3-6 anni</t>
        </is>
      </c>
      <c r="L26" s="14" t="inlineStr">
        <is>
          <t>https://www.libri.it/edmondo-mare</t>
        </is>
      </c>
      <c r="M26" s="16" t="n">
        <v>15</v>
      </c>
      <c r="N26" s="14" t="inlineStr">
        <is>
          <t>Lista titoli Logos Edizioni 2026 (PVP)</t>
        </is>
      </c>
      <c r="O26" s="16">
        <f>IF(ISNUMBER(M26),ROUND(M26*(1-Condizioni!$B$2),2),"")</f>
        <v/>
      </c>
      <c r="P26" s="17" t="inlineStr">
        <is>
          <t>No</t>
        </is>
      </c>
    </row>
    <row r="27">
      <c r="A27" s="14" t="inlineStr">
        <is>
          <t>Logos</t>
        </is>
      </c>
      <c r="B27" s="14" t="inlineStr">
        <is>
          <t>Edmondo e Babbo Natale</t>
        </is>
      </c>
      <c r="C27" s="14" t="inlineStr">
        <is>
          <t>Thibault Guichon-Laurier; ill. Frédéric Pillot</t>
        </is>
      </c>
      <c r="D27" s="14" t="inlineStr">
        <is>
          <t>Albo Ciopi</t>
        </is>
      </c>
      <c r="E27" s="14" t="inlineStr">
        <is>
          <t>da 3 anni</t>
        </is>
      </c>
      <c r="F27" s="14" t="inlineStr">
        <is>
          <t>3-6 anni</t>
        </is>
      </c>
      <c r="G27" s="14" t="inlineStr">
        <is>
          <t>Albo illustrato</t>
        </is>
      </c>
      <c r="H27" s="14" t="inlineStr"/>
      <c r="I27" s="14" t="inlineStr">
        <is>
          <t>No</t>
        </is>
      </c>
      <c r="J27" s="14" t="inlineStr">
        <is>
          <t>Catalogo</t>
        </is>
      </c>
      <c r="K27" s="14" t="inlineStr">
        <is>
          <t>3-6 anni</t>
        </is>
      </c>
      <c r="L27" s="14" t="inlineStr">
        <is>
          <t>https://www.libri.it/edmondo-natale</t>
        </is>
      </c>
      <c r="M27" s="16" t="n">
        <v>15</v>
      </c>
      <c r="N27" s="14" t="inlineStr">
        <is>
          <t>Lista titoli Logos Edizioni 2026 (PVP)</t>
        </is>
      </c>
      <c r="O27" s="16">
        <f>IF(ISNUMBER(M27),ROUND(M27*(1-Condizioni!$B$2),2),"")</f>
        <v/>
      </c>
      <c r="P27" s="17" t="inlineStr">
        <is>
          <t>No</t>
        </is>
      </c>
    </row>
    <row r="28">
      <c r="A28" s="14" t="inlineStr">
        <is>
          <t>Logos</t>
        </is>
      </c>
      <c r="B28" s="14" t="inlineStr">
        <is>
          <t>Edmondo e la Cacca Misteriosa</t>
        </is>
      </c>
      <c r="C28" s="14" t="inlineStr">
        <is>
          <t>Thibault Guichon-Laurier; ill. Frédéric Pillot</t>
        </is>
      </c>
      <c r="D28" s="14" t="inlineStr">
        <is>
          <t>Albo Ciopi</t>
        </is>
      </c>
      <c r="E28" s="14" t="inlineStr">
        <is>
          <t>da 3 anni</t>
        </is>
      </c>
      <c r="F28" s="14" t="inlineStr">
        <is>
          <t>3-6 anni</t>
        </is>
      </c>
      <c r="G28" s="14" t="inlineStr">
        <is>
          <t>Albo illustrato</t>
        </is>
      </c>
      <c r="H28" s="14" t="inlineStr"/>
      <c r="I28" s="14" t="inlineStr">
        <is>
          <t>No</t>
        </is>
      </c>
      <c r="J28" s="14" t="inlineStr">
        <is>
          <t>Catalogo</t>
        </is>
      </c>
      <c r="K28" s="14" t="inlineStr">
        <is>
          <t>3-6 anni</t>
        </is>
      </c>
      <c r="L28" s="14" t="inlineStr">
        <is>
          <t>https://www.libri.it/edmondo-cacca</t>
        </is>
      </c>
      <c r="M28" s="16" t="n">
        <v>15</v>
      </c>
      <c r="N28" s="14" t="inlineStr">
        <is>
          <t>Lista titoli Logos Edizioni 2026 (PVP)</t>
        </is>
      </c>
      <c r="O28" s="16">
        <f>IF(ISNUMBER(M28),ROUND(M28*(1-Condizioni!$B$2),2),"")</f>
        <v/>
      </c>
      <c r="P28" s="17" t="inlineStr">
        <is>
          <t>Sì</t>
        </is>
      </c>
    </row>
    <row r="29">
      <c r="A29" s="14" t="inlineStr">
        <is>
          <t>Logos</t>
        </is>
      </c>
      <c r="B29" s="14" t="inlineStr">
        <is>
          <t>Edmondo e la Sua Cuccia</t>
        </is>
      </c>
      <c r="C29" s="14" t="inlineStr">
        <is>
          <t>Thibault Guichon-Laurier; ill. Frédéric Pillot</t>
        </is>
      </c>
      <c r="D29" s="14" t="inlineStr">
        <is>
          <t>Albo Ciopi</t>
        </is>
      </c>
      <c r="E29" s="14" t="inlineStr">
        <is>
          <t>da 3 anni</t>
        </is>
      </c>
      <c r="F29" s="14" t="inlineStr">
        <is>
          <t>3-6 anni</t>
        </is>
      </c>
      <c r="G29" s="14" t="inlineStr">
        <is>
          <t>Albo illustrato</t>
        </is>
      </c>
      <c r="H29" s="14" t="inlineStr"/>
      <c r="I29" s="14" t="inlineStr">
        <is>
          <t>No</t>
        </is>
      </c>
      <c r="J29" s="14" t="inlineStr">
        <is>
          <t>Catalogo</t>
        </is>
      </c>
      <c r="K29" s="14" t="inlineStr">
        <is>
          <t>3-6 anni</t>
        </is>
      </c>
      <c r="L29" s="14" t="inlineStr">
        <is>
          <t>https://www.libri.it/edmondo-cuccia</t>
        </is>
      </c>
      <c r="M29" s="16" t="n">
        <v>15</v>
      </c>
      <c r="N29" s="14" t="inlineStr">
        <is>
          <t>Lista titoli Logos Edizioni 2026 (PVP)</t>
        </is>
      </c>
      <c r="O29" s="16">
        <f>IF(ISNUMBER(M29),ROUND(M29*(1-Condizioni!$B$2),2),"")</f>
        <v/>
      </c>
      <c r="P29" s="17" t="inlineStr">
        <is>
          <t>No</t>
        </is>
      </c>
    </row>
    <row r="30">
      <c r="A30" s="14" t="inlineStr">
        <is>
          <t>Logos</t>
        </is>
      </c>
      <c r="B30" s="14" t="inlineStr">
        <is>
          <t>Edmondo nel Santuario degli Animali</t>
        </is>
      </c>
      <c r="C30" s="14" t="inlineStr">
        <is>
          <t>Thibault Guichon-Laurier; ill. Frédéric Pillot</t>
        </is>
      </c>
      <c r="D30" s="14" t="inlineStr">
        <is>
          <t>Albo Ciopi</t>
        </is>
      </c>
      <c r="E30" s="14" t="inlineStr">
        <is>
          <t>da 3 anni</t>
        </is>
      </c>
      <c r="F30" s="14" t="inlineStr">
        <is>
          <t>3-6 anni</t>
        </is>
      </c>
      <c r="G30" s="14" t="inlineStr">
        <is>
          <t>Albo illustrato</t>
        </is>
      </c>
      <c r="H30" s="14" t="inlineStr"/>
      <c r="I30" s="14" t="inlineStr">
        <is>
          <t>No</t>
        </is>
      </c>
      <c r="J30" s="14" t="inlineStr">
        <is>
          <t>Catalogo</t>
        </is>
      </c>
      <c r="K30" s="14" t="inlineStr">
        <is>
          <t>3-6 anni</t>
        </is>
      </c>
      <c r="L30" s="14" t="inlineStr">
        <is>
          <t>https://www.libri.it/3d/anteprima/edmondosantuario/</t>
        </is>
      </c>
      <c r="M30" s="16" t="n">
        <v>15</v>
      </c>
      <c r="N30" s="14" t="inlineStr">
        <is>
          <t>Lista titoli Logos Edizioni 2026 (PVP)</t>
        </is>
      </c>
      <c r="O30" s="16">
        <f>IF(ISNUMBER(M30),ROUND(M30*(1-Condizioni!$B$2),2),"")</f>
        <v/>
      </c>
      <c r="P30" s="17" t="inlineStr">
        <is>
          <t>No</t>
        </is>
      </c>
    </row>
    <row r="31">
      <c r="A31" s="14" t="inlineStr">
        <is>
          <t>Logos</t>
        </is>
      </c>
      <c r="B31" s="14" t="inlineStr">
        <is>
          <t>Emilio Orso Verde e la Sua Banda</t>
        </is>
      </c>
      <c r="C31" s="14" t="inlineStr">
        <is>
          <t>Janosch</t>
        </is>
      </c>
      <c r="D31" s="14" t="inlineStr">
        <is>
          <t>Biblioteca Ciopi</t>
        </is>
      </c>
      <c r="E31" s="14" t="inlineStr">
        <is>
          <t>da 3 anni</t>
        </is>
      </c>
      <c r="F31" s="14" t="inlineStr">
        <is>
          <t>3-6 anni</t>
        </is>
      </c>
      <c r="G31" s="14" t="inlineStr">
        <is>
          <t>Narrativa</t>
        </is>
      </c>
      <c r="H31" s="14" t="inlineStr"/>
      <c r="I31" s="14" t="inlineStr">
        <is>
          <t>No</t>
        </is>
      </c>
      <c r="J31" s="14" t="inlineStr">
        <is>
          <t>Catalogo</t>
        </is>
      </c>
      <c r="K31" s="14" t="inlineStr">
        <is>
          <t>3-6 anni, narrativa</t>
        </is>
      </c>
      <c r="L31" s="14" t="inlineStr">
        <is>
          <t>https://www.libri.it/emilio-orso-verde-e-la-sua-banda</t>
        </is>
      </c>
      <c r="M31" s="16" t="n">
        <v>8</v>
      </c>
      <c r="N31" s="14" t="inlineStr">
        <is>
          <t>Lista titoli Logos Edizioni 2026 (PVP)</t>
        </is>
      </c>
      <c r="O31" s="16">
        <f>IF(ISNUMBER(M31),ROUND(M31*(1-Condizioni!$B$2),2),"")</f>
        <v/>
      </c>
      <c r="P31" s="17" t="inlineStr">
        <is>
          <t>No</t>
        </is>
      </c>
    </row>
    <row r="32">
      <c r="A32" s="14" t="inlineStr">
        <is>
          <t>Logos</t>
        </is>
      </c>
      <c r="B32" s="14" t="inlineStr">
        <is>
          <t>Forza Daisy!</t>
        </is>
      </c>
      <c r="C32" s="14" t="inlineStr">
        <is>
          <t>Jane Simmons</t>
        </is>
      </c>
      <c r="D32" s="14" t="inlineStr">
        <is>
          <t>Albo Ciopi</t>
        </is>
      </c>
      <c r="E32" s="14" t="inlineStr">
        <is>
          <t>da 3 anni</t>
        </is>
      </c>
      <c r="F32" s="14" t="inlineStr">
        <is>
          <t>3-6 anni</t>
        </is>
      </c>
      <c r="G32" s="14" t="inlineStr">
        <is>
          <t>Albo illustrato</t>
        </is>
      </c>
      <c r="H32" s="14" t="inlineStr"/>
      <c r="I32" s="14" t="inlineStr">
        <is>
          <t>No</t>
        </is>
      </c>
      <c r="J32" s="14" t="inlineStr">
        <is>
          <t>Catalogo</t>
        </is>
      </c>
      <c r="K32" s="14" t="inlineStr">
        <is>
          <t>3-6 anni</t>
        </is>
      </c>
      <c r="L32" s="14" t="inlineStr">
        <is>
          <t>https://www.libri.it/forza-daisy</t>
        </is>
      </c>
      <c r="M32" s="16" t="n">
        <v>17</v>
      </c>
      <c r="N32" s="14" t="inlineStr">
        <is>
          <t>Lista titoli Logos Edizioni 2026 (PVP)</t>
        </is>
      </c>
      <c r="O32" s="16">
        <f>IF(ISNUMBER(M32),ROUND(M32*(1-Condizioni!$B$2),2),"")</f>
        <v/>
      </c>
      <c r="P32" s="17" t="inlineStr">
        <is>
          <t>No</t>
        </is>
      </c>
    </row>
    <row r="33">
      <c r="A33" s="14" t="inlineStr">
        <is>
          <t>Logos</t>
        </is>
      </c>
      <c r="B33" s="14" t="inlineStr">
        <is>
          <t>Grande Festa per Piccolo Tigre</t>
        </is>
      </c>
      <c r="C33" s="14" t="inlineStr">
        <is>
          <t>Janosch</t>
        </is>
      </c>
      <c r="D33" s="14" t="inlineStr">
        <is>
          <t>Biblioteca Ciopi</t>
        </is>
      </c>
      <c r="E33" s="14" t="inlineStr">
        <is>
          <t>da 3 anni</t>
        </is>
      </c>
      <c r="F33" s="14" t="inlineStr">
        <is>
          <t>3-6 anni</t>
        </is>
      </c>
      <c r="G33" s="14" t="inlineStr">
        <is>
          <t>Narrativa</t>
        </is>
      </c>
      <c r="H33" s="14" t="inlineStr"/>
      <c r="I33" s="14" t="inlineStr">
        <is>
          <t>No</t>
        </is>
      </c>
      <c r="J33" s="14" t="inlineStr">
        <is>
          <t>Catalogo</t>
        </is>
      </c>
      <c r="K33" s="14" t="inlineStr">
        <is>
          <t>3-6 anni, narrativa</t>
        </is>
      </c>
      <c r="L33" s="14" t="inlineStr">
        <is>
          <t>https://www.libri.it/grande-festa-per-piccolo-tigre</t>
        </is>
      </c>
      <c r="M33" s="16" t="n">
        <v>8</v>
      </c>
      <c r="N33" s="14" t="inlineStr">
        <is>
          <t>Lista titoli Logos Edizioni 2026 (PVP)</t>
        </is>
      </c>
      <c r="O33" s="16">
        <f>IF(ISNUMBER(M33),ROUND(M33*(1-Condizioni!$B$2),2),"")</f>
        <v/>
      </c>
      <c r="P33" s="17" t="inlineStr">
        <is>
          <t>No</t>
        </is>
      </c>
    </row>
    <row r="34">
      <c r="A34" s="14" t="inlineStr">
        <is>
          <t>Logos</t>
        </is>
      </c>
      <c r="B34" s="14" t="inlineStr">
        <is>
          <t>I Dudù Dove Vanno Quando Muoiono?</t>
        </is>
      </c>
      <c r="C34" s="14" t="inlineStr">
        <is>
          <t>Laurence Salaün; ill. Gilles Rapaport</t>
        </is>
      </c>
      <c r="D34" s="14" t="inlineStr">
        <is>
          <t>Fumetto Ciopi</t>
        </is>
      </c>
      <c r="E34" s="14" t="inlineStr">
        <is>
          <t>da 3 anni</t>
        </is>
      </c>
      <c r="F34" s="14" t="inlineStr">
        <is>
          <t>3-6 anni</t>
        </is>
      </c>
      <c r="G34" s="14" t="inlineStr">
        <is>
          <t>Graphic novel/Fumetto</t>
        </is>
      </c>
      <c r="H34" s="14" t="inlineStr"/>
      <c r="I34" s="14" t="inlineStr">
        <is>
          <t>No</t>
        </is>
      </c>
      <c r="J34" s="14" t="inlineStr">
        <is>
          <t>Catalogo</t>
        </is>
      </c>
      <c r="K34" s="14" t="inlineStr">
        <is>
          <t>3-6 anni</t>
        </is>
      </c>
      <c r="L34" s="14" t="inlineStr">
        <is>
          <t>https://www.libri.it/dove-vanno-i-dudu-quando-muoiono</t>
        </is>
      </c>
      <c r="M34" s="16" t="n">
        <v>10</v>
      </c>
      <c r="N34" s="14" t="inlineStr">
        <is>
          <t>Lista titoli Logos Edizioni 2026 (PVP)</t>
        </is>
      </c>
      <c r="O34" s="16">
        <f>IF(ISNUMBER(M34),ROUND(M34*(1-Condizioni!$B$2),2),"")</f>
        <v/>
      </c>
      <c r="P34" s="17" t="inlineStr">
        <is>
          <t>No</t>
        </is>
      </c>
    </row>
    <row r="35">
      <c r="A35" s="14" t="inlineStr">
        <is>
          <t>Logos</t>
        </is>
      </c>
      <c r="B35" s="14" t="inlineStr">
        <is>
          <t>I Dudù Si Fidanzano?</t>
        </is>
      </c>
      <c r="C35" s="14" t="inlineStr">
        <is>
          <t>Laurence Salaün; ill. Gilles Rapaport</t>
        </is>
      </c>
      <c r="D35" s="14" t="inlineStr">
        <is>
          <t>Fumetto Ciopi</t>
        </is>
      </c>
      <c r="E35" s="14" t="inlineStr">
        <is>
          <t>da 3 anni</t>
        </is>
      </c>
      <c r="F35" s="14" t="inlineStr">
        <is>
          <t>3-6 anni</t>
        </is>
      </c>
      <c r="G35" s="14" t="inlineStr">
        <is>
          <t>Graphic novel/Fumetto</t>
        </is>
      </c>
      <c r="H35" s="14" t="inlineStr"/>
      <c r="I35" s="14" t="inlineStr">
        <is>
          <t>No</t>
        </is>
      </c>
      <c r="J35" s="14" t="inlineStr">
        <is>
          <t>Catalogo</t>
        </is>
      </c>
      <c r="K35" s="14" t="inlineStr">
        <is>
          <t>3-6 anni</t>
        </is>
      </c>
      <c r="L35" s="14" t="inlineStr">
        <is>
          <t>https://www.libri.it/dudu-si-fidanzano</t>
        </is>
      </c>
      <c r="M35" s="16" t="n">
        <v>10</v>
      </c>
      <c r="N35" s="14" t="inlineStr">
        <is>
          <t>Lista titoli Logos Edizioni 2026 (PVP)</t>
        </is>
      </c>
      <c r="O35" s="16">
        <f>IF(ISNUMBER(M35),ROUND(M35*(1-Condizioni!$B$2),2),"")</f>
        <v/>
      </c>
      <c r="P35" s="17" t="inlineStr">
        <is>
          <t>No</t>
        </is>
      </c>
    </row>
    <row r="36">
      <c r="A36" s="14" t="inlineStr">
        <is>
          <t>Logos</t>
        </is>
      </c>
      <c r="B36" s="14" t="inlineStr">
        <is>
          <t>I Dudù Vanno a Scuola?</t>
        </is>
      </c>
      <c r="C36" s="14" t="inlineStr">
        <is>
          <t>Laurence Salaün; ill. Gilles Rapaport</t>
        </is>
      </c>
      <c r="D36" s="14" t="inlineStr">
        <is>
          <t>Fumetto Ciopi</t>
        </is>
      </c>
      <c r="E36" s="14" t="inlineStr">
        <is>
          <t>da 3 anni</t>
        </is>
      </c>
      <c r="F36" s="14" t="inlineStr">
        <is>
          <t>3-6 anni</t>
        </is>
      </c>
      <c r="G36" s="14" t="inlineStr">
        <is>
          <t>Graphic novel/Fumetto</t>
        </is>
      </c>
      <c r="H36" s="14" t="inlineStr"/>
      <c r="I36" s="14" t="inlineStr">
        <is>
          <t>No</t>
        </is>
      </c>
      <c r="J36" s="14" t="inlineStr">
        <is>
          <t>Catalogo</t>
        </is>
      </c>
      <c r="K36" s="14" t="inlineStr">
        <is>
          <t>3-6 anni</t>
        </is>
      </c>
      <c r="L36" s="14" t="inlineStr">
        <is>
          <t>https://www.libri.it/dudu-vanno-a-scuola</t>
        </is>
      </c>
      <c r="M36" s="16" t="n">
        <v>10</v>
      </c>
      <c r="N36" s="14" t="inlineStr">
        <is>
          <t>Lista titoli Logos Edizioni 2026 (PVP)</t>
        </is>
      </c>
      <c r="O36" s="16">
        <f>IF(ISNUMBER(M36),ROUND(M36*(1-Condizioni!$B$2),2),"")</f>
        <v/>
      </c>
      <c r="P36" s="17" t="inlineStr">
        <is>
          <t>No</t>
        </is>
      </c>
    </row>
    <row r="37">
      <c r="A37" s="14" t="inlineStr">
        <is>
          <t>Logos</t>
        </is>
      </c>
      <c r="B37" s="14" t="inlineStr">
        <is>
          <t>Icosachi e Cappuccetto Giallo</t>
        </is>
      </c>
      <c r="C37" s="14" t="inlineStr">
        <is>
          <t>Laurent Rivelaygue; ill. Olivier Tallec</t>
        </is>
      </c>
      <c r="D37" s="14" t="inlineStr">
        <is>
          <t>Fumetto Ciopi</t>
        </is>
      </c>
      <c r="E37" s="14" t="inlineStr">
        <is>
          <t>da 3 anni</t>
        </is>
      </c>
      <c r="F37" s="14" t="inlineStr">
        <is>
          <t>3-6 anni</t>
        </is>
      </c>
      <c r="G37" s="14" t="inlineStr">
        <is>
          <t>Graphic novel/Fumetto</t>
        </is>
      </c>
      <c r="H37" s="14" t="inlineStr"/>
      <c r="I37" s="14" t="inlineStr">
        <is>
          <t>No</t>
        </is>
      </c>
      <c r="J37" s="14" t="inlineStr">
        <is>
          <t>Catalogo</t>
        </is>
      </c>
      <c r="K37" s="14" t="inlineStr">
        <is>
          <t>3-6 anni</t>
        </is>
      </c>
      <c r="L37" s="14" t="inlineStr">
        <is>
          <t>https://www.libri.it/3d/anteprima/icosachicappuccetto/</t>
        </is>
      </c>
      <c r="M37" s="16" t="n">
        <v>12</v>
      </c>
      <c r="N37" s="14" t="inlineStr">
        <is>
          <t>Lista titoli Logos Edizioni 2026 (PVP)</t>
        </is>
      </c>
      <c r="O37" s="16">
        <f>IF(ISNUMBER(M37),ROUND(M37*(1-Condizioni!$B$2),2),"")</f>
        <v/>
      </c>
      <c r="P37" s="17" t="inlineStr">
        <is>
          <t>No</t>
        </is>
      </c>
    </row>
    <row r="38">
      <c r="A38" s="14" t="inlineStr">
        <is>
          <t>Logos</t>
        </is>
      </c>
      <c r="B38" s="14" t="inlineStr">
        <is>
          <t>Icosachi e il Cane Brutto che non Voleva Nessuno</t>
        </is>
      </c>
      <c r="C38" s="14" t="inlineStr">
        <is>
          <t>Laurent Rivelaygue; ill. Olivier Tallec</t>
        </is>
      </c>
      <c r="D38" s="14" t="inlineStr">
        <is>
          <t>Fumetto Ciopi</t>
        </is>
      </c>
      <c r="E38" s="14" t="inlineStr">
        <is>
          <t>da 3 anni</t>
        </is>
      </c>
      <c r="F38" s="14" t="inlineStr">
        <is>
          <t>3-6 anni</t>
        </is>
      </c>
      <c r="G38" s="14" t="inlineStr">
        <is>
          <t>Graphic novel/Fumetto</t>
        </is>
      </c>
      <c r="H38" s="14" t="inlineStr"/>
      <c r="I38" s="14" t="inlineStr">
        <is>
          <t>No</t>
        </is>
      </c>
      <c r="J38" s="14" t="inlineStr">
        <is>
          <t>Catalogo</t>
        </is>
      </c>
      <c r="K38" s="14" t="inlineStr">
        <is>
          <t>3-6 anni</t>
        </is>
      </c>
      <c r="L38" s="14" t="inlineStr">
        <is>
          <t>https://www.libri.it/3d/anteprima/icosachicane/</t>
        </is>
      </c>
      <c r="M38" s="16" t="n">
        <v>12</v>
      </c>
      <c r="N38" s="14" t="inlineStr">
        <is>
          <t>Lista titoli Logos Edizioni 2026 (PVP)</t>
        </is>
      </c>
      <c r="O38" s="16">
        <f>IF(ISNUMBER(M38),ROUND(M38*(1-Condizioni!$B$2),2),"")</f>
        <v/>
      </c>
      <c r="P38" s="17" t="inlineStr">
        <is>
          <t>No</t>
        </is>
      </c>
    </row>
    <row r="39">
      <c r="A39" s="14" t="inlineStr">
        <is>
          <t>Logos</t>
        </is>
      </c>
      <c r="B39" s="14" t="inlineStr">
        <is>
          <t>Icosachi e il Pupazzo di Neve che non Voleva Sciogliersi</t>
        </is>
      </c>
      <c r="C39" s="14" t="inlineStr">
        <is>
          <t>Laurent Rivelaygue; ill. Olivier Tallec</t>
        </is>
      </c>
      <c r="D39" s="14" t="inlineStr">
        <is>
          <t>Fumetto Ciopi</t>
        </is>
      </c>
      <c r="E39" s="14" t="inlineStr">
        <is>
          <t>da 3 anni</t>
        </is>
      </c>
      <c r="F39" s="14" t="inlineStr">
        <is>
          <t>3-6 anni</t>
        </is>
      </c>
      <c r="G39" s="14" t="inlineStr">
        <is>
          <t>Graphic novel/Fumetto</t>
        </is>
      </c>
      <c r="H39" s="14" t="inlineStr"/>
      <c r="I39" s="14" t="inlineStr">
        <is>
          <t>No</t>
        </is>
      </c>
      <c r="J39" s="14" t="inlineStr">
        <is>
          <t>Catalogo</t>
        </is>
      </c>
      <c r="K39" s="14" t="inlineStr">
        <is>
          <t>3-6 anni</t>
        </is>
      </c>
      <c r="L39" s="14" t="inlineStr">
        <is>
          <t>https://www.libri.it/pupazzo-di-neve</t>
        </is>
      </c>
      <c r="M39" s="16" t="n">
        <v>12</v>
      </c>
      <c r="N39" s="14" t="inlineStr">
        <is>
          <t>Lista titoli Logos Edizioni 2026 (PVP)</t>
        </is>
      </c>
      <c r="O39" s="16">
        <f>IF(ISNUMBER(M39),ROUND(M39*(1-Condizioni!$B$2),2),"")</f>
        <v/>
      </c>
      <c r="P39" s="17" t="inlineStr">
        <is>
          <t>No</t>
        </is>
      </c>
    </row>
    <row r="40">
      <c r="A40" s="14" t="inlineStr">
        <is>
          <t>Logos</t>
        </is>
      </c>
      <c r="B40" s="14" t="inlineStr">
        <is>
          <t>Icosachi e la (quasi) Vera Storia di Halloween</t>
        </is>
      </c>
      <c r="C40" s="14" t="inlineStr">
        <is>
          <t>Laurent Rivelaygue; ill. Olivier Tallec</t>
        </is>
      </c>
      <c r="D40" s="14" t="inlineStr">
        <is>
          <t>Fumetto Ciopi</t>
        </is>
      </c>
      <c r="E40" s="14" t="inlineStr">
        <is>
          <t>da 3 anni</t>
        </is>
      </c>
      <c r="F40" s="14" t="inlineStr">
        <is>
          <t>3-6 anni</t>
        </is>
      </c>
      <c r="G40" s="14" t="inlineStr">
        <is>
          <t>Graphic novel/Fumetto</t>
        </is>
      </c>
      <c r="H40" s="14" t="inlineStr"/>
      <c r="I40" s="14" t="inlineStr">
        <is>
          <t>No</t>
        </is>
      </c>
      <c r="J40" s="14" t="inlineStr">
        <is>
          <t>Catalogo</t>
        </is>
      </c>
      <c r="K40" s="14" t="inlineStr">
        <is>
          <t>3-6 anni</t>
        </is>
      </c>
      <c r="L40" s="14" t="inlineStr">
        <is>
          <t>https://www.libri.it/storia-halloween</t>
        </is>
      </c>
      <c r="M40" s="16" t="n">
        <v>12</v>
      </c>
      <c r="N40" s="14" t="inlineStr">
        <is>
          <t>Lista titoli Logos Edizioni 2026 (PVP)</t>
        </is>
      </c>
      <c r="O40" s="16">
        <f>IF(ISNUMBER(M40),ROUND(M40*(1-Condizioni!$B$2),2),"")</f>
        <v/>
      </c>
      <c r="P40" s="17" t="inlineStr">
        <is>
          <t>No</t>
        </is>
      </c>
    </row>
    <row r="41">
      <c r="A41" s="14" t="inlineStr">
        <is>
          <t>Logos</t>
        </is>
      </c>
      <c r="B41" s="14" t="inlineStr">
        <is>
          <t>Icosachi e la Strana Casa che non la Smetteva di Crescere</t>
        </is>
      </c>
      <c r="C41" s="14" t="inlineStr">
        <is>
          <t>Laurent Rivelaygue; ill. Olivier Tallec</t>
        </is>
      </c>
      <c r="D41" s="14" t="inlineStr">
        <is>
          <t>Fumetto Ciopi</t>
        </is>
      </c>
      <c r="E41" s="14" t="inlineStr">
        <is>
          <t>da 3 anni</t>
        </is>
      </c>
      <c r="F41" s="14" t="inlineStr">
        <is>
          <t>3-6 anni</t>
        </is>
      </c>
      <c r="G41" s="14" t="inlineStr">
        <is>
          <t>Graphic novel/Fumetto</t>
        </is>
      </c>
      <c r="H41" s="14" t="inlineStr"/>
      <c r="I41" s="14" t="inlineStr">
        <is>
          <t>No</t>
        </is>
      </c>
      <c r="J41" s="14" t="inlineStr">
        <is>
          <t>Catalogo</t>
        </is>
      </c>
      <c r="K41" s="14" t="inlineStr">
        <is>
          <t>3-6 anni</t>
        </is>
      </c>
      <c r="L41" s="14" t="inlineStr">
        <is>
          <t>https://www.libri.it/icosachi-e-la-strana-casa</t>
        </is>
      </c>
      <c r="M41" s="16" t="n">
        <v>12</v>
      </c>
      <c r="N41" s="14" t="inlineStr">
        <is>
          <t>Lista titoli Logos Edizioni 2026 (PVP)</t>
        </is>
      </c>
      <c r="O41" s="16">
        <f>IF(ISNUMBER(M41),ROUND(M41*(1-Condizioni!$B$2),2),"")</f>
        <v/>
      </c>
      <c r="P41" s="17" t="inlineStr">
        <is>
          <t>No</t>
        </is>
      </c>
    </row>
    <row r="42">
      <c r="A42" s="14" t="inlineStr">
        <is>
          <t>Logos</t>
        </is>
      </c>
      <c r="B42" s="14" t="inlineStr">
        <is>
          <t>Icosachi e la Strana Strega Caduta Dal Cielo</t>
        </is>
      </c>
      <c r="C42" s="14" t="inlineStr">
        <is>
          <t>Laurent Rivelaygue; ill. Olivier Tallec</t>
        </is>
      </c>
      <c r="D42" s="14" t="inlineStr">
        <is>
          <t>Fumetto Ciopi</t>
        </is>
      </c>
      <c r="E42" s="14" t="inlineStr">
        <is>
          <t>da 3 anni</t>
        </is>
      </c>
      <c r="F42" s="14" t="inlineStr">
        <is>
          <t>3-6 anni</t>
        </is>
      </c>
      <c r="G42" s="14" t="inlineStr">
        <is>
          <t>Graphic novel/Fumetto</t>
        </is>
      </c>
      <c r="H42" s="14" t="inlineStr"/>
      <c r="I42" s="14" t="inlineStr">
        <is>
          <t>No</t>
        </is>
      </c>
      <c r="J42" s="14" t="inlineStr">
        <is>
          <t>Catalogo</t>
        </is>
      </c>
      <c r="K42" s="14" t="inlineStr">
        <is>
          <t>3-6 anni</t>
        </is>
      </c>
      <c r="L42" s="14" t="inlineStr">
        <is>
          <t>https://www.libri.it/icosachi-e-la-strana-strega-caduta-dal-cielo</t>
        </is>
      </c>
      <c r="M42" s="16" t="n">
        <v>12</v>
      </c>
      <c r="N42" s="14" t="inlineStr">
        <is>
          <t>Lista titoli Logos Edizioni 2026 (PVP)</t>
        </is>
      </c>
      <c r="O42" s="16">
        <f>IF(ISNUMBER(M42),ROUND(M42*(1-Condizioni!$B$2),2),"")</f>
        <v/>
      </c>
      <c r="P42" s="17" t="inlineStr">
        <is>
          <t>No</t>
        </is>
      </c>
    </row>
    <row r="43">
      <c r="A43" s="14" t="inlineStr">
        <is>
          <t>Logos</t>
        </is>
      </c>
      <c r="B43" s="14" t="inlineStr">
        <is>
          <t>Il Bacio</t>
        </is>
      </c>
      <c r="C43" s="14" t="inlineStr">
        <is>
          <t>Didier Lévy; ill. Gilles Rapaport</t>
        </is>
      </c>
      <c r="D43" s="14" t="inlineStr">
        <is>
          <t>Biblioteca Ciopi</t>
        </is>
      </c>
      <c r="E43" s="14" t="inlineStr">
        <is>
          <t>da 3 anni</t>
        </is>
      </c>
      <c r="F43" s="14" t="inlineStr">
        <is>
          <t>3-6 anni</t>
        </is>
      </c>
      <c r="G43" s="14" t="inlineStr">
        <is>
          <t>Narrativa</t>
        </is>
      </c>
      <c r="H43" s="14" t="inlineStr"/>
      <c r="I43" s="14" t="inlineStr">
        <is>
          <t>No</t>
        </is>
      </c>
      <c r="J43" s="14" t="inlineStr">
        <is>
          <t>Catalogo</t>
        </is>
      </c>
      <c r="K43" s="14" t="inlineStr">
        <is>
          <t>3-6 anni, narrativa</t>
        </is>
      </c>
      <c r="L43" s="14" t="inlineStr">
        <is>
          <t>https://www.libri.it/il-bacio</t>
        </is>
      </c>
      <c r="M43" s="16" t="n">
        <v>8</v>
      </c>
      <c r="N43" s="14" t="inlineStr">
        <is>
          <t>Lista titoli Logos Edizioni 2026 (PVP)</t>
        </is>
      </c>
      <c r="O43" s="16">
        <f>IF(ISNUMBER(M43),ROUND(M43*(1-Condizioni!$B$2),2),"")</f>
        <v/>
      </c>
      <c r="P43" s="17" t="inlineStr">
        <is>
          <t>No</t>
        </is>
      </c>
    </row>
    <row r="44">
      <c r="A44" s="14" t="inlineStr">
        <is>
          <t>Logos</t>
        </is>
      </c>
      <c r="B44" s="14" t="inlineStr">
        <is>
          <t>Il Canzoniere della Ciopi</t>
        </is>
      </c>
      <c r="C44" s="14" t="inlineStr">
        <is>
          <t>Aa.Vv; ill. Roger Olmos</t>
        </is>
      </c>
      <c r="D44" s="14" t="inlineStr">
        <is>
          <t>Ciopilopini</t>
        </is>
      </c>
      <c r="E44" s="14" t="inlineStr">
        <is>
          <t>da 3 anni</t>
        </is>
      </c>
      <c r="F44" s="14" t="inlineStr">
        <is>
          <t>3-6 anni</t>
        </is>
      </c>
      <c r="G44" s="14" t="inlineStr">
        <is>
          <t>Albo illustrato</t>
        </is>
      </c>
      <c r="H44" s="14" t="inlineStr"/>
      <c r="I44" s="14" t="inlineStr">
        <is>
          <t>No</t>
        </is>
      </c>
      <c r="J44" s="14" t="inlineStr">
        <is>
          <t>Catalogo</t>
        </is>
      </c>
      <c r="K44" s="14" t="inlineStr">
        <is>
          <t>3-6 anni</t>
        </is>
      </c>
      <c r="L44" s="14" t="inlineStr">
        <is>
          <t>https://www.libri.it/canzoniere-della-ciopi</t>
        </is>
      </c>
      <c r="M44" s="16" t="n">
        <v>12</v>
      </c>
      <c r="N44" s="14" t="inlineStr">
        <is>
          <t>Lista titoli Logos Edizioni 2026 (PVP)</t>
        </is>
      </c>
      <c r="O44" s="16">
        <f>IF(ISNUMBER(M44),ROUND(M44*(1-Condizioni!$B$2),2),"")</f>
        <v/>
      </c>
      <c r="P44" s="17" t="inlineStr">
        <is>
          <t>No</t>
        </is>
      </c>
    </row>
    <row r="45">
      <c r="A45" s="14" t="inlineStr">
        <is>
          <t>Logos</t>
        </is>
      </c>
      <c r="B45" s="14" t="inlineStr">
        <is>
          <t>Il Lupo che Aveva Paura di Tutto</t>
        </is>
      </c>
      <c r="C45" s="14" t="inlineStr">
        <is>
          <t>Ann Rocard; ill. Israel Barrón</t>
        </is>
      </c>
      <c r="D45" s="14" t="inlineStr">
        <is>
          <t>Biblioteca Ciopi</t>
        </is>
      </c>
      <c r="E45" s="14" t="inlineStr">
        <is>
          <t>da 3 anni</t>
        </is>
      </c>
      <c r="F45" s="14" t="inlineStr">
        <is>
          <t>3-6 anni</t>
        </is>
      </c>
      <c r="G45" s="14" t="inlineStr">
        <is>
          <t>Narrativa</t>
        </is>
      </c>
      <c r="H45" s="14" t="inlineStr"/>
      <c r="I45" s="14" t="inlineStr">
        <is>
          <t>No</t>
        </is>
      </c>
      <c r="J45" s="14" t="inlineStr">
        <is>
          <t>Catalogo</t>
        </is>
      </c>
      <c r="K45" s="14" t="inlineStr">
        <is>
          <t>3-6 anni, narrativa</t>
        </is>
      </c>
      <c r="L45" s="14" t="inlineStr">
        <is>
          <t>https://www.libri.it/il-lupo-che-aveva-paura-di-tutto</t>
        </is>
      </c>
      <c r="M45" s="16" t="n">
        <v>8</v>
      </c>
      <c r="N45" s="14" t="inlineStr">
        <is>
          <t>Lista titoli Logos Edizioni 2026 (PVP)</t>
        </is>
      </c>
      <c r="O45" s="16">
        <f>IF(ISNUMBER(M45),ROUND(M45*(1-Condizioni!$B$2),2),"")</f>
        <v/>
      </c>
      <c r="P45" s="17" t="inlineStr">
        <is>
          <t>No</t>
        </is>
      </c>
    </row>
    <row r="46">
      <c r="A46" s="14" t="inlineStr">
        <is>
          <t>Logos</t>
        </is>
      </c>
      <c r="B46" s="14" t="inlineStr">
        <is>
          <t>Il Pozzo dei Desideri</t>
        </is>
      </c>
      <c r="C46" s="14" t="inlineStr">
        <is>
          <t>Lawrence Schimel; ill. Israel Barrón</t>
        </is>
      </c>
      <c r="D46" s="14" t="inlineStr">
        <is>
          <t>Biblioteca Ciopi</t>
        </is>
      </c>
      <c r="E46" s="14" t="inlineStr">
        <is>
          <t>da 3 anni</t>
        </is>
      </c>
      <c r="F46" s="14" t="inlineStr">
        <is>
          <t>3-6 anni</t>
        </is>
      </c>
      <c r="G46" s="14" t="inlineStr">
        <is>
          <t>Narrativa</t>
        </is>
      </c>
      <c r="H46" s="14" t="inlineStr"/>
      <c r="I46" s="14" t="inlineStr">
        <is>
          <t>No</t>
        </is>
      </c>
      <c r="J46" s="14" t="inlineStr">
        <is>
          <t>Catalogo</t>
        </is>
      </c>
      <c r="K46" s="14" t="inlineStr">
        <is>
          <t>3-6 anni, narrativa</t>
        </is>
      </c>
      <c r="L46" s="14" t="inlineStr">
        <is>
          <t>https://www.libri.it/pozzo-dei-desideri</t>
        </is>
      </c>
      <c r="M46" s="16" t="n">
        <v>11</v>
      </c>
      <c r="N46" s="14" t="inlineStr">
        <is>
          <t>Lista titoli Logos Edizioni 2026 (PVP)</t>
        </is>
      </c>
      <c r="O46" s="16">
        <f>IF(ISNUMBER(M46),ROUND(M46*(1-Condizioni!$B$2),2),"")</f>
        <v/>
      </c>
      <c r="P46" s="17" t="inlineStr">
        <is>
          <t>No</t>
        </is>
      </c>
    </row>
    <row r="47">
      <c r="A47" s="14" t="inlineStr">
        <is>
          <t>Logos</t>
        </is>
      </c>
      <c r="B47" s="14" t="inlineStr">
        <is>
          <t>Il Riposino</t>
        </is>
      </c>
      <c r="C47" s="14" t="inlineStr">
        <is>
          <t>Camille Romanetto</t>
        </is>
      </c>
      <c r="D47" s="14" t="inlineStr">
        <is>
          <t>Ipinipini</t>
        </is>
      </c>
      <c r="E47" s="14" t="inlineStr">
        <is>
          <t>da 3 anni</t>
        </is>
      </c>
      <c r="F47" s="14" t="inlineStr">
        <is>
          <t>3-6 anni</t>
        </is>
      </c>
      <c r="G47" s="14" t="inlineStr">
        <is>
          <t>Albo illustrato</t>
        </is>
      </c>
      <c r="H47" s="14" t="inlineStr"/>
      <c r="I47" s="14" t="inlineStr">
        <is>
          <t>No</t>
        </is>
      </c>
      <c r="J47" s="14" t="inlineStr">
        <is>
          <t>Catalogo</t>
        </is>
      </c>
      <c r="K47" s="14" t="inlineStr">
        <is>
          <t>3-6 anni</t>
        </is>
      </c>
      <c r="L47" s="14" t="inlineStr">
        <is>
          <t>https://www.libri.it/il-riposino</t>
        </is>
      </c>
      <c r="M47" s="16" t="n">
        <v>12</v>
      </c>
      <c r="N47" s="14" t="inlineStr">
        <is>
          <t>Lista titoli Logos Edizioni 2026 (PVP)</t>
        </is>
      </c>
      <c r="O47" s="16">
        <f>IF(ISNUMBER(M47),ROUND(M47*(1-Condizioni!$B$2),2),"")</f>
        <v/>
      </c>
      <c r="P47" s="17" t="inlineStr">
        <is>
          <t>No</t>
        </is>
      </c>
    </row>
    <row r="48">
      <c r="A48" s="14" t="inlineStr">
        <is>
          <t>Logos</t>
        </is>
      </c>
      <c r="B48" s="14" t="inlineStr">
        <is>
          <t>In Tre nel Lettone</t>
        </is>
      </c>
      <c r="C48" s="14" t="inlineStr">
        <is>
          <t>Yolanda Reyes; ill. Ivar da Col</t>
        </is>
      </c>
      <c r="D48" s="14" t="inlineStr">
        <is>
          <t>Biblioteca Ciopi</t>
        </is>
      </c>
      <c r="E48" s="14" t="inlineStr">
        <is>
          <t>da 3 anni</t>
        </is>
      </c>
      <c r="F48" s="14" t="inlineStr">
        <is>
          <t>3-6 anni</t>
        </is>
      </c>
      <c r="G48" s="14" t="inlineStr">
        <is>
          <t>Narrativa</t>
        </is>
      </c>
      <c r="H48" s="14" t="inlineStr"/>
      <c r="I48" s="14" t="inlineStr">
        <is>
          <t>No</t>
        </is>
      </c>
      <c r="J48" s="14" t="inlineStr">
        <is>
          <t>Catalogo</t>
        </is>
      </c>
      <c r="K48" s="14" t="inlineStr">
        <is>
          <t>3-6 anni, narrativa</t>
        </is>
      </c>
      <c r="L48" s="14" t="inlineStr">
        <is>
          <t>https://www.libri.it/in-tre-nel-lettone</t>
        </is>
      </c>
      <c r="M48" s="16" t="n">
        <v>8</v>
      </c>
      <c r="N48" s="14" t="inlineStr">
        <is>
          <t>Lista titoli Logos Edizioni 2026 (PVP)</t>
        </is>
      </c>
      <c r="O48" s="16">
        <f>IF(ISNUMBER(M48),ROUND(M48*(1-Condizioni!$B$2),2),"")</f>
        <v/>
      </c>
      <c r="P48" s="17" t="inlineStr">
        <is>
          <t>No</t>
        </is>
      </c>
    </row>
    <row r="49">
      <c r="A49" s="14" t="inlineStr">
        <is>
          <t>Logos</t>
        </is>
      </c>
      <c r="B49" s="14" t="inlineStr">
        <is>
          <t>Io non Mangerò Mai un Pomodoro</t>
        </is>
      </c>
      <c r="C49" s="14" t="inlineStr">
        <is>
          <t>Lauren Child</t>
        </is>
      </c>
      <c r="D49" s="14" t="inlineStr">
        <is>
          <t>Albo Ciopi</t>
        </is>
      </c>
      <c r="E49" s="14" t="inlineStr">
        <is>
          <t>da 3 anni</t>
        </is>
      </c>
      <c r="F49" s="14" t="inlineStr">
        <is>
          <t>3-6 anni</t>
        </is>
      </c>
      <c r="G49" s="14" t="inlineStr">
        <is>
          <t>Albo illustrato</t>
        </is>
      </c>
      <c r="H49" s="14" t="inlineStr"/>
      <c r="I49" s="14" t="inlineStr">
        <is>
          <t>No</t>
        </is>
      </c>
      <c r="J49" s="14" t="inlineStr">
        <is>
          <t>Catalogo</t>
        </is>
      </c>
      <c r="K49" s="14" t="inlineStr">
        <is>
          <t>3-6 anni</t>
        </is>
      </c>
      <c r="L49" s="14" t="inlineStr">
        <is>
          <t>https://www.libri.it/non-mangero-mai-un-pomodoro</t>
        </is>
      </c>
      <c r="M49" s="16" t="n">
        <v>16.5</v>
      </c>
      <c r="N49" s="14" t="inlineStr">
        <is>
          <t>Lista titoli Logos Edizioni 2026 (PVP)</t>
        </is>
      </c>
      <c r="O49" s="16">
        <f>IF(ISNUMBER(M49),ROUND(M49*(1-Condizioni!$B$2),2),"")</f>
        <v/>
      </c>
      <c r="P49" s="17" t="inlineStr">
        <is>
          <t>No</t>
        </is>
      </c>
    </row>
    <row r="50">
      <c r="A50" s="14" t="inlineStr">
        <is>
          <t>Logos</t>
        </is>
      </c>
      <c r="B50" s="14" t="inlineStr">
        <is>
          <t>La Famiglia Volpitassi 1 – l’Incontro</t>
        </is>
      </c>
      <c r="C50" s="14" t="inlineStr">
        <is>
          <t>Brigitte Luciani; ill. Eve Tharlet</t>
        </is>
      </c>
      <c r="D50" s="14" t="inlineStr">
        <is>
          <t>Fumetto Ciopi</t>
        </is>
      </c>
      <c r="E50" s="14" t="inlineStr">
        <is>
          <t>da 3 anni</t>
        </is>
      </c>
      <c r="F50" s="14" t="inlineStr">
        <is>
          <t>3-6 anni</t>
        </is>
      </c>
      <c r="G50" s="14" t="inlineStr">
        <is>
          <t>Graphic novel/Fumetto</t>
        </is>
      </c>
      <c r="H50" s="14" t="inlineStr"/>
      <c r="I50" s="14" t="inlineStr">
        <is>
          <t>No</t>
        </is>
      </c>
      <c r="J50" s="14" t="inlineStr">
        <is>
          <t>Catalogo</t>
        </is>
      </c>
      <c r="K50" s="14" t="inlineStr">
        <is>
          <t>3-6 anni</t>
        </is>
      </c>
      <c r="L50" s="14" t="inlineStr">
        <is>
          <t>https://www.libri.it/volpitassi-1</t>
        </is>
      </c>
      <c r="M50" s="16" t="n">
        <v>12</v>
      </c>
      <c r="N50" s="14" t="inlineStr">
        <is>
          <t>Lista titoli Logos Edizioni 2026 (PVP)</t>
        </is>
      </c>
      <c r="O50" s="16">
        <f>IF(ISNUMBER(M50),ROUND(M50*(1-Condizioni!$B$2),2),"")</f>
        <v/>
      </c>
      <c r="P50" s="17" t="inlineStr">
        <is>
          <t>Sì</t>
        </is>
      </c>
    </row>
    <row r="51">
      <c r="A51" s="14" t="inlineStr">
        <is>
          <t>Logos</t>
        </is>
      </c>
      <c r="B51" s="14" t="inlineStr">
        <is>
          <t>La Famiglia Volpitassi 2 - che Confusione!</t>
        </is>
      </c>
      <c r="C51" s="14" t="inlineStr">
        <is>
          <t>Brigitte Luciani; ill. Eve Tharlet</t>
        </is>
      </c>
      <c r="D51" s="14" t="inlineStr">
        <is>
          <t>Fumetto Ciopi</t>
        </is>
      </c>
      <c r="E51" s="14" t="inlineStr">
        <is>
          <t>da 3 anni</t>
        </is>
      </c>
      <c r="F51" s="14" t="inlineStr">
        <is>
          <t>3-6 anni</t>
        </is>
      </c>
      <c r="G51" s="14" t="inlineStr">
        <is>
          <t>Graphic novel/Fumetto</t>
        </is>
      </c>
      <c r="H51" s="14" t="inlineStr"/>
      <c r="I51" s="14" t="inlineStr">
        <is>
          <t>No</t>
        </is>
      </c>
      <c r="J51" s="14" t="inlineStr">
        <is>
          <t>Catalogo</t>
        </is>
      </c>
      <c r="K51" s="14" t="inlineStr">
        <is>
          <t>3-6 anni</t>
        </is>
      </c>
      <c r="L51" s="14" t="inlineStr">
        <is>
          <t>https://www.libri.it/volpitassi-che-confusione</t>
        </is>
      </c>
      <c r="M51" s="16" t="n">
        <v>14</v>
      </c>
      <c r="N51" s="14" t="inlineStr">
        <is>
          <t>Lista titoli Logos Edizioni 2026 (PVP)</t>
        </is>
      </c>
      <c r="O51" s="16">
        <f>IF(ISNUMBER(M51),ROUND(M51*(1-Condizioni!$B$2),2),"")</f>
        <v/>
      </c>
      <c r="P51" s="17" t="inlineStr">
        <is>
          <t>No</t>
        </is>
      </c>
    </row>
    <row r="52">
      <c r="A52" s="14" t="inlineStr">
        <is>
          <t>Logos</t>
        </is>
      </c>
      <c r="B52" s="14" t="inlineStr">
        <is>
          <t>La Famiglia Volpitassi 3 che Squadra</t>
        </is>
      </c>
      <c r="C52" s="14" t="inlineStr">
        <is>
          <t>Brigitte Luciani; ill. Eve Tharlet</t>
        </is>
      </c>
      <c r="D52" s="14" t="inlineStr">
        <is>
          <t>Fumetto Ciopi</t>
        </is>
      </c>
      <c r="E52" s="14" t="inlineStr">
        <is>
          <t>da 3 anni</t>
        </is>
      </c>
      <c r="F52" s="14" t="inlineStr">
        <is>
          <t>3-6 anni</t>
        </is>
      </c>
      <c r="G52" s="14" t="inlineStr">
        <is>
          <t>Graphic novel/Fumetto</t>
        </is>
      </c>
      <c r="H52" s="14" t="inlineStr"/>
      <c r="I52" s="14" t="inlineStr">
        <is>
          <t>No</t>
        </is>
      </c>
      <c r="J52" s="14" t="inlineStr">
        <is>
          <t>Catalogo</t>
        </is>
      </c>
      <c r="K52" s="14" t="inlineStr">
        <is>
          <t>3-6 anni</t>
        </is>
      </c>
      <c r="L52" s="14" t="inlineStr">
        <is>
          <t>https://www.libri.it</t>
        </is>
      </c>
      <c r="M52" s="16" t="n">
        <v>15</v>
      </c>
      <c r="N52" s="14" t="inlineStr">
        <is>
          <t>Lista titoli Logos Edizioni 2026 (PVP)</t>
        </is>
      </c>
      <c r="O52" s="16">
        <f>IF(ISNUMBER(M52),ROUND(M52*(1-Condizioni!$B$2),2),"")</f>
        <v/>
      </c>
      <c r="P52" s="17" t="inlineStr">
        <is>
          <t>No</t>
        </is>
      </c>
    </row>
    <row r="53">
      <c r="A53" s="14" t="inlineStr">
        <is>
          <t>Logos</t>
        </is>
      </c>
      <c r="B53" s="14" t="inlineStr">
        <is>
          <t>La Famiglia Volpitassi Racconta - Emozioni</t>
        </is>
      </c>
      <c r="C53" s="14" t="inlineStr">
        <is>
          <t>Brigitte Luciani; ill. Eve Tharlet</t>
        </is>
      </c>
      <c r="D53" s="14" t="inlineStr">
        <is>
          <t>Fumetto Ciopi</t>
        </is>
      </c>
      <c r="E53" s="14" t="inlineStr">
        <is>
          <t>da 3 anni</t>
        </is>
      </c>
      <c r="F53" s="14" t="inlineStr">
        <is>
          <t>3-6 anni</t>
        </is>
      </c>
      <c r="G53" s="14" t="inlineStr">
        <is>
          <t>Graphic novel/Fumetto</t>
        </is>
      </c>
      <c r="H53" s="14" t="inlineStr"/>
      <c r="I53" s="14" t="inlineStr">
        <is>
          <t>No</t>
        </is>
      </c>
      <c r="J53" s="14" t="inlineStr">
        <is>
          <t>Catalogo</t>
        </is>
      </c>
      <c r="K53" s="14" t="inlineStr">
        <is>
          <t>3-6 anni</t>
        </is>
      </c>
      <c r="L53" s="14" t="inlineStr">
        <is>
          <t>https://www.libri.it</t>
        </is>
      </c>
      <c r="M53" s="16" t="n">
        <v>15</v>
      </c>
      <c r="N53" s="14" t="inlineStr">
        <is>
          <t>Lista titoli Logos Edizioni 2026 (PVP)</t>
        </is>
      </c>
      <c r="O53" s="16">
        <f>IF(ISNUMBER(M53),ROUND(M53*(1-Condizioni!$B$2),2),"")</f>
        <v/>
      </c>
      <c r="P53" s="17" t="inlineStr">
        <is>
          <t>No</t>
        </is>
      </c>
    </row>
    <row r="54">
      <c r="A54" s="14" t="inlineStr">
        <is>
          <t>Logos</t>
        </is>
      </c>
      <c r="B54" s="14" t="inlineStr">
        <is>
          <t>La Famiglia Volpitassi Racconta - gli Alberi</t>
        </is>
      </c>
      <c r="C54" s="14" t="inlineStr">
        <is>
          <t>Brigitte Luciani; ill. Eve Tharlet</t>
        </is>
      </c>
      <c r="D54" s="14" t="inlineStr">
        <is>
          <t>Fumetto Ciopi</t>
        </is>
      </c>
      <c r="E54" s="14" t="inlineStr">
        <is>
          <t>da 3 anni</t>
        </is>
      </c>
      <c r="F54" s="14" t="inlineStr">
        <is>
          <t>3-6 anni</t>
        </is>
      </c>
      <c r="G54" s="14" t="inlineStr">
        <is>
          <t>Graphic novel/Fumetto</t>
        </is>
      </c>
      <c r="H54" s="14" t="inlineStr"/>
      <c r="I54" s="14" t="inlineStr">
        <is>
          <t>No</t>
        </is>
      </c>
      <c r="J54" s="14" t="inlineStr">
        <is>
          <t>Catalogo</t>
        </is>
      </c>
      <c r="K54" s="14" t="inlineStr">
        <is>
          <t>3-6 anni</t>
        </is>
      </c>
      <c r="L54" s="14" t="inlineStr">
        <is>
          <t>https://www.libri.it/volpitassi-alberi</t>
        </is>
      </c>
      <c r="M54" s="16" t="n">
        <v>14</v>
      </c>
      <c r="N54" s="14" t="inlineStr">
        <is>
          <t>Lista titoli Logos Edizioni 2026 (PVP)</t>
        </is>
      </c>
      <c r="O54" s="16">
        <f>IF(ISNUMBER(M54),ROUND(M54*(1-Condizioni!$B$2),2),"")</f>
        <v/>
      </c>
      <c r="P54" s="17" t="inlineStr">
        <is>
          <t>No</t>
        </is>
      </c>
    </row>
    <row r="55">
      <c r="A55" s="14" t="inlineStr">
        <is>
          <t>Logos</t>
        </is>
      </c>
      <c r="B55" s="14" t="inlineStr">
        <is>
          <t>La Famiglia Volpitassi Racconta – Vivere Insieme!</t>
        </is>
      </c>
      <c r="C55" s="14" t="inlineStr">
        <is>
          <t>Brigitte Luciani; ill. Eve Tharlet</t>
        </is>
      </c>
      <c r="D55" s="14" t="inlineStr">
        <is>
          <t>Fumetto Ciopi</t>
        </is>
      </c>
      <c r="E55" s="14" t="inlineStr">
        <is>
          <t>da 3 anni</t>
        </is>
      </c>
      <c r="F55" s="14" t="inlineStr">
        <is>
          <t>3-6 anni</t>
        </is>
      </c>
      <c r="G55" s="14" t="inlineStr">
        <is>
          <t>Graphic novel/Fumetto</t>
        </is>
      </c>
      <c r="H55" s="14" t="inlineStr"/>
      <c r="I55" s="14" t="inlineStr">
        <is>
          <t>No</t>
        </is>
      </c>
      <c r="J55" s="14" t="inlineStr">
        <is>
          <t>Catalogo</t>
        </is>
      </c>
      <c r="K55" s="14" t="inlineStr">
        <is>
          <t>3-6 anni</t>
        </is>
      </c>
      <c r="L55" s="14" t="inlineStr">
        <is>
          <t>https://www.libri.it/vivere-insieme</t>
        </is>
      </c>
      <c r="M55" s="16" t="n">
        <v>12</v>
      </c>
      <c r="N55" s="14" t="inlineStr">
        <is>
          <t>Lista titoli Logos Edizioni 2026 (PVP)</t>
        </is>
      </c>
      <c r="O55" s="16">
        <f>IF(ISNUMBER(M55),ROUND(M55*(1-Condizioni!$B$2),2),"")</f>
        <v/>
      </c>
      <c r="P55" s="17" t="inlineStr">
        <is>
          <t>No</t>
        </is>
      </c>
    </row>
    <row r="56">
      <c r="A56" s="14" t="inlineStr">
        <is>
          <t>Logos</t>
        </is>
      </c>
      <c r="B56" s="14" t="inlineStr">
        <is>
          <t>La Rapa Gigante</t>
        </is>
      </c>
      <c r="C56" s="14" t="inlineStr">
        <is>
          <t>Aleksej Tolstoj; ill. Niamh Sharkey</t>
        </is>
      </c>
      <c r="D56" s="14" t="inlineStr">
        <is>
          <t>Albo Ciopi</t>
        </is>
      </c>
      <c r="E56" s="14" t="inlineStr">
        <is>
          <t>da 3 anni</t>
        </is>
      </c>
      <c r="F56" s="14" t="inlineStr">
        <is>
          <t>3-6 anni</t>
        </is>
      </c>
      <c r="G56" s="14" t="inlineStr">
        <is>
          <t>Albo illustrato</t>
        </is>
      </c>
      <c r="H56" s="14" t="inlineStr"/>
      <c r="I56" s="14" t="inlineStr">
        <is>
          <t>No</t>
        </is>
      </c>
      <c r="J56" s="14" t="inlineStr">
        <is>
          <t>Catalogo</t>
        </is>
      </c>
      <c r="K56" s="14" t="inlineStr">
        <is>
          <t>3-6 anni</t>
        </is>
      </c>
      <c r="L56" s="14" t="inlineStr">
        <is>
          <t>https://www.libri.it/rapa-gigante</t>
        </is>
      </c>
      <c r="M56" s="16" t="n">
        <v>18</v>
      </c>
      <c r="N56" s="14" t="inlineStr">
        <is>
          <t>Lista titoli Logos Edizioni 2026 (PVP)</t>
        </is>
      </c>
      <c r="O56" s="16">
        <f>IF(ISNUMBER(M56),ROUND(M56*(1-Condizioni!$B$2),2),"")</f>
        <v/>
      </c>
      <c r="P56" s="17" t="inlineStr">
        <is>
          <t>No</t>
        </is>
      </c>
    </row>
    <row r="57">
      <c r="A57" s="14" t="inlineStr">
        <is>
          <t>Logos</t>
        </is>
      </c>
      <c r="B57" s="14" t="inlineStr">
        <is>
          <t>Leggermente Invisibile</t>
        </is>
      </c>
      <c r="C57" s="14" t="inlineStr">
        <is>
          <t>Lauren Child</t>
        </is>
      </c>
      <c r="D57" s="14" t="inlineStr">
        <is>
          <t>Albo Ciopi</t>
        </is>
      </c>
      <c r="E57" s="14" t="inlineStr">
        <is>
          <t>da 3 anni</t>
        </is>
      </c>
      <c r="F57" s="14" t="inlineStr">
        <is>
          <t>3-6 anni</t>
        </is>
      </c>
      <c r="G57" s="14" t="inlineStr">
        <is>
          <t>Albo illustrato</t>
        </is>
      </c>
      <c r="H57" s="14" t="inlineStr"/>
      <c r="I57" s="14" t="inlineStr">
        <is>
          <t>No</t>
        </is>
      </c>
      <c r="J57" s="14" t="inlineStr">
        <is>
          <t>Catalogo</t>
        </is>
      </c>
      <c r="K57" s="14" t="inlineStr">
        <is>
          <t>3-6 anni</t>
        </is>
      </c>
      <c r="L57" s="14" t="inlineStr">
        <is>
          <t>https://www.libri.it/leggermente-invisibile</t>
        </is>
      </c>
      <c r="M57" s="16" t="n">
        <v>17</v>
      </c>
      <c r="N57" s="14" t="inlineStr">
        <is>
          <t>Lista titoli Logos Edizioni 2026 (PVP)</t>
        </is>
      </c>
      <c r="O57" s="16">
        <f>IF(ISNUMBER(M57),ROUND(M57*(1-Condizioni!$B$2),2),"")</f>
        <v/>
      </c>
      <c r="P57" s="17" t="inlineStr">
        <is>
          <t>No</t>
        </is>
      </c>
    </row>
    <row r="58">
      <c r="A58" s="14" t="inlineStr">
        <is>
          <t>Logos</t>
        </is>
      </c>
      <c r="B58" s="14" t="inlineStr">
        <is>
          <t>Lettere nel Bosco</t>
        </is>
      </c>
      <c r="C58" s="14" t="inlineStr">
        <is>
          <t>Susanna Isern; ill. Daniel Montero Galán</t>
        </is>
      </c>
      <c r="D58" s="14" t="inlineStr">
        <is>
          <t>Albo Ciopi</t>
        </is>
      </c>
      <c r="E58" s="14" t="inlineStr">
        <is>
          <t>da 3 anni</t>
        </is>
      </c>
      <c r="F58" s="14" t="inlineStr">
        <is>
          <t>3-6 anni</t>
        </is>
      </c>
      <c r="G58" s="14" t="inlineStr">
        <is>
          <t>Albo illustrato</t>
        </is>
      </c>
      <c r="H58" s="14" t="inlineStr"/>
      <c r="I58" s="14" t="inlineStr">
        <is>
          <t>No</t>
        </is>
      </c>
      <c r="J58" s="14" t="inlineStr">
        <is>
          <t>Catalogo</t>
        </is>
      </c>
      <c r="K58" s="14" t="inlineStr">
        <is>
          <t>3-6 anni</t>
        </is>
      </c>
      <c r="L58" s="14" t="inlineStr">
        <is>
          <t>https://www.libri.it/lettere-nel-bosco</t>
        </is>
      </c>
      <c r="M58" s="16" t="n">
        <v>16</v>
      </c>
      <c r="N58" s="14" t="inlineStr">
        <is>
          <t>Lista titoli Logos Edizioni 2026 (PVP)</t>
        </is>
      </c>
      <c r="O58" s="16">
        <f>IF(ISNUMBER(M58),ROUND(M58*(1-Condizioni!$B$2),2),"")</f>
        <v/>
      </c>
      <c r="P58" s="17" t="inlineStr">
        <is>
          <t>No</t>
        </is>
      </c>
    </row>
    <row r="59">
      <c r="A59" s="14" t="inlineStr">
        <is>
          <t>Logos</t>
        </is>
      </c>
      <c r="B59" s="14" t="inlineStr">
        <is>
          <t>Linette - Compagno di Giardino</t>
        </is>
      </c>
      <c r="C59" s="14" t="inlineStr">
        <is>
          <t>Catherine Romat; ill. Jean-Philippe Peyraud</t>
        </is>
      </c>
      <c r="D59" s="14" t="inlineStr">
        <is>
          <t>Fumetto Ciopi</t>
        </is>
      </c>
      <c r="E59" s="14" t="inlineStr">
        <is>
          <t>da 3 anni</t>
        </is>
      </c>
      <c r="F59" s="14" t="inlineStr">
        <is>
          <t>3-6 anni</t>
        </is>
      </c>
      <c r="G59" s="14" t="inlineStr">
        <is>
          <t>Graphic novel/Fumetto</t>
        </is>
      </c>
      <c r="H59" s="14" t="inlineStr"/>
      <c r="I59" s="14" t="inlineStr">
        <is>
          <t>No</t>
        </is>
      </c>
      <c r="J59" s="14" t="inlineStr">
        <is>
          <t>Catalogo</t>
        </is>
      </c>
      <c r="K59" s="14" t="inlineStr">
        <is>
          <t>3-6 anni</t>
        </is>
      </c>
      <c r="L59" s="14" t="inlineStr">
        <is>
          <t>https://www.libri.it/linette-compagno-giardino</t>
        </is>
      </c>
      <c r="M59" s="16" t="n">
        <v>14</v>
      </c>
      <c r="N59" s="14" t="inlineStr">
        <is>
          <t>Lista titoli Logos Edizioni 2026 (PVP)</t>
        </is>
      </c>
      <c r="O59" s="16">
        <f>IF(ISNUMBER(M59),ROUND(M59*(1-Condizioni!$B$2),2),"")</f>
        <v/>
      </c>
      <c r="P59" s="17" t="inlineStr">
        <is>
          <t>No</t>
        </is>
      </c>
    </row>
    <row r="60">
      <c r="A60" s="14" t="inlineStr">
        <is>
          <t>Logos</t>
        </is>
      </c>
      <c r="B60" s="14" t="inlineStr">
        <is>
          <t>Linette - il Drago Salsiccia</t>
        </is>
      </c>
      <c r="C60" s="14" t="inlineStr">
        <is>
          <t>Catherine Romat; ill. Jean-Philippe Peyraud</t>
        </is>
      </c>
      <c r="D60" s="14" t="inlineStr">
        <is>
          <t>Fumetto Ciopi</t>
        </is>
      </c>
      <c r="E60" s="14" t="inlineStr">
        <is>
          <t>da 3 anni</t>
        </is>
      </c>
      <c r="F60" s="14" t="inlineStr">
        <is>
          <t>3-6 anni</t>
        </is>
      </c>
      <c r="G60" s="14" t="inlineStr">
        <is>
          <t>Graphic novel/Fumetto</t>
        </is>
      </c>
      <c r="H60" s="14" t="inlineStr"/>
      <c r="I60" s="14" t="inlineStr">
        <is>
          <t>No</t>
        </is>
      </c>
      <c r="J60" s="14" t="inlineStr">
        <is>
          <t>Catalogo</t>
        </is>
      </c>
      <c r="K60" s="14" t="inlineStr">
        <is>
          <t>3-6 anni</t>
        </is>
      </c>
      <c r="L60" s="14" t="inlineStr">
        <is>
          <t>https://www.libri.it/linette-drago-salsiccia</t>
        </is>
      </c>
      <c r="M60" s="16" t="n">
        <v>14</v>
      </c>
      <c r="N60" s="14" t="inlineStr">
        <is>
          <t>Lista titoli Logos Edizioni 2026 (PVP)</t>
        </is>
      </c>
      <c r="O60" s="16">
        <f>IF(ISNUMBER(M60),ROUND(M60*(1-Condizioni!$B$2),2),"")</f>
        <v/>
      </c>
      <c r="P60" s="17" t="inlineStr">
        <is>
          <t>No</t>
        </is>
      </c>
    </row>
    <row r="61">
      <c r="A61" s="14" t="inlineStr">
        <is>
          <t>Logos</t>
        </is>
      </c>
      <c r="B61" s="14" t="inlineStr">
        <is>
          <t>Linette - la Nuvoletta</t>
        </is>
      </c>
      <c r="C61" s="14" t="inlineStr">
        <is>
          <t>Catherine Romat; ill. Jean-Philippe Peyraud</t>
        </is>
      </c>
      <c r="D61" s="14" t="inlineStr">
        <is>
          <t>Fumetto Ciopi</t>
        </is>
      </c>
      <c r="E61" s="14" t="inlineStr">
        <is>
          <t>da 3 anni</t>
        </is>
      </c>
      <c r="F61" s="14" t="inlineStr">
        <is>
          <t>3-6 anni</t>
        </is>
      </c>
      <c r="G61" s="14" t="inlineStr">
        <is>
          <t>Graphic novel/Fumetto</t>
        </is>
      </c>
      <c r="H61" s="14" t="inlineStr"/>
      <c r="I61" s="14" t="inlineStr">
        <is>
          <t>No</t>
        </is>
      </c>
      <c r="J61" s="14" t="inlineStr">
        <is>
          <t>Catalogo</t>
        </is>
      </c>
      <c r="K61" s="14" t="inlineStr">
        <is>
          <t>3-6 anni</t>
        </is>
      </c>
      <c r="L61" s="14" t="inlineStr">
        <is>
          <t>https://www.libri.it/linette-nuvoletta</t>
        </is>
      </c>
      <c r="M61" s="16" t="n">
        <v>14</v>
      </c>
      <c r="N61" s="14" t="inlineStr">
        <is>
          <t>Lista titoli Logos Edizioni 2026 (PVP)</t>
        </is>
      </c>
      <c r="O61" s="16">
        <f>IF(ISNUMBER(M61),ROUND(M61*(1-Condizioni!$B$2),2),"")</f>
        <v/>
      </c>
      <c r="P61" s="17" t="inlineStr">
        <is>
          <t>No</t>
        </is>
      </c>
    </row>
    <row r="62">
      <c r="A62" s="14" t="inlineStr">
        <is>
          <t>Logos</t>
        </is>
      </c>
      <c r="B62" s="14" t="inlineStr">
        <is>
          <t>Linette - l’Omone di Sabbia</t>
        </is>
      </c>
      <c r="C62" s="14" t="inlineStr">
        <is>
          <t>Catherine Romat; ill. Jean-Philippe Peyraud</t>
        </is>
      </c>
      <c r="D62" s="14" t="inlineStr">
        <is>
          <t>Fumetto Ciopi</t>
        </is>
      </c>
      <c r="E62" s="14" t="inlineStr">
        <is>
          <t>da 3 anni</t>
        </is>
      </c>
      <c r="F62" s="14" t="inlineStr">
        <is>
          <t>3-6 anni</t>
        </is>
      </c>
      <c r="G62" s="14" t="inlineStr">
        <is>
          <t>Graphic novel/Fumetto</t>
        </is>
      </c>
      <c r="H62" s="14" t="inlineStr"/>
      <c r="I62" s="14" t="inlineStr">
        <is>
          <t>No</t>
        </is>
      </c>
      <c r="J62" s="14" t="inlineStr">
        <is>
          <t>Catalogo</t>
        </is>
      </c>
      <c r="K62" s="14" t="inlineStr">
        <is>
          <t>3-6 anni</t>
        </is>
      </c>
      <c r="L62" s="14" t="inlineStr">
        <is>
          <t>https://www.libri.it/linette-omone</t>
        </is>
      </c>
      <c r="M62" s="16" t="n">
        <v>14</v>
      </c>
      <c r="N62" s="14" t="inlineStr">
        <is>
          <t>Lista titoli Logos Edizioni 2026 (PVP)</t>
        </is>
      </c>
      <c r="O62" s="16">
        <f>IF(ISNUMBER(M62),ROUND(M62*(1-Condizioni!$B$2),2),"")</f>
        <v/>
      </c>
      <c r="P62" s="17" t="inlineStr">
        <is>
          <t>No</t>
        </is>
      </c>
    </row>
    <row r="63">
      <c r="A63" s="14" t="inlineStr">
        <is>
          <t>Logos</t>
        </is>
      </c>
      <c r="B63" s="14" t="inlineStr">
        <is>
          <t>Linette – Concime per Piedi</t>
        </is>
      </c>
      <c r="C63" s="14" t="inlineStr">
        <is>
          <t>Catherine Romat; ill. Jean-Philippe Peyraud</t>
        </is>
      </c>
      <c r="D63" s="14" t="inlineStr">
        <is>
          <t>Fumetto Ciopi</t>
        </is>
      </c>
      <c r="E63" s="14" t="inlineStr">
        <is>
          <t>da 3 anni</t>
        </is>
      </c>
      <c r="F63" s="14" t="inlineStr">
        <is>
          <t>3-6 anni</t>
        </is>
      </c>
      <c r="G63" s="14" t="inlineStr">
        <is>
          <t>Graphic novel/Fumetto</t>
        </is>
      </c>
      <c r="H63" s="14" t="inlineStr"/>
      <c r="I63" s="14" t="inlineStr">
        <is>
          <t>No</t>
        </is>
      </c>
      <c r="J63" s="14" t="inlineStr">
        <is>
          <t>Catalogo</t>
        </is>
      </c>
      <c r="K63" s="14" t="inlineStr">
        <is>
          <t>3-6 anni</t>
        </is>
      </c>
      <c r="L63" s="14" t="inlineStr">
        <is>
          <t>https://www.libri.it/linette-concime-per-piedi</t>
        </is>
      </c>
      <c r="M63" s="16" t="n">
        <v>13</v>
      </c>
      <c r="N63" s="14" t="inlineStr">
        <is>
          <t>Lista titoli Logos Edizioni 2026 (PVP)</t>
        </is>
      </c>
      <c r="O63" s="16">
        <f>IF(ISNUMBER(M63),ROUND(M63*(1-Condizioni!$B$2),2),"")</f>
        <v/>
      </c>
      <c r="P63" s="17" t="inlineStr">
        <is>
          <t>No</t>
        </is>
      </c>
    </row>
    <row r="64">
      <c r="A64" s="14" t="inlineStr">
        <is>
          <t>Logos</t>
        </is>
      </c>
      <c r="B64" s="14" t="inlineStr">
        <is>
          <t>Lupo</t>
        </is>
      </c>
      <c r="C64" s="14" t="inlineStr">
        <is>
          <t>Olivier Douzou</t>
        </is>
      </c>
      <c r="D64" s="14" t="inlineStr">
        <is>
          <t>Ipinipini</t>
        </is>
      </c>
      <c r="E64" s="14" t="inlineStr">
        <is>
          <t>da 3 anni</t>
        </is>
      </c>
      <c r="F64" s="14" t="inlineStr">
        <is>
          <t>3-6 anni</t>
        </is>
      </c>
      <c r="G64" s="14" t="inlineStr">
        <is>
          <t>Albo illustrato</t>
        </is>
      </c>
      <c r="H64" s="14" t="inlineStr"/>
      <c r="I64" s="14" t="inlineStr">
        <is>
          <t>No</t>
        </is>
      </c>
      <c r="J64" s="14" t="inlineStr">
        <is>
          <t>Catalogo</t>
        </is>
      </c>
      <c r="K64" s="14" t="inlineStr">
        <is>
          <t>3-6 anni</t>
        </is>
      </c>
      <c r="L64" s="14" t="inlineStr">
        <is>
          <t>https://www.libri.it/lupo</t>
        </is>
      </c>
      <c r="M64" s="16" t="n">
        <v>10</v>
      </c>
      <c r="N64" s="14" t="inlineStr">
        <is>
          <t>Lista titoli Logos Edizioni 2026 (PVP)</t>
        </is>
      </c>
      <c r="O64" s="16">
        <f>IF(ISNUMBER(M64),ROUND(M64*(1-Condizioni!$B$2),2),"")</f>
        <v/>
      </c>
      <c r="P64" s="17" t="inlineStr">
        <is>
          <t>No</t>
        </is>
      </c>
    </row>
    <row r="65">
      <c r="A65" s="14" t="inlineStr">
        <is>
          <t>Logos</t>
        </is>
      </c>
      <c r="B65" s="14" t="inlineStr">
        <is>
          <t>L’Abito Nuovo dell’Imperatore</t>
        </is>
      </c>
      <c r="C65" s="14" t="inlineStr">
        <is>
          <t>Hans Christian Andersen; Sofía Luminosa; ill. Israel Barrón</t>
        </is>
      </c>
      <c r="D65" s="14" t="inlineStr">
        <is>
          <t>Albo Ciopi</t>
        </is>
      </c>
      <c r="E65" s="14" t="inlineStr">
        <is>
          <t>da 3 anni</t>
        </is>
      </c>
      <c r="F65" s="14" t="inlineStr">
        <is>
          <t>3-6 anni</t>
        </is>
      </c>
      <c r="G65" s="14" t="inlineStr">
        <is>
          <t>Albo illustrato</t>
        </is>
      </c>
      <c r="H65" s="14" t="inlineStr"/>
      <c r="I65" s="14" t="inlineStr">
        <is>
          <t>No</t>
        </is>
      </c>
      <c r="J65" s="14" t="inlineStr">
        <is>
          <t>Catalogo</t>
        </is>
      </c>
      <c r="K65" s="14" t="inlineStr">
        <is>
          <t>3-6 anni</t>
        </is>
      </c>
      <c r="L65" s="14" t="inlineStr">
        <is>
          <t>https://www.libri.it/abito-nuovo-dell-imperatore</t>
        </is>
      </c>
      <c r="M65" s="16" t="n">
        <v>17</v>
      </c>
      <c r="N65" s="14" t="inlineStr">
        <is>
          <t>Lista titoli Logos Edizioni 2026 (PVP)</t>
        </is>
      </c>
      <c r="O65" s="16">
        <f>IF(ISNUMBER(M65),ROUND(M65*(1-Condizioni!$B$2),2),"")</f>
        <v/>
      </c>
      <c r="P65" s="17" t="inlineStr">
        <is>
          <t>No</t>
        </is>
      </c>
    </row>
    <row r="66">
      <c r="A66" s="14" t="inlineStr">
        <is>
          <t>Logos</t>
        </is>
      </c>
      <c r="B66" s="14" t="inlineStr">
        <is>
          <t>Nino</t>
        </is>
      </c>
      <c r="C66" s="14" t="inlineStr">
        <is>
          <t>Isol</t>
        </is>
      </c>
      <c r="D66" s="14" t="inlineStr">
        <is>
          <t>Biblioteca Ciopi</t>
        </is>
      </c>
      <c r="E66" s="14" t="inlineStr">
        <is>
          <t>da 3 anni</t>
        </is>
      </c>
      <c r="F66" s="14" t="inlineStr">
        <is>
          <t>3-6 anni</t>
        </is>
      </c>
      <c r="G66" s="14" t="inlineStr">
        <is>
          <t>Narrativa</t>
        </is>
      </c>
      <c r="H66" s="14" t="inlineStr"/>
      <c r="I66" s="14" t="inlineStr">
        <is>
          <t>No</t>
        </is>
      </c>
      <c r="J66" s="14" t="inlineStr">
        <is>
          <t>Catalogo</t>
        </is>
      </c>
      <c r="K66" s="14" t="inlineStr">
        <is>
          <t>3-6 anni, narrativa</t>
        </is>
      </c>
      <c r="L66" s="14" t="inlineStr">
        <is>
          <t>https://www.libri.it/nino-nuova-edizione</t>
        </is>
      </c>
      <c r="M66" s="16" t="n">
        <v>12</v>
      </c>
      <c r="N66" s="14" t="inlineStr">
        <is>
          <t>Lista titoli Logos Edizioni 2026 (PVP)</t>
        </is>
      </c>
      <c r="O66" s="16">
        <f>IF(ISNUMBER(M66),ROUND(M66*(1-Condizioni!$B$2),2),"")</f>
        <v/>
      </c>
      <c r="P66" s="17" t="inlineStr">
        <is>
          <t>No</t>
        </is>
      </c>
    </row>
    <row r="67">
      <c r="A67" s="14" t="inlineStr">
        <is>
          <t>Logos</t>
        </is>
      </c>
      <c r="B67" s="14" t="inlineStr">
        <is>
          <t>Non Ho Sonno e non Andrò a Letto</t>
        </is>
      </c>
      <c r="C67" s="14" t="inlineStr">
        <is>
          <t>Lauren Child</t>
        </is>
      </c>
      <c r="D67" s="14" t="inlineStr">
        <is>
          <t>Albo Ciopi</t>
        </is>
      </c>
      <c r="E67" s="14" t="inlineStr">
        <is>
          <t>da 3 anni</t>
        </is>
      </c>
      <c r="F67" s="14" t="inlineStr">
        <is>
          <t>3-6 anni</t>
        </is>
      </c>
      <c r="G67" s="14" t="inlineStr">
        <is>
          <t>Albo illustrato</t>
        </is>
      </c>
      <c r="H67" s="14" t="inlineStr"/>
      <c r="I67" s="14" t="inlineStr">
        <is>
          <t>No</t>
        </is>
      </c>
      <c r="J67" s="14" t="inlineStr">
        <is>
          <t>Catalogo</t>
        </is>
      </c>
      <c r="K67" s="14" t="inlineStr">
        <is>
          <t>3-6 anni</t>
        </is>
      </c>
      <c r="L67" s="14" t="inlineStr">
        <is>
          <t>https://www.libri.it/non-ho-sonno-e-non-andro-a-letto</t>
        </is>
      </c>
      <c r="M67" s="16" t="n">
        <v>16.5</v>
      </c>
      <c r="N67" s="14" t="inlineStr">
        <is>
          <t>Lista titoli Logos Edizioni 2026 (PVP)</t>
        </is>
      </c>
      <c r="O67" s="16">
        <f>IF(ISNUMBER(M67),ROUND(M67*(1-Condizioni!$B$2),2),"")</f>
        <v/>
      </c>
      <c r="P67" s="17" t="inlineStr">
        <is>
          <t>No</t>
        </is>
      </c>
    </row>
    <row r="68">
      <c r="A68" s="14" t="inlineStr">
        <is>
          <t>Logos</t>
        </is>
      </c>
      <c r="B68" s="14" t="inlineStr">
        <is>
          <t>Orso Acchiappafarfalle</t>
        </is>
      </c>
      <c r="C68" s="14" t="inlineStr">
        <is>
          <t>Susanna Isern; ill. Marjorie Pourchet</t>
        </is>
      </c>
      <c r="D68" s="14" t="inlineStr">
        <is>
          <t>Albo Ciopi</t>
        </is>
      </c>
      <c r="E68" s="14" t="inlineStr">
        <is>
          <t>da 3 anni</t>
        </is>
      </c>
      <c r="F68" s="14" t="inlineStr">
        <is>
          <t>3-6 anni</t>
        </is>
      </c>
      <c r="G68" s="14" t="inlineStr">
        <is>
          <t>Albo illustrato</t>
        </is>
      </c>
      <c r="H68" s="14" t="inlineStr"/>
      <c r="I68" s="14" t="inlineStr">
        <is>
          <t>No</t>
        </is>
      </c>
      <c r="J68" s="14" t="inlineStr">
        <is>
          <t>Catalogo</t>
        </is>
      </c>
      <c r="K68" s="14" t="inlineStr">
        <is>
          <t>3-6 anni</t>
        </is>
      </c>
      <c r="L68" s="14" t="inlineStr">
        <is>
          <t>https://www.libri.it/orso-acchiappafarfalle</t>
        </is>
      </c>
      <c r="M68" s="16" t="n">
        <v>15</v>
      </c>
      <c r="N68" s="14" t="inlineStr">
        <is>
          <t>Lista titoli Logos Edizioni 2026 (PVP)</t>
        </is>
      </c>
      <c r="O68" s="16">
        <f>IF(ISNUMBER(M68),ROUND(M68*(1-Condizioni!$B$2),2),"")</f>
        <v/>
      </c>
      <c r="P68" s="17" t="inlineStr">
        <is>
          <t>No</t>
        </is>
      </c>
    </row>
    <row r="69">
      <c r="A69" s="14" t="inlineStr">
        <is>
          <t>Logos</t>
        </is>
      </c>
      <c r="B69" s="14" t="inlineStr">
        <is>
          <t>Paura</t>
        </is>
      </c>
      <c r="C69" s="14" t="inlineStr">
        <is>
          <t>Graciela Cabal; ill. Giulia Pintus</t>
        </is>
      </c>
      <c r="D69" s="14" t="inlineStr">
        <is>
          <t>Biblioteca Ciopi</t>
        </is>
      </c>
      <c r="E69" s="14" t="inlineStr">
        <is>
          <t>da 3 anni</t>
        </is>
      </c>
      <c r="F69" s="14" t="inlineStr">
        <is>
          <t>3-6 anni</t>
        </is>
      </c>
      <c r="G69" s="14" t="inlineStr">
        <is>
          <t>Narrativa</t>
        </is>
      </c>
      <c r="H69" s="14" t="inlineStr"/>
      <c r="I69" s="14" t="inlineStr">
        <is>
          <t>No</t>
        </is>
      </c>
      <c r="J69" s="14" t="inlineStr">
        <is>
          <t>Catalogo</t>
        </is>
      </c>
      <c r="K69" s="14" t="inlineStr">
        <is>
          <t>3-6 anni, narrativa</t>
        </is>
      </c>
      <c r="L69" s="14" t="inlineStr">
        <is>
          <t>https://www.libri.it/paura</t>
        </is>
      </c>
      <c r="M69" s="16" t="n">
        <v>12</v>
      </c>
      <c r="N69" s="14" t="inlineStr">
        <is>
          <t>Lista titoli Logos Edizioni 2026 (PVP)</t>
        </is>
      </c>
      <c r="O69" s="16">
        <f>IF(ISNUMBER(M69),ROUND(M69*(1-Condizioni!$B$2),2),"")</f>
        <v/>
      </c>
      <c r="P69" s="17" t="inlineStr">
        <is>
          <t>No</t>
        </is>
      </c>
    </row>
    <row r="70">
      <c r="A70" s="14" t="inlineStr">
        <is>
          <t>Logos</t>
        </is>
      </c>
      <c r="B70" s="14" t="inlineStr">
        <is>
          <t>Perché i Cani Si Annusano il Sedere</t>
        </is>
      </c>
      <c r="C70" s="14" t="inlineStr">
        <is>
          <t>Sofía Luminosa; ill. Israel Barrón</t>
        </is>
      </c>
      <c r="D70" s="14" t="inlineStr">
        <is>
          <t>Biblioteca Ciopi</t>
        </is>
      </c>
      <c r="E70" s="14" t="inlineStr">
        <is>
          <t>da 3 anni</t>
        </is>
      </c>
      <c r="F70" s="14" t="inlineStr">
        <is>
          <t>3-6 anni</t>
        </is>
      </c>
      <c r="G70" s="14" t="inlineStr">
        <is>
          <t>Narrativa</t>
        </is>
      </c>
      <c r="H70" s="14" t="inlineStr"/>
      <c r="I70" s="14" t="inlineStr">
        <is>
          <t>No</t>
        </is>
      </c>
      <c r="J70" s="14" t="inlineStr">
        <is>
          <t>Catalogo</t>
        </is>
      </c>
      <c r="K70" s="14" t="inlineStr">
        <is>
          <t>3-6 anni, narrativa</t>
        </is>
      </c>
      <c r="L70" s="14" t="inlineStr">
        <is>
          <t>https://www.libri.it/perche-i-cani-si-annusano-il-sedere</t>
        </is>
      </c>
      <c r="M70" s="16" t="n">
        <v>8</v>
      </c>
      <c r="N70" s="14" t="inlineStr">
        <is>
          <t>Lista titoli Logos Edizioni 2026 (PVP)</t>
        </is>
      </c>
      <c r="O70" s="16">
        <f>IF(ISNUMBER(M70),ROUND(M70*(1-Condizioni!$B$2),2),"")</f>
        <v/>
      </c>
      <c r="P70" s="17" t="inlineStr">
        <is>
          <t>No</t>
        </is>
      </c>
    </row>
    <row r="71">
      <c r="A71" s="14" t="inlineStr">
        <is>
          <t>Logos</t>
        </is>
      </c>
      <c r="B71" s="14" t="inlineStr">
        <is>
          <t>Piccolo Orso e Piccolo Tigre Vanno in Citta</t>
        </is>
      </c>
      <c r="C71" s="14" t="inlineStr">
        <is>
          <t>Janosch</t>
        </is>
      </c>
      <c r="D71" s="14" t="inlineStr">
        <is>
          <t>Biblioteca Ciopi</t>
        </is>
      </c>
      <c r="E71" s="14" t="inlineStr">
        <is>
          <t>da 3 anni</t>
        </is>
      </c>
      <c r="F71" s="14" t="inlineStr">
        <is>
          <t>3-6 anni</t>
        </is>
      </c>
      <c r="G71" s="14" t="inlineStr">
        <is>
          <t>Narrativa</t>
        </is>
      </c>
      <c r="H71" s="14" t="inlineStr"/>
      <c r="I71" s="14" t="inlineStr">
        <is>
          <t>No</t>
        </is>
      </c>
      <c r="J71" s="14" t="inlineStr">
        <is>
          <t>Catalogo</t>
        </is>
      </c>
      <c r="K71" s="14" t="inlineStr">
        <is>
          <t>3-6 anni, narrativa</t>
        </is>
      </c>
      <c r="L71" s="14" t="inlineStr">
        <is>
          <t>https://www.libri.it/piccolo-tigre-e-piccolo-orso-vanno-in-citta</t>
        </is>
      </c>
      <c r="M71" s="16" t="n">
        <v>8</v>
      </c>
      <c r="N71" s="14" t="inlineStr">
        <is>
          <t>Lista titoli Logos Edizioni 2026 (PVP)</t>
        </is>
      </c>
      <c r="O71" s="16">
        <f>IF(ISNUMBER(M71),ROUND(M71*(1-Condizioni!$B$2),2),"")</f>
        <v/>
      </c>
      <c r="P71" s="17" t="inlineStr">
        <is>
          <t>No</t>
        </is>
      </c>
    </row>
    <row r="72">
      <c r="A72" s="14" t="inlineStr">
        <is>
          <t>Logos</t>
        </is>
      </c>
      <c r="B72" s="14" t="inlineStr">
        <is>
          <t>Piccolo Vocabolario Bebè e Genitori</t>
        </is>
      </c>
      <c r="C72" s="14" t="inlineStr">
        <is>
          <t>SegniAmo Bimbi; ill. Roger Olmos</t>
        </is>
      </c>
      <c r="D72" s="14" t="inlineStr">
        <is>
          <t>Ciopilopini</t>
        </is>
      </c>
      <c r="E72" s="14" t="inlineStr">
        <is>
          <t>da 3 anni</t>
        </is>
      </c>
      <c r="F72" s="14" t="inlineStr">
        <is>
          <t>3-6 anni</t>
        </is>
      </c>
      <c r="G72" s="14" t="inlineStr">
        <is>
          <t>Albo illustrato</t>
        </is>
      </c>
      <c r="H72" s="14" t="inlineStr"/>
      <c r="I72" s="14" t="inlineStr">
        <is>
          <t>No</t>
        </is>
      </c>
      <c r="J72" s="14" t="inlineStr">
        <is>
          <t>Catalogo</t>
        </is>
      </c>
      <c r="K72" s="14" t="inlineStr">
        <is>
          <t>3-6 anni</t>
        </is>
      </c>
      <c r="L72" s="14" t="inlineStr">
        <is>
          <t>https://www.libri.it/piccolo-vocabolario-bebe-e-genitori</t>
        </is>
      </c>
      <c r="M72" s="16" t="n">
        <v>14</v>
      </c>
      <c r="N72" s="14" t="inlineStr">
        <is>
          <t>Lista titoli Logos Edizioni 2026 (PVP)</t>
        </is>
      </c>
      <c r="O72" s="16">
        <f>IF(ISNUMBER(M72),ROUND(M72*(1-Condizioni!$B$2),2),"")</f>
        <v/>
      </c>
      <c r="P72" s="17" t="inlineStr">
        <is>
          <t>No</t>
        </is>
      </c>
    </row>
    <row r="73">
      <c r="A73" s="14" t="inlineStr">
        <is>
          <t>Logos</t>
        </is>
      </c>
      <c r="B73" s="14" t="inlineStr">
        <is>
          <t>Piloursine Va a Pesca</t>
        </is>
      </c>
      <c r="C73" s="14" t="inlineStr">
        <is>
          <t>Emmanuelle Houdart</t>
        </is>
      </c>
      <c r="D73" s="14" t="inlineStr">
        <is>
          <t>Ipinipini</t>
        </is>
      </c>
      <c r="E73" s="14" t="inlineStr">
        <is>
          <t>da 3 anni</t>
        </is>
      </c>
      <c r="F73" s="14" t="inlineStr">
        <is>
          <t>3-6 anni</t>
        </is>
      </c>
      <c r="G73" s="14" t="inlineStr">
        <is>
          <t>Albo illustrato</t>
        </is>
      </c>
      <c r="H73" s="14" t="inlineStr"/>
      <c r="I73" s="14" t="inlineStr">
        <is>
          <t>No</t>
        </is>
      </c>
      <c r="J73" s="14" t="inlineStr">
        <is>
          <t>Catalogo</t>
        </is>
      </c>
      <c r="K73" s="14" t="inlineStr">
        <is>
          <t>3-6 anni</t>
        </is>
      </c>
      <c r="L73" s="14" t="inlineStr">
        <is>
          <t>https://www.libri.it/piloursine-pesca</t>
        </is>
      </c>
      <c r="M73" s="16" t="n">
        <v>10</v>
      </c>
      <c r="N73" s="14" t="inlineStr">
        <is>
          <t>Lista titoli Logos Edizioni 2026 (PVP)</t>
        </is>
      </c>
      <c r="O73" s="16">
        <f>IF(ISNUMBER(M73),ROUND(M73*(1-Condizioni!$B$2),2),"")</f>
        <v/>
      </c>
      <c r="P73" s="17" t="inlineStr">
        <is>
          <t>No</t>
        </is>
      </c>
    </row>
    <row r="74">
      <c r="A74" s="14" t="inlineStr">
        <is>
          <t>Logos</t>
        </is>
      </c>
      <c r="B74" s="14" t="inlineStr">
        <is>
          <t>Piloursine e il Compleanno</t>
        </is>
      </c>
      <c r="C74" s="14" t="inlineStr">
        <is>
          <t>Emmanuelle Houdart</t>
        </is>
      </c>
      <c r="D74" s="14" t="inlineStr">
        <is>
          <t>Ipinipini</t>
        </is>
      </c>
      <c r="E74" s="14" t="inlineStr">
        <is>
          <t>da 3 anni</t>
        </is>
      </c>
      <c r="F74" s="14" t="inlineStr">
        <is>
          <t>3-6 anni</t>
        </is>
      </c>
      <c r="G74" s="14" t="inlineStr">
        <is>
          <t>Albo illustrato</t>
        </is>
      </c>
      <c r="H74" s="14" t="inlineStr"/>
      <c r="I74" s="14" t="inlineStr">
        <is>
          <t>No</t>
        </is>
      </c>
      <c r="J74" s="14" t="inlineStr">
        <is>
          <t>Catalogo</t>
        </is>
      </c>
      <c r="K74" s="14" t="inlineStr">
        <is>
          <t>3-6 anni</t>
        </is>
      </c>
      <c r="L74" s="14" t="inlineStr">
        <is>
          <t>https://www.libri.it/piloursine-compleanno</t>
        </is>
      </c>
      <c r="M74" s="16" t="n">
        <v>10</v>
      </c>
      <c r="N74" s="14" t="inlineStr">
        <is>
          <t>Lista titoli Logos Edizioni 2026 (PVP)</t>
        </is>
      </c>
      <c r="O74" s="16">
        <f>IF(ISNUMBER(M74),ROUND(M74*(1-Condizioni!$B$2),2),"")</f>
        <v/>
      </c>
      <c r="P74" s="17" t="inlineStr">
        <is>
          <t>No</t>
        </is>
      </c>
    </row>
    <row r="75">
      <c r="A75" s="14" t="inlineStr">
        <is>
          <t>Logos</t>
        </is>
      </c>
      <c r="B75" s="14" t="inlineStr">
        <is>
          <t>Piloursine e il Suo Giardino</t>
        </is>
      </c>
      <c r="C75" s="14" t="inlineStr">
        <is>
          <t>Emmanuelle Houdart</t>
        </is>
      </c>
      <c r="D75" s="14" t="inlineStr">
        <is>
          <t>Ipinipini</t>
        </is>
      </c>
      <c r="E75" s="14" t="inlineStr">
        <is>
          <t>da 3 anni</t>
        </is>
      </c>
      <c r="F75" s="14" t="inlineStr">
        <is>
          <t>3-6 anni</t>
        </is>
      </c>
      <c r="G75" s="14" t="inlineStr">
        <is>
          <t>Albo illustrato</t>
        </is>
      </c>
      <c r="H75" s="14" t="inlineStr"/>
      <c r="I75" s="14" t="inlineStr">
        <is>
          <t>No</t>
        </is>
      </c>
      <c r="J75" s="14" t="inlineStr">
        <is>
          <t>Catalogo</t>
        </is>
      </c>
      <c r="K75" s="14" t="inlineStr">
        <is>
          <t>3-6 anni</t>
        </is>
      </c>
      <c r="L75" s="14" t="inlineStr">
        <is>
          <t>https://www.libri.it/piloursine-giardino</t>
        </is>
      </c>
      <c r="M75" s="16" t="n">
        <v>10</v>
      </c>
      <c r="N75" s="14" t="inlineStr">
        <is>
          <t>Lista titoli Logos Edizioni 2026 (PVP)</t>
        </is>
      </c>
      <c r="O75" s="16">
        <f>IF(ISNUMBER(M75),ROUND(M75*(1-Condizioni!$B$2),2),"")</f>
        <v/>
      </c>
      <c r="P75" s="17" t="inlineStr">
        <is>
          <t>No</t>
        </is>
      </c>
    </row>
    <row r="76">
      <c r="A76" s="14" t="inlineStr">
        <is>
          <t>Logos</t>
        </is>
      </c>
      <c r="B76" s="14" t="inlineStr">
        <is>
          <t>Piloursine È in Partenza</t>
        </is>
      </c>
      <c r="C76" s="14" t="inlineStr">
        <is>
          <t>Emmanuelle Houdart</t>
        </is>
      </c>
      <c r="D76" s="14" t="inlineStr">
        <is>
          <t>Ipinipini</t>
        </is>
      </c>
      <c r="E76" s="14" t="inlineStr">
        <is>
          <t>da 3 anni</t>
        </is>
      </c>
      <c r="F76" s="14" t="inlineStr">
        <is>
          <t>3-6 anni</t>
        </is>
      </c>
      <c r="G76" s="14" t="inlineStr">
        <is>
          <t>Albo illustrato</t>
        </is>
      </c>
      <c r="H76" s="14" t="inlineStr"/>
      <c r="I76" s="14" t="inlineStr">
        <is>
          <t>No</t>
        </is>
      </c>
      <c r="J76" s="14" t="inlineStr">
        <is>
          <t>Catalogo</t>
        </is>
      </c>
      <c r="K76" s="14" t="inlineStr">
        <is>
          <t>3-6 anni</t>
        </is>
      </c>
      <c r="L76" s="14" t="inlineStr">
        <is>
          <t>https://www.libri.it/piloursine-partenza</t>
        </is>
      </c>
      <c r="M76" s="16" t="n">
        <v>10</v>
      </c>
      <c r="N76" s="14" t="inlineStr">
        <is>
          <t>Lista titoli Logos Edizioni 2026 (PVP)</t>
        </is>
      </c>
      <c r="O76" s="16">
        <f>IF(ISNUMBER(M76),ROUND(M76*(1-Condizioni!$B$2),2),"")</f>
        <v/>
      </c>
      <c r="P76" s="17" t="inlineStr">
        <is>
          <t>No</t>
        </is>
      </c>
    </row>
    <row r="77">
      <c r="A77" s="14" t="inlineStr">
        <is>
          <t>Logos</t>
        </is>
      </c>
      <c r="B77" s="14" t="inlineStr">
        <is>
          <t>Pinocchio</t>
        </is>
      </c>
      <c r="C77" s="14" t="inlineStr">
        <is>
          <t>Gabriel Pacheco</t>
        </is>
      </c>
      <c r="D77" s="14" t="inlineStr">
        <is>
          <t>Illustrati</t>
        </is>
      </c>
      <c r="E77" s="14" t="inlineStr">
        <is>
          <t>da 3 anni</t>
        </is>
      </c>
      <c r="F77" s="14" t="inlineStr">
        <is>
          <t>3-6 anni</t>
        </is>
      </c>
      <c r="G77" s="14" t="inlineStr">
        <is>
          <t>Albo illustrato</t>
        </is>
      </c>
      <c r="H77" s="14" t="inlineStr"/>
      <c r="I77" s="14" t="inlineStr">
        <is>
          <t>No</t>
        </is>
      </c>
      <c r="J77" s="14" t="inlineStr">
        <is>
          <t>Catalogo</t>
        </is>
      </c>
      <c r="K77" s="14" t="inlineStr">
        <is>
          <t>3-6 anni</t>
        </is>
      </c>
      <c r="L77" s="14" t="inlineStr">
        <is>
          <t>https://www.libri.it/pinocchio-gabriel-pacheco</t>
        </is>
      </c>
      <c r="M77" s="16" t="n">
        <v>25</v>
      </c>
      <c r="N77" s="14" t="inlineStr">
        <is>
          <t>Lista titoli Logos Edizioni 2026 (PVP)</t>
        </is>
      </c>
      <c r="O77" s="16">
        <f>IF(ISNUMBER(M77),ROUND(M77*(1-Condizioni!$B$2),2),"")</f>
        <v/>
      </c>
      <c r="P77" s="17" t="inlineStr">
        <is>
          <t>Sì</t>
        </is>
      </c>
    </row>
    <row r="78">
      <c r="A78" s="14" t="inlineStr">
        <is>
          <t>Logos</t>
        </is>
      </c>
      <c r="B78" s="14" t="inlineStr">
        <is>
          <t>Quintino</t>
        </is>
      </c>
      <c r="C78" s="14" t="inlineStr">
        <is>
          <t xml:space="preserve">Laurent e Olivier Souillé; ill. Clotilde Goubely </t>
        </is>
      </c>
      <c r="D78" s="14" t="inlineStr">
        <is>
          <t>Albo Ciopi</t>
        </is>
      </c>
      <c r="E78" s="14" t="inlineStr">
        <is>
          <t>da 3 anni</t>
        </is>
      </c>
      <c r="F78" s="14" t="inlineStr">
        <is>
          <t>3-6 anni</t>
        </is>
      </c>
      <c r="G78" s="14" t="inlineStr">
        <is>
          <t>Albo illustrato</t>
        </is>
      </c>
      <c r="H78" s="14" t="inlineStr"/>
      <c r="I78" s="14" t="inlineStr">
        <is>
          <t>No</t>
        </is>
      </c>
      <c r="J78" s="14" t="inlineStr">
        <is>
          <t>Catalogo</t>
        </is>
      </c>
      <c r="K78" s="14" t="inlineStr">
        <is>
          <t>3-6 anni</t>
        </is>
      </c>
      <c r="L78" s="14" t="inlineStr">
        <is>
          <t>https://www.libri.it/quintino-un-mostro-troppo-carino</t>
        </is>
      </c>
      <c r="M78" s="16" t="n">
        <v>17</v>
      </c>
      <c r="N78" s="14" t="inlineStr">
        <is>
          <t>Lista titoli Logos Edizioni 2026 (PVP)</t>
        </is>
      </c>
      <c r="O78" s="16">
        <f>IF(ISNUMBER(M78),ROUND(M78*(1-Condizioni!$B$2),2),"")</f>
        <v/>
      </c>
      <c r="P78" s="17" t="inlineStr">
        <is>
          <t>No</t>
        </is>
      </c>
    </row>
    <row r="79">
      <c r="A79" s="14" t="inlineStr">
        <is>
          <t>Logos</t>
        </is>
      </c>
      <c r="B79" s="14" t="inlineStr">
        <is>
          <t>Schiappetta Adora Giocare</t>
        </is>
      </c>
      <c r="C79" s="14" t="inlineStr">
        <is>
          <t xml:space="preserve">Agnès Ledig; ill. Frédéric Pillot </t>
        </is>
      </c>
      <c r="D79" s="14" t="inlineStr">
        <is>
          <t>Ipinipini</t>
        </is>
      </c>
      <c r="E79" s="14" t="inlineStr">
        <is>
          <t>da 3 anni</t>
        </is>
      </c>
      <c r="F79" s="14" t="inlineStr">
        <is>
          <t>3-6 anni</t>
        </is>
      </c>
      <c r="G79" s="14" t="inlineStr">
        <is>
          <t>Albo illustrato</t>
        </is>
      </c>
      <c r="H79" s="14" t="inlineStr"/>
      <c r="I79" s="14" t="inlineStr">
        <is>
          <t>No</t>
        </is>
      </c>
      <c r="J79" s="14" t="inlineStr">
        <is>
          <t>Catalogo</t>
        </is>
      </c>
      <c r="K79" s="14" t="inlineStr">
        <is>
          <t>3-6 anni</t>
        </is>
      </c>
      <c r="L79" s="14" t="inlineStr">
        <is>
          <t>https://www.libri.it/schiappetta-adora-giocare</t>
        </is>
      </c>
      <c r="M79" s="16" t="n">
        <v>12</v>
      </c>
      <c r="N79" s="14" t="inlineStr">
        <is>
          <t>Lista titoli Logos Edizioni 2026 (PVP)</t>
        </is>
      </c>
      <c r="O79" s="16">
        <f>IF(ISNUMBER(M79),ROUND(M79*(1-Condizioni!$B$2),2),"")</f>
        <v/>
      </c>
      <c r="P79" s="17" t="inlineStr">
        <is>
          <t>No</t>
        </is>
      </c>
    </row>
    <row r="80">
      <c r="A80" s="14" t="inlineStr">
        <is>
          <t>Logos</t>
        </is>
      </c>
      <c r="B80" s="14" t="inlineStr">
        <is>
          <t>Schiappetta È Molto Sensibile</t>
        </is>
      </c>
      <c r="C80" s="14" t="inlineStr">
        <is>
          <t xml:space="preserve">Agnès Ledig; ill. Frédéric Pillot </t>
        </is>
      </c>
      <c r="D80" s="14" t="inlineStr">
        <is>
          <t>Ipinipini</t>
        </is>
      </c>
      <c r="E80" s="14" t="inlineStr">
        <is>
          <t>da 3 anni</t>
        </is>
      </c>
      <c r="F80" s="14" t="inlineStr">
        <is>
          <t>3-6 anni</t>
        </is>
      </c>
      <c r="G80" s="14" t="inlineStr">
        <is>
          <t>Albo illustrato</t>
        </is>
      </c>
      <c r="H80" s="14" t="inlineStr"/>
      <c r="I80" s="14" t="inlineStr">
        <is>
          <t>No</t>
        </is>
      </c>
      <c r="J80" s="14" t="inlineStr">
        <is>
          <t>Catalogo</t>
        </is>
      </c>
      <c r="K80" s="14" t="inlineStr">
        <is>
          <t>3-6 anni</t>
        </is>
      </c>
      <c r="L80" s="14" t="inlineStr">
        <is>
          <t>https://www.libri.it/schiappetta-sensibile</t>
        </is>
      </c>
      <c r="M80" s="16" t="n">
        <v>12</v>
      </c>
      <c r="N80" s="14" t="inlineStr">
        <is>
          <t>Lista titoli Logos Edizioni 2026 (PVP)</t>
        </is>
      </c>
      <c r="O80" s="16">
        <f>IF(ISNUMBER(M80),ROUND(M80*(1-Condizioni!$B$2),2),"")</f>
        <v/>
      </c>
      <c r="P80" s="17" t="inlineStr">
        <is>
          <t>No</t>
        </is>
      </c>
    </row>
    <row r="81">
      <c r="A81" s="14" t="inlineStr">
        <is>
          <t>Logos</t>
        </is>
      </c>
      <c r="B81" s="14" t="inlineStr">
        <is>
          <t>Sono Assolutamente Troppo Piccola per Andare a Scuola</t>
        </is>
      </c>
      <c r="C81" s="14" t="inlineStr">
        <is>
          <t>Lauren Child</t>
        </is>
      </c>
      <c r="D81" s="14" t="inlineStr">
        <is>
          <t>Albo Ciopi</t>
        </is>
      </c>
      <c r="E81" s="14" t="inlineStr">
        <is>
          <t>da 3 anni</t>
        </is>
      </c>
      <c r="F81" s="14" t="inlineStr">
        <is>
          <t>3-6 anni</t>
        </is>
      </c>
      <c r="G81" s="14" t="inlineStr">
        <is>
          <t>Albo illustrato</t>
        </is>
      </c>
      <c r="H81" s="14" t="inlineStr"/>
      <c r="I81" s="14" t="inlineStr">
        <is>
          <t>No</t>
        </is>
      </c>
      <c r="J81" s="14" t="inlineStr">
        <is>
          <t>Catalogo</t>
        </is>
      </c>
      <c r="K81" s="14" t="inlineStr">
        <is>
          <t>3-6 anni</t>
        </is>
      </c>
      <c r="L81" s="14" t="inlineStr">
        <is>
          <t>https://www.libri.it/charlie-e-lola-school</t>
        </is>
      </c>
      <c r="M81" s="16" t="n">
        <v>16.5</v>
      </c>
      <c r="N81" s="14" t="inlineStr">
        <is>
          <t>Lista titoli Logos Edizioni 2026 (PVP)</t>
        </is>
      </c>
      <c r="O81" s="16">
        <f>IF(ISNUMBER(M81),ROUND(M81*(1-Condizioni!$B$2),2),"")</f>
        <v/>
      </c>
      <c r="P81" s="17" t="inlineStr">
        <is>
          <t>No</t>
        </is>
      </c>
    </row>
    <row r="82">
      <c r="A82" s="14" t="inlineStr">
        <is>
          <t>Logos</t>
        </is>
      </c>
      <c r="B82" s="14" t="inlineStr">
        <is>
          <t>Superciuccio Vol.1</t>
        </is>
      </c>
      <c r="C82" s="14" t="inlineStr">
        <is>
          <t>Christophe Nicolas; ill. Guillaume Long</t>
        </is>
      </c>
      <c r="D82" s="14" t="inlineStr">
        <is>
          <t>Fumetto Ciopi</t>
        </is>
      </c>
      <c r="E82" s="14" t="inlineStr">
        <is>
          <t>da 3 anni</t>
        </is>
      </c>
      <c r="F82" s="14" t="inlineStr">
        <is>
          <t>3-6 anni</t>
        </is>
      </c>
      <c r="G82" s="14" t="inlineStr">
        <is>
          <t>Graphic novel/Fumetto</t>
        </is>
      </c>
      <c r="H82" s="14" t="inlineStr"/>
      <c r="I82" s="14" t="inlineStr">
        <is>
          <t>No</t>
        </is>
      </c>
      <c r="J82" s="14" t="inlineStr">
        <is>
          <t>Catalogo</t>
        </is>
      </c>
      <c r="K82" s="14" t="inlineStr">
        <is>
          <t>3-6 anni</t>
        </is>
      </c>
      <c r="L82" s="14" t="inlineStr">
        <is>
          <t>https://www.libri.it/superciuccio-1</t>
        </is>
      </c>
      <c r="M82" s="16" t="n">
        <v>14</v>
      </c>
      <c r="N82" s="14" t="inlineStr">
        <is>
          <t>Lista titoli Logos Edizioni 2026 (PVP)</t>
        </is>
      </c>
      <c r="O82" s="16">
        <f>IF(ISNUMBER(M82),ROUND(M82*(1-Condizioni!$B$2),2),"")</f>
        <v/>
      </c>
      <c r="P82" s="17" t="inlineStr">
        <is>
          <t>No</t>
        </is>
      </c>
    </row>
    <row r="83">
      <c r="A83" s="14" t="inlineStr">
        <is>
          <t>Logos</t>
        </is>
      </c>
      <c r="B83" s="14" t="inlineStr">
        <is>
          <t>Superciuccio Vol.2</t>
        </is>
      </c>
      <c r="C83" s="14" t="inlineStr">
        <is>
          <t>Christophe Nicolas; ill. Guillaume Long</t>
        </is>
      </c>
      <c r="D83" s="14" t="inlineStr">
        <is>
          <t>Fumetto Ciopi</t>
        </is>
      </c>
      <c r="E83" s="14" t="inlineStr">
        <is>
          <t>da 3 anni</t>
        </is>
      </c>
      <c r="F83" s="14" t="inlineStr">
        <is>
          <t>3-6 anni</t>
        </is>
      </c>
      <c r="G83" s="14" t="inlineStr">
        <is>
          <t>Graphic novel/Fumetto</t>
        </is>
      </c>
      <c r="H83" s="14" t="inlineStr"/>
      <c r="I83" s="14" t="inlineStr">
        <is>
          <t>No</t>
        </is>
      </c>
      <c r="J83" s="14" t="inlineStr">
        <is>
          <t>Catalogo</t>
        </is>
      </c>
      <c r="K83" s="14" t="inlineStr">
        <is>
          <t>3-6 anni</t>
        </is>
      </c>
      <c r="L83" s="14" t="inlineStr">
        <is>
          <t>https://www.libri.it/superciuccio-2</t>
        </is>
      </c>
      <c r="M83" s="16" t="n">
        <v>14</v>
      </c>
      <c r="N83" s="14" t="inlineStr">
        <is>
          <t>Lista titoli Logos Edizioni 2026 (PVP)</t>
        </is>
      </c>
      <c r="O83" s="16">
        <f>IF(ISNUMBER(M83),ROUND(M83*(1-Condizioni!$B$2),2),"")</f>
        <v/>
      </c>
      <c r="P83" s="17" t="inlineStr">
        <is>
          <t>No</t>
        </is>
      </c>
    </row>
    <row r="84">
      <c r="A84" s="14" t="inlineStr">
        <is>
          <t>Logos</t>
        </is>
      </c>
      <c r="B84" s="14" t="inlineStr">
        <is>
          <t>Superciuccio Vol.3</t>
        </is>
      </c>
      <c r="C84" s="14" t="inlineStr">
        <is>
          <t>Christophe Nicolas; ill. Guillaume Long</t>
        </is>
      </c>
      <c r="D84" s="14" t="inlineStr">
        <is>
          <t>Fumetto Ciopi</t>
        </is>
      </c>
      <c r="E84" s="14" t="inlineStr">
        <is>
          <t>da 3 anni</t>
        </is>
      </c>
      <c r="F84" s="14" t="inlineStr">
        <is>
          <t>3-6 anni</t>
        </is>
      </c>
      <c r="G84" s="14" t="inlineStr">
        <is>
          <t>Graphic novel/Fumetto</t>
        </is>
      </c>
      <c r="H84" s="14" t="inlineStr"/>
      <c r="I84" s="14" t="inlineStr">
        <is>
          <t>No</t>
        </is>
      </c>
      <c r="J84" s="14" t="inlineStr">
        <is>
          <t>Catalogo</t>
        </is>
      </c>
      <c r="K84" s="14" t="inlineStr">
        <is>
          <t>3-6 anni</t>
        </is>
      </c>
      <c r="L84" s="14" t="inlineStr">
        <is>
          <t>https://www.libri.it/superciuccio-3</t>
        </is>
      </c>
      <c r="M84" s="16" t="n">
        <v>14</v>
      </c>
      <c r="N84" s="14" t="inlineStr">
        <is>
          <t>Lista titoli Logos Edizioni 2026 (PVP)</t>
        </is>
      </c>
      <c r="O84" s="16">
        <f>IF(ISNUMBER(M84),ROUND(M84*(1-Condizioni!$B$2),2),"")</f>
        <v/>
      </c>
      <c r="P84" s="17" t="inlineStr">
        <is>
          <t>No</t>
        </is>
      </c>
    </row>
    <row r="85">
      <c r="A85" s="14" t="inlineStr">
        <is>
          <t>Logos</t>
        </is>
      </c>
      <c r="B85" s="14" t="inlineStr">
        <is>
          <t>Tilu Blu Si Prepara al Natale</t>
        </is>
      </c>
      <c r="C85" s="14" t="inlineStr">
        <is>
          <t>Daniel Picouly; ill. Frédéric Pillot</t>
        </is>
      </c>
      <c r="D85" s="14" t="inlineStr">
        <is>
          <t>Albo Ciopi</t>
        </is>
      </c>
      <c r="E85" s="14" t="inlineStr">
        <is>
          <t>da 3 anni</t>
        </is>
      </c>
      <c r="F85" s="14" t="inlineStr">
        <is>
          <t>3-6 anni</t>
        </is>
      </c>
      <c r="G85" s="14" t="inlineStr">
        <is>
          <t>Albo illustrato</t>
        </is>
      </c>
      <c r="H85" s="14" t="inlineStr"/>
      <c r="I85" s="14" t="inlineStr">
        <is>
          <t>No</t>
        </is>
      </c>
      <c r="J85" s="14" t="inlineStr">
        <is>
          <t>Catalogo</t>
        </is>
      </c>
      <c r="K85" s="14" t="inlineStr">
        <is>
          <t>3-6 anni</t>
        </is>
      </c>
      <c r="L85" s="14" t="inlineStr">
        <is>
          <t>https://www.libri.it/tilu-natale</t>
        </is>
      </c>
      <c r="M85" s="16" t="n">
        <v>17</v>
      </c>
      <c r="N85" s="14" t="inlineStr">
        <is>
          <t>Lista titoli Logos Edizioni 2026 (PVP)</t>
        </is>
      </c>
      <c r="O85" s="16">
        <f>IF(ISNUMBER(M85),ROUND(M85*(1-Condizioni!$B$2),2),"")</f>
        <v/>
      </c>
      <c r="P85" s="17" t="inlineStr">
        <is>
          <t>No</t>
        </is>
      </c>
    </row>
    <row r="86">
      <c r="A86" s="14" t="inlineStr">
        <is>
          <t>Logos</t>
        </is>
      </c>
      <c r="B86" s="14" t="inlineStr">
        <is>
          <t>Troviamo un Tesoro</t>
        </is>
      </c>
      <c r="C86" s="14" t="inlineStr">
        <is>
          <t>Janosch</t>
        </is>
      </c>
      <c r="D86" s="14" t="inlineStr">
        <is>
          <t>Biblioteca Ciopi</t>
        </is>
      </c>
      <c r="E86" s="14" t="inlineStr">
        <is>
          <t>da 3 anni</t>
        </is>
      </c>
      <c r="F86" s="14" t="inlineStr">
        <is>
          <t>3-6 anni</t>
        </is>
      </c>
      <c r="G86" s="14" t="inlineStr">
        <is>
          <t>Narrativa</t>
        </is>
      </c>
      <c r="H86" s="14" t="inlineStr"/>
      <c r="I86" s="14" t="inlineStr">
        <is>
          <t>No</t>
        </is>
      </c>
      <c r="J86" s="14" t="inlineStr">
        <is>
          <t>Catalogo</t>
        </is>
      </c>
      <c r="K86" s="14" t="inlineStr">
        <is>
          <t>3-6 anni, narrativa</t>
        </is>
      </c>
      <c r="L86" s="14" t="inlineStr">
        <is>
          <t>https://www.libri.it/troviamo-un-tesoro</t>
        </is>
      </c>
      <c r="M86" s="16" t="n">
        <v>8</v>
      </c>
      <c r="N86" s="14" t="inlineStr">
        <is>
          <t>Lista titoli Logos Edizioni 2026 (PVP)</t>
        </is>
      </c>
      <c r="O86" s="16">
        <f>IF(ISNUMBER(M86),ROUND(M86*(1-Condizioni!$B$2),2),"")</f>
        <v/>
      </c>
      <c r="P86" s="17" t="inlineStr">
        <is>
          <t>No</t>
        </is>
      </c>
    </row>
    <row r="87">
      <c r="A87" s="14" t="inlineStr">
        <is>
          <t>Logos</t>
        </is>
      </c>
      <c r="B87" s="14" t="inlineStr">
        <is>
          <t>Un Cane con le Orecchie Belle</t>
        </is>
      </c>
      <c r="C87" s="14" t="inlineStr">
        <is>
          <t>Lauren Child</t>
        </is>
      </c>
      <c r="D87" s="14" t="inlineStr">
        <is>
          <t>Albo Ciopi</t>
        </is>
      </c>
      <c r="E87" s="14" t="inlineStr">
        <is>
          <t>da 3 anni</t>
        </is>
      </c>
      <c r="F87" s="14" t="inlineStr">
        <is>
          <t>3-6 anni</t>
        </is>
      </c>
      <c r="G87" s="14" t="inlineStr">
        <is>
          <t>Albo illustrato</t>
        </is>
      </c>
      <c r="H87" s="14" t="inlineStr"/>
      <c r="I87" s="14" t="inlineStr">
        <is>
          <t>No</t>
        </is>
      </c>
      <c r="J87" s="14" t="inlineStr">
        <is>
          <t>Catalogo</t>
        </is>
      </c>
      <c r="K87" s="14" t="inlineStr">
        <is>
          <t>3-6 anni</t>
        </is>
      </c>
      <c r="L87" s="14" t="inlineStr">
        <is>
          <t>https://www.libri.it/cane-con-le-orecchie-belle</t>
        </is>
      </c>
      <c r="M87" s="16" t="n">
        <v>16.5</v>
      </c>
      <c r="N87" s="14" t="inlineStr">
        <is>
          <t>Lista titoli Logos Edizioni 2026 (PVP)</t>
        </is>
      </c>
      <c r="O87" s="16">
        <f>IF(ISNUMBER(M87),ROUND(M87*(1-Condizioni!$B$2),2),"")</f>
        <v/>
      </c>
      <c r="P87" s="17" t="inlineStr">
        <is>
          <t>No</t>
        </is>
      </c>
    </row>
    <row r="88">
      <c r="A88" s="14" t="inlineStr">
        <is>
          <t>Logos</t>
        </is>
      </c>
      <c r="B88" s="14" t="inlineStr">
        <is>
          <t>Un Piccolo Cappuccetto Rosso</t>
        </is>
      </c>
      <c r="C88" s="14" t="inlineStr">
        <is>
          <t>Marjolaine Leray</t>
        </is>
      </c>
      <c r="D88" s="14" t="inlineStr">
        <is>
          <t>Albo Ciopi</t>
        </is>
      </c>
      <c r="E88" s="14" t="inlineStr">
        <is>
          <t>da 3 anni</t>
        </is>
      </c>
      <c r="F88" s="14" t="inlineStr">
        <is>
          <t>3-6 anni</t>
        </is>
      </c>
      <c r="G88" s="14" t="inlineStr">
        <is>
          <t>Albo illustrato</t>
        </is>
      </c>
      <c r="H88" s="14" t="inlineStr"/>
      <c r="I88" s="14" t="inlineStr">
        <is>
          <t>No</t>
        </is>
      </c>
      <c r="J88" s="14" t="inlineStr">
        <is>
          <t>Catalogo</t>
        </is>
      </c>
      <c r="K88" s="14" t="inlineStr">
        <is>
          <t>3-6 anni</t>
        </is>
      </c>
      <c r="L88" s="14" t="inlineStr">
        <is>
          <t>https://www.libri.it/un-piccolo-cappuccetto-rosso</t>
        </is>
      </c>
      <c r="M88" s="16" t="n">
        <v>12</v>
      </c>
      <c r="N88" s="14" t="inlineStr">
        <is>
          <t>Lista titoli Logos Edizioni 2026 (PVP)</t>
        </is>
      </c>
      <c r="O88" s="16">
        <f>IF(ISNUMBER(M88),ROUND(M88*(1-Condizioni!$B$2),2),"")</f>
        <v/>
      </c>
      <c r="P88" s="17" t="inlineStr">
        <is>
          <t>No</t>
        </is>
      </c>
    </row>
    <row r="89">
      <c r="A89" s="14" t="inlineStr">
        <is>
          <t>Logos</t>
        </is>
      </c>
      <c r="B89" s="14" t="inlineStr">
        <is>
          <t>Un Regalo per la Mamma</t>
        </is>
      </c>
      <c r="C89" s="14" t="inlineStr">
        <is>
          <t>Lawrence Schimel; ill. Alessandra Manfredi</t>
        </is>
      </c>
      <c r="D89" s="14" t="inlineStr">
        <is>
          <t>Albo Ciopi</t>
        </is>
      </c>
      <c r="E89" s="14" t="inlineStr">
        <is>
          <t>da 3 anni</t>
        </is>
      </c>
      <c r="F89" s="14" t="inlineStr">
        <is>
          <t>3-6 anni</t>
        </is>
      </c>
      <c r="G89" s="14" t="inlineStr">
        <is>
          <t>Albo illustrato</t>
        </is>
      </c>
      <c r="H89" s="14" t="inlineStr"/>
      <c r="I89" s="14" t="inlineStr">
        <is>
          <t>No</t>
        </is>
      </c>
      <c r="J89" s="14" t="inlineStr">
        <is>
          <t>Catalogo</t>
        </is>
      </c>
      <c r="K89" s="14" t="inlineStr">
        <is>
          <t>3-6 anni</t>
        </is>
      </c>
      <c r="L89" s="14" t="inlineStr">
        <is>
          <t>https://www.libri.it/un-regalo-per-la-mamma</t>
        </is>
      </c>
      <c r="M89" s="16" t="n">
        <v>18</v>
      </c>
      <c r="N89" s="14" t="inlineStr">
        <is>
          <t>Lista titoli Logos Edizioni 2026 (PVP)</t>
        </is>
      </c>
      <c r="O89" s="16">
        <f>IF(ISNUMBER(M89),ROUND(M89*(1-Condizioni!$B$2),2),"")</f>
        <v/>
      </c>
      <c r="P89" s="17" t="inlineStr">
        <is>
          <t>No</t>
        </is>
      </c>
    </row>
    <row r="90">
      <c r="A90" s="14" t="inlineStr">
        <is>
          <t>Logos</t>
        </is>
      </c>
      <c r="B90" s="14" t="inlineStr">
        <is>
          <t>Una Bicicletta per Piccolo Tigre</t>
        </is>
      </c>
      <c r="C90" s="14" t="inlineStr">
        <is>
          <t>Janosch</t>
        </is>
      </c>
      <c r="D90" s="14" t="inlineStr">
        <is>
          <t>Biblioteca Ciopi</t>
        </is>
      </c>
      <c r="E90" s="14" t="inlineStr">
        <is>
          <t>da 3 anni</t>
        </is>
      </c>
      <c r="F90" s="14" t="inlineStr">
        <is>
          <t>3-6 anni</t>
        </is>
      </c>
      <c r="G90" s="14" t="inlineStr">
        <is>
          <t>Narrativa</t>
        </is>
      </c>
      <c r="H90" s="14" t="inlineStr"/>
      <c r="I90" s="14" t="inlineStr">
        <is>
          <t>No</t>
        </is>
      </c>
      <c r="J90" s="14" t="inlineStr">
        <is>
          <t>Catalogo</t>
        </is>
      </c>
      <c r="K90" s="14" t="inlineStr">
        <is>
          <t>3-6 anni, narrativa</t>
        </is>
      </c>
      <c r="L90" s="14" t="inlineStr">
        <is>
          <t>https://www.libri.it/una-bicicletta-per-piccolo-tigre</t>
        </is>
      </c>
      <c r="M90" s="16" t="n">
        <v>8</v>
      </c>
      <c r="N90" s="14" t="inlineStr">
        <is>
          <t>Lista titoli Logos Edizioni 2026 (PVP)</t>
        </is>
      </c>
      <c r="O90" s="16">
        <f>IF(ISNUMBER(M90),ROUND(M90*(1-Condizioni!$B$2),2),"")</f>
        <v/>
      </c>
      <c r="P90" s="17" t="inlineStr">
        <is>
          <t>No</t>
        </is>
      </c>
    </row>
    <row r="91">
      <c r="A91" s="14" t="inlineStr">
        <is>
          <t>Logos</t>
        </is>
      </c>
      <c r="B91" s="14" t="inlineStr">
        <is>
          <t>Una Storia Piena di Lupi</t>
        </is>
      </c>
      <c r="C91" s="14" t="inlineStr">
        <is>
          <t>Roberto Aliaga; ill. Roger Olmos</t>
        </is>
      </c>
      <c r="D91" s="14" t="inlineStr">
        <is>
          <t>Albo Ciopi</t>
        </is>
      </c>
      <c r="E91" s="14" t="inlineStr">
        <is>
          <t>da 3 anni</t>
        </is>
      </c>
      <c r="F91" s="14" t="inlineStr">
        <is>
          <t>3-6 anni</t>
        </is>
      </c>
      <c r="G91" s="14" t="inlineStr">
        <is>
          <t>Albo illustrato</t>
        </is>
      </c>
      <c r="H91" s="14" t="inlineStr"/>
      <c r="I91" s="14" t="inlineStr">
        <is>
          <t>No</t>
        </is>
      </c>
      <c r="J91" s="14" t="inlineStr">
        <is>
          <t>Catalogo</t>
        </is>
      </c>
      <c r="K91" s="14" t="inlineStr">
        <is>
          <t>3-6 anni</t>
        </is>
      </c>
      <c r="L91" s="14" t="inlineStr">
        <is>
          <t>https://www.libri.it/una-storia-piena-di-lupi</t>
        </is>
      </c>
      <c r="M91" s="16" t="n">
        <v>16</v>
      </c>
      <c r="N91" s="14" t="inlineStr">
        <is>
          <t>Lista titoli Logos Edizioni 2026 (PVP)</t>
        </is>
      </c>
      <c r="O91" s="16">
        <f>IF(ISNUMBER(M91),ROUND(M91*(1-Condizioni!$B$2),2),"")</f>
        <v/>
      </c>
      <c r="P91" s="17" t="inlineStr">
        <is>
          <t>No</t>
        </is>
      </c>
    </row>
    <row r="92">
      <c r="A92" s="14" t="inlineStr">
        <is>
          <t>Logos</t>
        </is>
      </c>
      <c r="B92" s="14" t="inlineStr">
        <is>
          <t>Urla Daisy, Urla</t>
        </is>
      </c>
      <c r="C92" s="14" t="inlineStr">
        <is>
          <t>Jane Simmons</t>
        </is>
      </c>
      <c r="D92" s="14" t="inlineStr">
        <is>
          <t>Albo Ciopi</t>
        </is>
      </c>
      <c r="E92" s="14" t="inlineStr">
        <is>
          <t>da 3 anni</t>
        </is>
      </c>
      <c r="F92" s="14" t="inlineStr">
        <is>
          <t>3-6 anni</t>
        </is>
      </c>
      <c r="G92" s="14" t="inlineStr">
        <is>
          <t>Albo illustrato</t>
        </is>
      </c>
      <c r="H92" s="14" t="inlineStr"/>
      <c r="I92" s="14" t="inlineStr">
        <is>
          <t>No</t>
        </is>
      </c>
      <c r="J92" s="14" t="inlineStr">
        <is>
          <t>Catalogo</t>
        </is>
      </c>
      <c r="K92" s="14" t="inlineStr">
        <is>
          <t>3-6 anni</t>
        </is>
      </c>
      <c r="L92" s="14" t="inlineStr">
        <is>
          <t>https://www.libri.it/urla-daisy-urla</t>
        </is>
      </c>
      <c r="M92" s="16" t="n">
        <v>17</v>
      </c>
      <c r="N92" s="14" t="inlineStr">
        <is>
          <t>Lista titoli Logos Edizioni 2026 (PVP)</t>
        </is>
      </c>
      <c r="O92" s="16">
        <f>IF(ISNUMBER(M92),ROUND(M92*(1-Condizioni!$B$2),2),"")</f>
        <v/>
      </c>
      <c r="P92" s="17" t="inlineStr">
        <is>
          <t>No</t>
        </is>
      </c>
    </row>
    <row r="93">
      <c r="A93" s="14" t="inlineStr">
        <is>
          <t>Logos</t>
        </is>
      </c>
      <c r="B93" s="14" t="inlineStr">
        <is>
          <t>Va Tutto Bene Merlino!</t>
        </is>
      </c>
      <c r="C93" s="14" t="inlineStr">
        <is>
          <t>Emmanuelle Houdart</t>
        </is>
      </c>
      <c r="D93" s="14" t="inlineStr">
        <is>
          <t>Albo Ciopi</t>
        </is>
      </c>
      <c r="E93" s="14" t="inlineStr">
        <is>
          <t>da 3 anni</t>
        </is>
      </c>
      <c r="F93" s="14" t="inlineStr">
        <is>
          <t>3-6 anni</t>
        </is>
      </c>
      <c r="G93" s="14" t="inlineStr">
        <is>
          <t>Albo illustrato</t>
        </is>
      </c>
      <c r="H93" s="14" t="inlineStr"/>
      <c r="I93" s="14" t="inlineStr">
        <is>
          <t>No</t>
        </is>
      </c>
      <c r="J93" s="14" t="inlineStr">
        <is>
          <t>Catalogo</t>
        </is>
      </c>
      <c r="K93" s="14" t="inlineStr">
        <is>
          <t>3-6 anni</t>
        </is>
      </c>
      <c r="L93" s="14" t="inlineStr">
        <is>
          <t>https://www.libri.it/va-tutto-bene-merlino</t>
        </is>
      </c>
      <c r="M93" s="16" t="n">
        <v>15</v>
      </c>
      <c r="N93" s="14" t="inlineStr">
        <is>
          <t>Lista titoli Logos Edizioni 2026 (PVP)</t>
        </is>
      </c>
      <c r="O93" s="16">
        <f>IF(ISNUMBER(M93),ROUND(M93*(1-Condizioni!$B$2),2),"")</f>
        <v/>
      </c>
      <c r="P93" s="17" t="inlineStr">
        <is>
          <t>No</t>
        </is>
      </c>
    </row>
    <row r="94">
      <c r="A94" s="14" t="inlineStr">
        <is>
          <t>Logos</t>
        </is>
      </c>
      <c r="B94" s="14" t="inlineStr">
        <is>
          <t>Abbecedario Stravagante</t>
        </is>
      </c>
      <c r="C94" s="14" t="inlineStr">
        <is>
          <t>Isol</t>
        </is>
      </c>
      <c r="D94" s="14" t="inlineStr">
        <is>
          <t>Albo Ciopi</t>
        </is>
      </c>
      <c r="E94" s="14" t="inlineStr">
        <is>
          <t>da 6 anni</t>
        </is>
      </c>
      <c r="F94" s="14" t="inlineStr">
        <is>
          <t>Prime letture (6-8)</t>
        </is>
      </c>
      <c r="G94" s="14" t="inlineStr">
        <is>
          <t>Albo illustrato</t>
        </is>
      </c>
      <c r="H94" s="14" t="inlineStr"/>
      <c r="I94" s="14" t="inlineStr">
        <is>
          <t>No</t>
        </is>
      </c>
      <c r="J94" s="14" t="inlineStr">
        <is>
          <t>Catalogo</t>
        </is>
      </c>
      <c r="K94" s="14" t="inlineStr">
        <is>
          <t>prime letture</t>
        </is>
      </c>
      <c r="L94" s="14" t="inlineStr">
        <is>
          <t>https://www.libri.it/abbecedario</t>
        </is>
      </c>
      <c r="M94" s="16" t="n">
        <v>16</v>
      </c>
      <c r="N94" s="14" t="inlineStr">
        <is>
          <t>Lista titoli Logos Edizioni 2026 (PVP)</t>
        </is>
      </c>
      <c r="O94" s="16">
        <f>IF(ISNUMBER(M94),ROUND(M94*(1-Condizioni!$B$2),2),"")</f>
        <v/>
      </c>
      <c r="P94" s="17" t="inlineStr">
        <is>
          <t>No</t>
        </is>
      </c>
    </row>
    <row r="95">
      <c r="A95" s="14" t="inlineStr">
        <is>
          <t>Logos</t>
        </is>
      </c>
      <c r="B95" s="14" t="inlineStr">
        <is>
          <t>Agente Riccioli d’Oro</t>
        </is>
      </c>
      <c r="C95" s="14" t="inlineStr">
        <is>
          <t>El Hematocrítico; ill. Alberto Vázquez</t>
        </is>
      </c>
      <c r="D95" s="14" t="inlineStr">
        <is>
          <t>Biblioteca Ciopi</t>
        </is>
      </c>
      <c r="E95" s="14" t="inlineStr">
        <is>
          <t>da 6 anni</t>
        </is>
      </c>
      <c r="F95" s="14" t="inlineStr">
        <is>
          <t>Prime letture (6-8)</t>
        </is>
      </c>
      <c r="G95" s="14" t="inlineStr">
        <is>
          <t>Narrativa</t>
        </is>
      </c>
      <c r="H95" s="14" t="inlineStr"/>
      <c r="I95" s="14" t="inlineStr">
        <is>
          <t>No</t>
        </is>
      </c>
      <c r="J95" s="14" t="inlineStr">
        <is>
          <t>Catalogo</t>
        </is>
      </c>
      <c r="K95" s="14" t="inlineStr">
        <is>
          <t>prime letture, narrativa</t>
        </is>
      </c>
      <c r="L95" s="14" t="inlineStr">
        <is>
          <t>https://www.libri.it/agente-riccioli-d-oro</t>
        </is>
      </c>
      <c r="M95" s="16" t="n">
        <v>12</v>
      </c>
      <c r="N95" s="14" t="inlineStr">
        <is>
          <t>Lista titoli Logos Edizioni 2026 (PVP)</t>
        </is>
      </c>
      <c r="O95" s="16">
        <f>IF(ISNUMBER(M95),ROUND(M95*(1-Condizioni!$B$2),2),"")</f>
        <v/>
      </c>
      <c r="P95" s="17" t="inlineStr">
        <is>
          <t>No</t>
        </is>
      </c>
    </row>
    <row r="96">
      <c r="A96" s="14" t="inlineStr">
        <is>
          <t>Logos</t>
        </is>
      </c>
      <c r="B96" s="14" t="inlineStr">
        <is>
          <t>Al Luuuuuuupo</t>
        </is>
      </c>
      <c r="C96" s="14" t="inlineStr">
        <is>
          <t>André Bouchard</t>
        </is>
      </c>
      <c r="D96" s="14" t="inlineStr">
        <is>
          <t>Albo Ciopi</t>
        </is>
      </c>
      <c r="E96" s="14" t="inlineStr">
        <is>
          <t>da 6 anni</t>
        </is>
      </c>
      <c r="F96" s="14" t="inlineStr">
        <is>
          <t>Prime letture (6-8)</t>
        </is>
      </c>
      <c r="G96" s="14" t="inlineStr">
        <is>
          <t>Albo illustrato</t>
        </is>
      </c>
      <c r="H96" s="14" t="inlineStr"/>
      <c r="I96" s="14" t="inlineStr">
        <is>
          <t>No</t>
        </is>
      </c>
      <c r="J96" s="14" t="inlineStr">
        <is>
          <t>Catalogo</t>
        </is>
      </c>
      <c r="K96" s="14" t="inlineStr">
        <is>
          <t>prime letture</t>
        </is>
      </c>
      <c r="L96" s="14" t="inlineStr">
        <is>
          <t>https://www.libri.it/al-luuuuuuupo</t>
        </is>
      </c>
      <c r="M96" s="16" t="n">
        <v>18</v>
      </c>
      <c r="N96" s="14" t="inlineStr">
        <is>
          <t>Lista titoli Logos Edizioni 2026 (PVP)</t>
        </is>
      </c>
      <c r="O96" s="16">
        <f>IF(ISNUMBER(M96),ROUND(M96*(1-Condizioni!$B$2),2),"")</f>
        <v/>
      </c>
      <c r="P96" s="17" t="inlineStr">
        <is>
          <t>No</t>
        </is>
      </c>
    </row>
    <row r="97">
      <c r="A97" s="14" t="inlineStr">
        <is>
          <t>Logos</t>
        </is>
      </c>
      <c r="B97" s="14" t="inlineStr">
        <is>
          <t>Alfred non Ama la Moda</t>
        </is>
      </c>
      <c r="C97" s="14" t="inlineStr">
        <is>
          <t>André Bouchard</t>
        </is>
      </c>
      <c r="D97" s="14" t="inlineStr">
        <is>
          <t>Biblioteca Ciopi</t>
        </is>
      </c>
      <c r="E97" s="14" t="inlineStr">
        <is>
          <t>da 6 anni</t>
        </is>
      </c>
      <c r="F97" s="14" t="inlineStr">
        <is>
          <t>Prime letture (6-8)</t>
        </is>
      </c>
      <c r="G97" s="14" t="inlineStr">
        <is>
          <t>Narrativa</t>
        </is>
      </c>
      <c r="H97" s="14" t="inlineStr"/>
      <c r="I97" s="14" t="inlineStr">
        <is>
          <t>No</t>
        </is>
      </c>
      <c r="J97" s="14" t="inlineStr">
        <is>
          <t>Catalogo</t>
        </is>
      </c>
      <c r="K97" s="14" t="inlineStr">
        <is>
          <t>prime letture, narrativa</t>
        </is>
      </c>
      <c r="L97" s="14" t="inlineStr">
        <is>
          <t>https://www.libri.it/alfred</t>
        </is>
      </c>
      <c r="M97" s="16" t="n">
        <v>10</v>
      </c>
      <c r="N97" s="14" t="inlineStr">
        <is>
          <t>Lista titoli Logos Edizioni 2026 (PVP)</t>
        </is>
      </c>
      <c r="O97" s="16">
        <f>IF(ISNUMBER(M97),ROUND(M97*(1-Condizioni!$B$2),2),"")</f>
        <v/>
      </c>
      <c r="P97" s="17" t="inlineStr">
        <is>
          <t>No</t>
        </is>
      </c>
    </row>
    <row r="98">
      <c r="A98" s="14" t="inlineStr">
        <is>
          <t>Logos</t>
        </is>
      </c>
      <c r="B98" s="14" t="inlineStr">
        <is>
          <t>Antonietta</t>
        </is>
      </c>
      <c r="C98" s="14" t="inlineStr">
        <is>
          <t>Lucía Baquedano; ill. Alessandra Manfredi</t>
        </is>
      </c>
      <c r="D98" s="14" t="inlineStr">
        <is>
          <t>Biblioteca Ciopi</t>
        </is>
      </c>
      <c r="E98" s="14" t="inlineStr">
        <is>
          <t>da 6 anni</t>
        </is>
      </c>
      <c r="F98" s="14" t="inlineStr">
        <is>
          <t>Prime letture (6-8)</t>
        </is>
      </c>
      <c r="G98" s="14" t="inlineStr">
        <is>
          <t>Narrativa</t>
        </is>
      </c>
      <c r="H98" s="14" t="inlineStr"/>
      <c r="I98" s="14" t="inlineStr">
        <is>
          <t>No</t>
        </is>
      </c>
      <c r="J98" s="14" t="inlineStr">
        <is>
          <t>Catalogo</t>
        </is>
      </c>
      <c r="K98" s="14" t="inlineStr">
        <is>
          <t>prime letture, narrativa</t>
        </is>
      </c>
      <c r="L98" s="14" t="inlineStr">
        <is>
          <t>https://www.libri.it/antonietta</t>
        </is>
      </c>
      <c r="M98" s="16" t="n">
        <v>9</v>
      </c>
      <c r="N98" s="14" t="inlineStr">
        <is>
          <t>Lista titoli Logos Edizioni 2026 (PVP)</t>
        </is>
      </c>
      <c r="O98" s="16">
        <f>IF(ISNUMBER(M98),ROUND(M98*(1-Condizioni!$B$2),2),"")</f>
        <v/>
      </c>
      <c r="P98" s="17" t="inlineStr">
        <is>
          <t>No</t>
        </is>
      </c>
    </row>
    <row r="99">
      <c r="A99" s="14" t="inlineStr">
        <is>
          <t>Logos</t>
        </is>
      </c>
      <c r="B99" s="14" t="inlineStr">
        <is>
          <t>Aprile. il Pesce Rosso</t>
        </is>
      </c>
      <c r="C99" s="14" t="inlineStr">
        <is>
          <t>Marjolaine Leray</t>
        </is>
      </c>
      <c r="D99" s="14" t="inlineStr">
        <is>
          <t>Albo Ciopi</t>
        </is>
      </c>
      <c r="E99" s="14" t="inlineStr">
        <is>
          <t>da 6 anni</t>
        </is>
      </c>
      <c r="F99" s="14" t="inlineStr">
        <is>
          <t>Prime letture (6-8)</t>
        </is>
      </c>
      <c r="G99" s="14" t="inlineStr">
        <is>
          <t>Albo illustrato</t>
        </is>
      </c>
      <c r="H99" s="14" t="inlineStr"/>
      <c r="I99" s="14" t="inlineStr">
        <is>
          <t>No</t>
        </is>
      </c>
      <c r="J99" s="14" t="inlineStr">
        <is>
          <t>Catalogo</t>
        </is>
      </c>
      <c r="K99" s="14" t="inlineStr">
        <is>
          <t>prime letture</t>
        </is>
      </c>
      <c r="L99" s="14" t="inlineStr">
        <is>
          <t>https://www.libri.it/aprile-il-pesce-rosso</t>
        </is>
      </c>
      <c r="M99" s="16" t="n">
        <v>10</v>
      </c>
      <c r="N99" s="14" t="inlineStr">
        <is>
          <t>Lista titoli Logos Edizioni 2026 (PVP)</t>
        </is>
      </c>
      <c r="O99" s="16">
        <f>IF(ISNUMBER(M99),ROUND(M99*(1-Condizioni!$B$2),2),"")</f>
        <v/>
      </c>
      <c r="P99" s="17" t="inlineStr">
        <is>
          <t>No</t>
        </is>
      </c>
    </row>
    <row r="100">
      <c r="A100" s="14" t="inlineStr">
        <is>
          <t>Logos</t>
        </is>
      </c>
      <c r="B100" s="14" t="inlineStr">
        <is>
          <t>Arturo e il Segreto della Nonna</t>
        </is>
      </c>
      <c r="C100" s="14" t="inlineStr">
        <is>
          <t>Muriel Sevestre; ill. Malika Fouchier</t>
        </is>
      </c>
      <c r="D100" s="14" t="inlineStr">
        <is>
          <t>Fumetto Ciopi</t>
        </is>
      </c>
      <c r="E100" s="14" t="inlineStr">
        <is>
          <t>da 6 anni</t>
        </is>
      </c>
      <c r="F100" s="14" t="inlineStr">
        <is>
          <t>Prime letture (6-8)</t>
        </is>
      </c>
      <c r="G100" s="14" t="inlineStr">
        <is>
          <t>Graphic novel/Fumetto</t>
        </is>
      </c>
      <c r="H100" s="14" t="inlineStr"/>
      <c r="I100" s="14" t="inlineStr">
        <is>
          <t>No</t>
        </is>
      </c>
      <c r="J100" s="14" t="inlineStr">
        <is>
          <t>Catalogo</t>
        </is>
      </c>
      <c r="K100" s="14" t="inlineStr">
        <is>
          <t>prime letture</t>
        </is>
      </c>
      <c r="L100" s="14" t="inlineStr">
        <is>
          <t>https://www.libri.it/arturo-e-il-segreto-della-nonna</t>
        </is>
      </c>
      <c r="M100" s="16" t="n">
        <v>14</v>
      </c>
      <c r="N100" s="14" t="inlineStr">
        <is>
          <t>Lista titoli Logos Edizioni 2026 (PVP)</t>
        </is>
      </c>
      <c r="O100" s="16">
        <f>IF(ISNUMBER(M100),ROUND(M100*(1-Condizioni!$B$2),2),"")</f>
        <v/>
      </c>
      <c r="P100" s="17" t="inlineStr">
        <is>
          <t>No</t>
        </is>
      </c>
    </row>
    <row r="101">
      <c r="A101" s="14" t="inlineStr">
        <is>
          <t>Logos</t>
        </is>
      </c>
      <c r="B101" s="14" t="inlineStr">
        <is>
          <t>Balbuzar</t>
        </is>
      </c>
      <c r="C101" s="14" t="inlineStr">
        <is>
          <t>Gérard Moncomble; ill. Frédéric Pillot</t>
        </is>
      </c>
      <c r="D101" s="14" t="inlineStr">
        <is>
          <t>Albo Ciopi</t>
        </is>
      </c>
      <c r="E101" s="14" t="inlineStr">
        <is>
          <t>da 6 anni</t>
        </is>
      </c>
      <c r="F101" s="14" t="inlineStr">
        <is>
          <t>Prime letture (6-8)</t>
        </is>
      </c>
      <c r="G101" s="14" t="inlineStr">
        <is>
          <t>Albo illustrato</t>
        </is>
      </c>
      <c r="H101" s="14" t="inlineStr"/>
      <c r="I101" s="14" t="inlineStr">
        <is>
          <t>No</t>
        </is>
      </c>
      <c r="J101" s="14" t="inlineStr">
        <is>
          <t>Catalogo</t>
        </is>
      </c>
      <c r="K101" s="14" t="inlineStr">
        <is>
          <t>prime letture</t>
        </is>
      </c>
      <c r="L101" s="14" t="inlineStr">
        <is>
          <t>https://www.libri.it/balbuzar</t>
        </is>
      </c>
      <c r="M101" s="16" t="n">
        <v>25</v>
      </c>
      <c r="N101" s="14" t="inlineStr">
        <is>
          <t>Lista titoli Logos Edizioni 2026 (PVP)</t>
        </is>
      </c>
      <c r="O101" s="16">
        <f>IF(ISNUMBER(M101),ROUND(M101*(1-Condizioni!$B$2),2),"")</f>
        <v/>
      </c>
      <c r="P101" s="17" t="inlineStr">
        <is>
          <t>No</t>
        </is>
      </c>
    </row>
    <row r="102">
      <c r="A102" s="14" t="inlineStr">
        <is>
          <t>Logos</t>
        </is>
      </c>
      <c r="B102" s="14" t="inlineStr">
        <is>
          <t>Batata</t>
        </is>
      </c>
      <c r="C102" s="14" t="inlineStr">
        <is>
          <t>Graciela Beatriz Cabal; ill. Giulia Pintus</t>
        </is>
      </c>
      <c r="D102" s="14" t="inlineStr">
        <is>
          <t>Biblioteca Ciopi</t>
        </is>
      </c>
      <c r="E102" s="14" t="inlineStr">
        <is>
          <t>da 6 anni</t>
        </is>
      </c>
      <c r="F102" s="14" t="inlineStr">
        <is>
          <t>Prime letture (6-8)</t>
        </is>
      </c>
      <c r="G102" s="14" t="inlineStr">
        <is>
          <t>Narrativa</t>
        </is>
      </c>
      <c r="H102" s="14" t="inlineStr"/>
      <c r="I102" s="14" t="inlineStr">
        <is>
          <t>No</t>
        </is>
      </c>
      <c r="J102" s="14" t="inlineStr">
        <is>
          <t>Catalogo</t>
        </is>
      </c>
      <c r="K102" s="14" t="inlineStr">
        <is>
          <t>prime letture, narrativa</t>
        </is>
      </c>
      <c r="L102" s="14" t="inlineStr">
        <is>
          <t>https://www.libri.it/batata</t>
        </is>
      </c>
      <c r="M102" s="16" t="n">
        <v>7</v>
      </c>
      <c r="N102" s="14" t="inlineStr">
        <is>
          <t>Lista titoli Logos Edizioni 2026 (PVP)</t>
        </is>
      </c>
      <c r="O102" s="16">
        <f>IF(ISNUMBER(M102),ROUND(M102*(1-Condizioni!$B$2),2),"")</f>
        <v/>
      </c>
      <c r="P102" s="17" t="inlineStr">
        <is>
          <t>No</t>
        </is>
      </c>
    </row>
    <row r="103">
      <c r="A103" s="14" t="inlineStr">
        <is>
          <t>Logos</t>
        </is>
      </c>
      <c r="B103" s="14" t="inlineStr">
        <is>
          <t>Billie Bang Bang! Squilibrio Totale</t>
        </is>
      </c>
      <c r="C103" s="14" t="inlineStr">
        <is>
          <t>Théa Rojzman; ill. Steve Baker</t>
        </is>
      </c>
      <c r="D103" s="14" t="inlineStr">
        <is>
          <t>Fumetto Ciopi</t>
        </is>
      </c>
      <c r="E103" s="14" t="inlineStr">
        <is>
          <t>da 6 anni</t>
        </is>
      </c>
      <c r="F103" s="14" t="inlineStr">
        <is>
          <t>Prime letture (6-8)</t>
        </is>
      </c>
      <c r="G103" s="14" t="inlineStr">
        <is>
          <t>Graphic novel/Fumetto</t>
        </is>
      </c>
      <c r="H103" s="14" t="inlineStr"/>
      <c r="I103" s="14" t="inlineStr">
        <is>
          <t>No</t>
        </is>
      </c>
      <c r="J103" s="14" t="inlineStr">
        <is>
          <t>Catalogo</t>
        </is>
      </c>
      <c r="K103" s="14" t="inlineStr">
        <is>
          <t>prime letture</t>
        </is>
      </c>
      <c r="L103" s="14" t="inlineStr">
        <is>
          <t>https://www.libri.it/billie-bang-bang-squilibrio-totale</t>
        </is>
      </c>
      <c r="M103" s="16" t="n">
        <v>15</v>
      </c>
      <c r="N103" s="14" t="inlineStr">
        <is>
          <t>Lista titoli Logos Edizioni 2026 (PVP)</t>
        </is>
      </c>
      <c r="O103" s="16">
        <f>IF(ISNUMBER(M103),ROUND(M103*(1-Condizioni!$B$2),2),"")</f>
        <v/>
      </c>
      <c r="P103" s="17" t="inlineStr">
        <is>
          <t>No</t>
        </is>
      </c>
    </row>
    <row r="104">
      <c r="A104" s="14" t="inlineStr">
        <is>
          <t>Logos</t>
        </is>
      </c>
      <c r="B104" s="14" t="inlineStr">
        <is>
          <t>Box Wonder Ponder Io Persona</t>
        </is>
      </c>
      <c r="C104" s="14" t="inlineStr">
        <is>
          <t>Ellen Duthie; ill. Daniela Martagón</t>
        </is>
      </c>
      <c r="D104" s="14" t="inlineStr">
        <is>
          <t>Wonder Ponder</t>
        </is>
      </c>
      <c r="E104" s="14" t="inlineStr">
        <is>
          <t>da 6 anni</t>
        </is>
      </c>
      <c r="F104" s="14" t="inlineStr">
        <is>
          <t>Prime letture (6-8)</t>
        </is>
      </c>
      <c r="G104" s="14" t="inlineStr">
        <is>
          <t>Albo illustrato</t>
        </is>
      </c>
      <c r="H104" s="14" t="inlineStr"/>
      <c r="I104" s="14" t="inlineStr">
        <is>
          <t>No</t>
        </is>
      </c>
      <c r="J104" s="14" t="inlineStr">
        <is>
          <t>Catalogo</t>
        </is>
      </c>
      <c r="K104" s="14" t="inlineStr">
        <is>
          <t>prime letture</t>
        </is>
      </c>
      <c r="L104" s="14" t="inlineStr">
        <is>
          <t>https://www.libri.it/io-persona-box</t>
        </is>
      </c>
      <c r="M104" s="16" t="n">
        <v>15</v>
      </c>
      <c r="N104" s="14" t="inlineStr">
        <is>
          <t>Lista titoli Logos Edizioni 2026 (PVP)</t>
        </is>
      </c>
      <c r="O104" s="16">
        <f>IF(ISNUMBER(M104),ROUND(M104*(1-Condizioni!$B$2),2),"")</f>
        <v/>
      </c>
      <c r="P104" s="17" t="inlineStr">
        <is>
          <t>No</t>
        </is>
      </c>
    </row>
    <row r="105">
      <c r="A105" s="14" t="inlineStr">
        <is>
          <t>Logos</t>
        </is>
      </c>
      <c r="B105" s="14" t="inlineStr">
        <is>
          <t>Box Wonder Ponder Mondo Crudele</t>
        </is>
      </c>
      <c r="C105" s="14" t="inlineStr">
        <is>
          <t>Ellen Duthie; ill. Daniela Martagón</t>
        </is>
      </c>
      <c r="D105" s="14" t="inlineStr">
        <is>
          <t>Wonder Ponder</t>
        </is>
      </c>
      <c r="E105" s="14" t="inlineStr">
        <is>
          <t>da 6 anni</t>
        </is>
      </c>
      <c r="F105" s="14" t="inlineStr">
        <is>
          <t>Prime letture (6-8)</t>
        </is>
      </c>
      <c r="G105" s="14" t="inlineStr">
        <is>
          <t>Albo illustrato</t>
        </is>
      </c>
      <c r="H105" s="14" t="inlineStr"/>
      <c r="I105" s="14" t="inlineStr">
        <is>
          <t>No</t>
        </is>
      </c>
      <c r="J105" s="14" t="inlineStr">
        <is>
          <t>Catalogo</t>
        </is>
      </c>
      <c r="K105" s="14" t="inlineStr">
        <is>
          <t>prime letture</t>
        </is>
      </c>
      <c r="L105" s="14" t="inlineStr">
        <is>
          <t>https://www.libri.it/mondo-crudele-box</t>
        </is>
      </c>
      <c r="M105" s="16" t="n">
        <v>15</v>
      </c>
      <c r="N105" s="14" t="inlineStr">
        <is>
          <t>Lista titoli Logos Edizioni 2026 (PVP)</t>
        </is>
      </c>
      <c r="O105" s="16">
        <f>IF(ISNUMBER(M105),ROUND(M105*(1-Condizioni!$B$2),2),"")</f>
        <v/>
      </c>
      <c r="P105" s="17" t="inlineStr">
        <is>
          <t>No</t>
        </is>
      </c>
    </row>
    <row r="106">
      <c r="A106" s="14" t="inlineStr">
        <is>
          <t>Logos</t>
        </is>
      </c>
      <c r="B106" s="14" t="inlineStr">
        <is>
          <t>Box Wonder Ponder Pizzicami!</t>
        </is>
      </c>
      <c r="C106" s="14" t="inlineStr">
        <is>
          <t>Ellen Duthie; ill. Daniela Martagón</t>
        </is>
      </c>
      <c r="D106" s="14" t="inlineStr">
        <is>
          <t>Wonder Ponder</t>
        </is>
      </c>
      <c r="E106" s="14" t="inlineStr">
        <is>
          <t>da 6 anni</t>
        </is>
      </c>
      <c r="F106" s="14" t="inlineStr">
        <is>
          <t>Prime letture (6-8)</t>
        </is>
      </c>
      <c r="G106" s="14" t="inlineStr">
        <is>
          <t>Albo illustrato</t>
        </is>
      </c>
      <c r="H106" s="14" t="inlineStr"/>
      <c r="I106" s="14" t="inlineStr">
        <is>
          <t>No</t>
        </is>
      </c>
      <c r="J106" s="14" t="inlineStr">
        <is>
          <t>Catalogo</t>
        </is>
      </c>
      <c r="K106" s="14" t="inlineStr">
        <is>
          <t>prime letture</t>
        </is>
      </c>
      <c r="L106" s="14" t="inlineStr">
        <is>
          <t>https://www.libri.it/pizzicami-box</t>
        </is>
      </c>
      <c r="M106" s="16" t="n">
        <v>15</v>
      </c>
      <c r="N106" s="14" t="inlineStr">
        <is>
          <t>Lista titoli Logos Edizioni 2026 (PVP)</t>
        </is>
      </c>
      <c r="O106" s="16">
        <f>IF(ISNUMBER(M106),ROUND(M106*(1-Condizioni!$B$2),2),"")</f>
        <v/>
      </c>
      <c r="P106" s="17" t="inlineStr">
        <is>
          <t>No</t>
        </is>
      </c>
    </row>
    <row r="107">
      <c r="A107" s="14" t="inlineStr">
        <is>
          <t>Logos</t>
        </is>
      </c>
      <c r="B107" s="14" t="inlineStr">
        <is>
          <t>Box Wonder Ponder Quello che Vuoi</t>
        </is>
      </c>
      <c r="C107" s="14" t="inlineStr">
        <is>
          <t>Ellen Duthie; ill. Daniela Martagón</t>
        </is>
      </c>
      <c r="D107" s="14" t="inlineStr">
        <is>
          <t>Wonder Ponder</t>
        </is>
      </c>
      <c r="E107" s="14" t="inlineStr">
        <is>
          <t>da 6 anni</t>
        </is>
      </c>
      <c r="F107" s="14" t="inlineStr">
        <is>
          <t>Prime letture (6-8)</t>
        </is>
      </c>
      <c r="G107" s="14" t="inlineStr">
        <is>
          <t>Albo illustrato</t>
        </is>
      </c>
      <c r="H107" s="14" t="inlineStr"/>
      <c r="I107" s="14" t="inlineStr">
        <is>
          <t>No</t>
        </is>
      </c>
      <c r="J107" s="14" t="inlineStr">
        <is>
          <t>Catalogo</t>
        </is>
      </c>
      <c r="K107" s="14" t="inlineStr">
        <is>
          <t>prime letture</t>
        </is>
      </c>
      <c r="L107" s="14" t="inlineStr">
        <is>
          <t>https://www.libri.it/quello-che-vuoi-box</t>
        </is>
      </c>
      <c r="M107" s="16" t="n">
        <v>15</v>
      </c>
      <c r="N107" s="14" t="inlineStr">
        <is>
          <t>Lista titoli Logos Edizioni 2026 (PVP)</t>
        </is>
      </c>
      <c r="O107" s="16">
        <f>IF(ISNUMBER(M107),ROUND(M107*(1-Condizioni!$B$2),2),"")</f>
        <v/>
      </c>
      <c r="P107" s="17" t="inlineStr">
        <is>
          <t>No</t>
        </is>
      </c>
    </row>
    <row r="108">
      <c r="A108" s="14" t="inlineStr">
        <is>
          <t>Logos</t>
        </is>
      </c>
      <c r="B108" s="14" t="inlineStr">
        <is>
          <t>Canto di Natale</t>
        </is>
      </c>
      <c r="C108" s="14" t="inlineStr">
        <is>
          <t>José Luis Munuera</t>
        </is>
      </c>
      <c r="D108" s="14" t="inlineStr">
        <is>
          <t>Fumetto Ciopi</t>
        </is>
      </c>
      <c r="E108" s="14" t="inlineStr">
        <is>
          <t>da 6 anni</t>
        </is>
      </c>
      <c r="F108" s="14" t="inlineStr">
        <is>
          <t>Prime letture (6-8)</t>
        </is>
      </c>
      <c r="G108" s="14" t="inlineStr">
        <is>
          <t>Graphic novel/Fumetto</t>
        </is>
      </c>
      <c r="H108" s="14" t="inlineStr"/>
      <c r="I108" s="14" t="inlineStr">
        <is>
          <t>No</t>
        </is>
      </c>
      <c r="J108" s="14" t="inlineStr">
        <is>
          <t>Catalogo</t>
        </is>
      </c>
      <c r="K108" s="14" t="inlineStr">
        <is>
          <t>prime letture</t>
        </is>
      </c>
      <c r="L108" s="14" t="inlineStr">
        <is>
          <t>https://www.libri.it/canto-di-natale</t>
        </is>
      </c>
      <c r="M108" s="16" t="n">
        <v>20</v>
      </c>
      <c r="N108" s="14" t="inlineStr">
        <is>
          <t>Lista titoli Logos Edizioni 2026 (PVP)</t>
        </is>
      </c>
      <c r="O108" s="16">
        <f>IF(ISNUMBER(M108),ROUND(M108*(1-Condizioni!$B$2),2),"")</f>
        <v/>
      </c>
      <c r="P108" s="17" t="inlineStr">
        <is>
          <t>No</t>
        </is>
      </c>
    </row>
    <row r="109">
      <c r="A109" s="14" t="inlineStr">
        <is>
          <t>Logos</t>
        </is>
      </c>
      <c r="B109" s="14" t="inlineStr">
        <is>
          <t>Cattivi e Contenti</t>
        </is>
      </c>
      <c r="C109" s="14" t="inlineStr">
        <is>
          <t>El Hematocrítico; ill. Alberto Vázquez</t>
        </is>
      </c>
      <c r="D109" s="14" t="inlineStr">
        <is>
          <t>Biblioteca Ciopi</t>
        </is>
      </c>
      <c r="E109" s="14" t="inlineStr">
        <is>
          <t>da 6 anni</t>
        </is>
      </c>
      <c r="F109" s="14" t="inlineStr">
        <is>
          <t>Prime letture (6-8)</t>
        </is>
      </c>
      <c r="G109" s="14" t="inlineStr">
        <is>
          <t>Narrativa</t>
        </is>
      </c>
      <c r="H109" s="14" t="inlineStr"/>
      <c r="I109" s="14" t="inlineStr">
        <is>
          <t>No</t>
        </is>
      </c>
      <c r="J109" s="14" t="inlineStr">
        <is>
          <t>Catalogo</t>
        </is>
      </c>
      <c r="K109" s="14" t="inlineStr">
        <is>
          <t>prime letture, narrativa</t>
        </is>
      </c>
      <c r="L109" s="14" t="inlineStr">
        <is>
          <t>https://www.libri.it/cattivi-e-contenti</t>
        </is>
      </c>
      <c r="M109" s="16" t="n">
        <v>12</v>
      </c>
      <c r="N109" s="14" t="inlineStr">
        <is>
          <t>Lista titoli Logos Edizioni 2026 (PVP)</t>
        </is>
      </c>
      <c r="O109" s="16">
        <f>IF(ISNUMBER(M109),ROUND(M109*(1-Condizioni!$B$2),2),"")</f>
        <v/>
      </c>
      <c r="P109" s="17" t="inlineStr">
        <is>
          <t>No</t>
        </is>
      </c>
    </row>
    <row r="110">
      <c r="A110" s="14" t="inlineStr">
        <is>
          <t>Logos</t>
        </is>
      </c>
      <c r="B110" s="14" t="inlineStr">
        <is>
          <t>Ciopi Libera Tutti</t>
        </is>
      </c>
      <c r="C110" s="14" t="inlineStr">
        <is>
          <t>Sofía Luminosa; ill. Giulia Pintus</t>
        </is>
      </c>
      <c r="D110" s="14" t="inlineStr">
        <is>
          <t>Ciopilopini</t>
        </is>
      </c>
      <c r="E110" s="14" t="inlineStr">
        <is>
          <t>da 6 anni</t>
        </is>
      </c>
      <c r="F110" s="14" t="inlineStr">
        <is>
          <t>Prime letture (6-8)</t>
        </is>
      </c>
      <c r="G110" s="14" t="inlineStr">
        <is>
          <t>Albo illustrato</t>
        </is>
      </c>
      <c r="H110" s="14" t="inlineStr"/>
      <c r="I110" s="14" t="inlineStr">
        <is>
          <t>No</t>
        </is>
      </c>
      <c r="J110" s="14" t="inlineStr">
        <is>
          <t>Catalogo</t>
        </is>
      </c>
      <c r="K110" s="14" t="inlineStr">
        <is>
          <t>prime letture</t>
        </is>
      </c>
      <c r="L110" s="14" t="inlineStr">
        <is>
          <t>https://www.libri.it/ciopi-libera-tutti</t>
        </is>
      </c>
      <c r="M110" s="16" t="n">
        <v>10</v>
      </c>
      <c r="N110" s="14" t="inlineStr">
        <is>
          <t>Lista titoli Logos Edizioni 2026 (PVP)</t>
        </is>
      </c>
      <c r="O110" s="16">
        <f>IF(ISNUMBER(M110),ROUND(M110*(1-Condizioni!$B$2),2),"")</f>
        <v/>
      </c>
      <c r="P110" s="17" t="inlineStr">
        <is>
          <t>No</t>
        </is>
      </c>
    </row>
    <row r="111">
      <c r="A111" s="14" t="inlineStr">
        <is>
          <t>Logos</t>
        </is>
      </c>
      <c r="B111" s="14" t="inlineStr">
        <is>
          <t>Ciopilopi Dicembre 2023</t>
        </is>
      </c>
      <c r="C111" s="14" t="inlineStr">
        <is>
          <t>Aa.Vv</t>
        </is>
      </c>
      <c r="D111" s="14" t="inlineStr">
        <is>
          <t>Ciopilopi</t>
        </is>
      </c>
      <c r="E111" s="14" t="inlineStr">
        <is>
          <t>da 6 anni</t>
        </is>
      </c>
      <c r="F111" s="14" t="inlineStr">
        <is>
          <t>Prime letture (6-8)</t>
        </is>
      </c>
      <c r="G111" s="14" t="inlineStr">
        <is>
          <t>Albo illustrato</t>
        </is>
      </c>
      <c r="H111" s="14" t="inlineStr"/>
      <c r="I111" s="14" t="inlineStr">
        <is>
          <t>No</t>
        </is>
      </c>
      <c r="J111" s="14" t="inlineStr">
        <is>
          <t>Catalogo</t>
        </is>
      </c>
      <c r="K111" s="14" t="inlineStr">
        <is>
          <t>prime letture</t>
        </is>
      </c>
      <c r="L111" s="14" t="inlineStr">
        <is>
          <t>https://www.libri.it/ciopi/ciopilopi/ciopilopi-dicembre-2023</t>
        </is>
      </c>
      <c r="M111" s="16" t="n">
        <v>12</v>
      </c>
      <c r="N111" s="14" t="inlineStr">
        <is>
          <t>Lista titoli Logos Edizioni 2026 (PVP)</t>
        </is>
      </c>
      <c r="O111" s="16">
        <f>IF(ISNUMBER(M111),ROUND(M111*(1-Condizioni!$B$2),2),"")</f>
        <v/>
      </c>
      <c r="P111" s="17" t="inlineStr">
        <is>
          <t>No</t>
        </is>
      </c>
    </row>
    <row r="112">
      <c r="A112" s="14" t="inlineStr">
        <is>
          <t>Logos</t>
        </is>
      </c>
      <c r="B112" s="14" t="inlineStr">
        <is>
          <t>Ciopilopi Giugno 2023</t>
        </is>
      </c>
      <c r="C112" s="14" t="inlineStr">
        <is>
          <t>Aa.Vv</t>
        </is>
      </c>
      <c r="D112" s="14" t="inlineStr">
        <is>
          <t>Ciopilopi</t>
        </is>
      </c>
      <c r="E112" s="14" t="inlineStr">
        <is>
          <t>da 6 anni</t>
        </is>
      </c>
      <c r="F112" s="14" t="inlineStr">
        <is>
          <t>Prime letture (6-8)</t>
        </is>
      </c>
      <c r="G112" s="14" t="inlineStr">
        <is>
          <t>Albo illustrato</t>
        </is>
      </c>
      <c r="H112" s="14" t="inlineStr"/>
      <c r="I112" s="14" t="inlineStr">
        <is>
          <t>No</t>
        </is>
      </c>
      <c r="J112" s="14" t="inlineStr">
        <is>
          <t>Catalogo</t>
        </is>
      </c>
      <c r="K112" s="14" t="inlineStr">
        <is>
          <t>prime letture</t>
        </is>
      </c>
      <c r="L112" s="14" t="inlineStr">
        <is>
          <t>https://www.libri.it/ciopilopi-giugno-2023</t>
        </is>
      </c>
      <c r="M112" s="16" t="n">
        <v>12</v>
      </c>
      <c r="N112" s="14" t="inlineStr">
        <is>
          <t>Lista titoli Logos Edizioni 2026 (PVP)</t>
        </is>
      </c>
      <c r="O112" s="16">
        <f>IF(ISNUMBER(M112),ROUND(M112*(1-Condizioni!$B$2),2),"")</f>
        <v/>
      </c>
      <c r="P112" s="17" t="inlineStr">
        <is>
          <t>No</t>
        </is>
      </c>
    </row>
    <row r="113">
      <c r="A113" s="14" t="inlineStr">
        <is>
          <t>Logos</t>
        </is>
      </c>
      <c r="B113" s="14" t="inlineStr">
        <is>
          <t>Ciopilopi Giugno 2024</t>
        </is>
      </c>
      <c r="C113" s="14" t="inlineStr">
        <is>
          <t>Aa.Vv</t>
        </is>
      </c>
      <c r="D113" s="14" t="inlineStr">
        <is>
          <t>Ciopilopi</t>
        </is>
      </c>
      <c r="E113" s="14" t="inlineStr">
        <is>
          <t>da 6 anni</t>
        </is>
      </c>
      <c r="F113" s="14" t="inlineStr">
        <is>
          <t>Prime letture (6-8)</t>
        </is>
      </c>
      <c r="G113" s="14" t="inlineStr">
        <is>
          <t>Albo illustrato</t>
        </is>
      </c>
      <c r="H113" s="14" t="inlineStr"/>
      <c r="I113" s="14" t="inlineStr">
        <is>
          <t>No</t>
        </is>
      </c>
      <c r="J113" s="14" t="inlineStr">
        <is>
          <t>Catalogo</t>
        </is>
      </c>
      <c r="K113" s="14" t="inlineStr">
        <is>
          <t>prime letture</t>
        </is>
      </c>
      <c r="L113" s="14" t="inlineStr">
        <is>
          <t>https://www.libri.it/3d/anteprima/ciopilopi6/</t>
        </is>
      </c>
      <c r="M113" s="16" t="n">
        <v>12</v>
      </c>
      <c r="N113" s="14" t="inlineStr">
        <is>
          <t>Lista titoli Logos Edizioni 2026 (PVP)</t>
        </is>
      </c>
      <c r="O113" s="16">
        <f>IF(ISNUMBER(M113),ROUND(M113*(1-Condizioni!$B$2),2),"")</f>
        <v/>
      </c>
      <c r="P113" s="17" t="inlineStr">
        <is>
          <t>No</t>
        </is>
      </c>
    </row>
    <row r="114">
      <c r="A114" s="14" t="inlineStr">
        <is>
          <t>Logos</t>
        </is>
      </c>
      <c r="B114" s="14" t="inlineStr">
        <is>
          <t>Ciopilopi Marzo 2023</t>
        </is>
      </c>
      <c r="C114" s="14" t="inlineStr">
        <is>
          <t>Aa.Vv</t>
        </is>
      </c>
      <c r="D114" s="14" t="inlineStr">
        <is>
          <t>Ciopilopi</t>
        </is>
      </c>
      <c r="E114" s="14" t="inlineStr">
        <is>
          <t>da 6 anni</t>
        </is>
      </c>
      <c r="F114" s="14" t="inlineStr">
        <is>
          <t>Prime letture (6-8)</t>
        </is>
      </c>
      <c r="G114" s="14" t="inlineStr">
        <is>
          <t>Albo illustrato</t>
        </is>
      </c>
      <c r="H114" s="14" t="inlineStr"/>
      <c r="I114" s="14" t="inlineStr">
        <is>
          <t>No</t>
        </is>
      </c>
      <c r="J114" s="14" t="inlineStr">
        <is>
          <t>Catalogo</t>
        </is>
      </c>
      <c r="K114" s="14" t="inlineStr">
        <is>
          <t>prime letture</t>
        </is>
      </c>
      <c r="L114" s="14" t="inlineStr">
        <is>
          <t>https://www.libri.it/ciopilopi-marzo-2023</t>
        </is>
      </c>
      <c r="M114" s="16" t="n">
        <v>12</v>
      </c>
      <c r="N114" s="14" t="inlineStr">
        <is>
          <t>Lista titoli Logos Edizioni 2026 (PVP)</t>
        </is>
      </c>
      <c r="O114" s="16">
        <f>IF(ISNUMBER(M114),ROUND(M114*(1-Condizioni!$B$2),2),"")</f>
        <v/>
      </c>
      <c r="P114" s="17" t="inlineStr">
        <is>
          <t>No</t>
        </is>
      </c>
    </row>
    <row r="115">
      <c r="A115" s="14" t="inlineStr">
        <is>
          <t>Logos</t>
        </is>
      </c>
      <c r="B115" s="14" t="inlineStr">
        <is>
          <t>Ciopilopi Marzo 2024</t>
        </is>
      </c>
      <c r="C115" s="14" t="inlineStr">
        <is>
          <t>Aa.Vv</t>
        </is>
      </c>
      <c r="D115" s="14" t="inlineStr">
        <is>
          <t>Ciopilopi</t>
        </is>
      </c>
      <c r="E115" s="14" t="inlineStr">
        <is>
          <t>da 6 anni</t>
        </is>
      </c>
      <c r="F115" s="14" t="inlineStr">
        <is>
          <t>Prime letture (6-8)</t>
        </is>
      </c>
      <c r="G115" s="14" t="inlineStr">
        <is>
          <t>Albo illustrato</t>
        </is>
      </c>
      <c r="H115" s="14" t="inlineStr"/>
      <c r="I115" s="14" t="inlineStr">
        <is>
          <t>No</t>
        </is>
      </c>
      <c r="J115" s="14" t="inlineStr">
        <is>
          <t>Catalogo</t>
        </is>
      </c>
      <c r="K115" s="14" t="inlineStr">
        <is>
          <t>prime letture</t>
        </is>
      </c>
      <c r="L115" s="14" t="inlineStr">
        <is>
          <t>https://www.libri.it/ciopilopi-marzo-2024</t>
        </is>
      </c>
      <c r="M115" s="16" t="n">
        <v>12</v>
      </c>
      <c r="N115" s="14" t="inlineStr">
        <is>
          <t>Lista titoli Logos Edizioni 2026 (PVP)</t>
        </is>
      </c>
      <c r="O115" s="16">
        <f>IF(ISNUMBER(M115),ROUND(M115*(1-Condizioni!$B$2),2),"")</f>
        <v/>
      </c>
      <c r="P115" s="17" t="inlineStr">
        <is>
          <t>No</t>
        </is>
      </c>
    </row>
    <row r="116">
      <c r="A116" s="14" t="inlineStr">
        <is>
          <t>Logos</t>
        </is>
      </c>
      <c r="B116" s="14" t="inlineStr">
        <is>
          <t>Ciopilopi Settembre 2023</t>
        </is>
      </c>
      <c r="C116" s="14" t="inlineStr">
        <is>
          <t>Aa.Vv</t>
        </is>
      </c>
      <c r="D116" s="14" t="inlineStr">
        <is>
          <t>Ciopilopi</t>
        </is>
      </c>
      <c r="E116" s="14" t="inlineStr">
        <is>
          <t>da 6 anni</t>
        </is>
      </c>
      <c r="F116" s="14" t="inlineStr">
        <is>
          <t>Prime letture (6-8)</t>
        </is>
      </c>
      <c r="G116" s="14" t="inlineStr">
        <is>
          <t>Albo illustrato</t>
        </is>
      </c>
      <c r="H116" s="14" t="inlineStr"/>
      <c r="I116" s="14" t="inlineStr">
        <is>
          <t>No</t>
        </is>
      </c>
      <c r="J116" s="14" t="inlineStr">
        <is>
          <t>Catalogo</t>
        </is>
      </c>
      <c r="K116" s="14" t="inlineStr">
        <is>
          <t>prime letture</t>
        </is>
      </c>
      <c r="L116" s="14" t="inlineStr">
        <is>
          <t>https://www.libri.it/ciopilopi-settembre-2023</t>
        </is>
      </c>
      <c r="M116" s="16" t="n">
        <v>12</v>
      </c>
      <c r="N116" s="14" t="inlineStr">
        <is>
          <t>Lista titoli Logos Edizioni 2026 (PVP)</t>
        </is>
      </c>
      <c r="O116" s="16">
        <f>IF(ISNUMBER(M116),ROUND(M116*(1-Condizioni!$B$2),2),"")</f>
        <v/>
      </c>
      <c r="P116" s="17" t="inlineStr">
        <is>
          <t>No</t>
        </is>
      </c>
    </row>
    <row r="117">
      <c r="A117" s="14" t="inlineStr">
        <is>
          <t>Logos</t>
        </is>
      </c>
      <c r="B117" s="14" t="inlineStr">
        <is>
          <t>Cosa Fanno le Bambine?</t>
        </is>
      </c>
      <c r="C117" s="14" t="inlineStr">
        <is>
          <t>Nikolaus Heidelbach; ill. Nikolaus Heidelback</t>
        </is>
      </c>
      <c r="D117" s="14" t="inlineStr">
        <is>
          <t>Albo Ciopi</t>
        </is>
      </c>
      <c r="E117" s="14" t="inlineStr">
        <is>
          <t>da 6 anni</t>
        </is>
      </c>
      <c r="F117" s="14" t="inlineStr">
        <is>
          <t>Prime letture (6-8)</t>
        </is>
      </c>
      <c r="G117" s="14" t="inlineStr">
        <is>
          <t>Albo illustrato</t>
        </is>
      </c>
      <c r="H117" s="14" t="inlineStr"/>
      <c r="I117" s="14" t="inlineStr">
        <is>
          <t>No</t>
        </is>
      </c>
      <c r="J117" s="14" t="inlineStr">
        <is>
          <t>Catalogo</t>
        </is>
      </c>
      <c r="K117" s="14" t="inlineStr">
        <is>
          <t>prime letture</t>
        </is>
      </c>
      <c r="L117" s="14" t="inlineStr">
        <is>
          <t>https://www.libri.it/cosa-fanno-le-bambine</t>
        </is>
      </c>
      <c r="M117" s="16" t="n">
        <v>19</v>
      </c>
      <c r="N117" s="14" t="inlineStr">
        <is>
          <t>Lista titoli Logos Edizioni 2026 (PVP)</t>
        </is>
      </c>
      <c r="O117" s="16">
        <f>IF(ISNUMBER(M117),ROUND(M117*(1-Condizioni!$B$2),2),"")</f>
        <v/>
      </c>
      <c r="P117" s="17" t="inlineStr">
        <is>
          <t>Sì</t>
        </is>
      </c>
    </row>
    <row r="118">
      <c r="A118" s="14" t="inlineStr">
        <is>
          <t>Logos</t>
        </is>
      </c>
      <c r="B118" s="14" t="inlineStr">
        <is>
          <t>C’Era un’Altra Volta</t>
        </is>
      </c>
      <c r="C118" s="14" t="inlineStr">
        <is>
          <t>Muriel Zürcher; ill. Ronan Badel</t>
        </is>
      </c>
      <c r="D118" s="14" t="inlineStr">
        <is>
          <t>Albo Ciopi</t>
        </is>
      </c>
      <c r="E118" s="14" t="inlineStr">
        <is>
          <t>da 6 anni</t>
        </is>
      </c>
      <c r="F118" s="14" t="inlineStr">
        <is>
          <t>Prime letture (6-8)</t>
        </is>
      </c>
      <c r="G118" s="14" t="inlineStr">
        <is>
          <t>Albo illustrato</t>
        </is>
      </c>
      <c r="H118" s="14" t="inlineStr"/>
      <c r="I118" s="14" t="inlineStr">
        <is>
          <t>No</t>
        </is>
      </c>
      <c r="J118" s="14" t="inlineStr">
        <is>
          <t>Catalogo</t>
        </is>
      </c>
      <c r="K118" s="14" t="inlineStr">
        <is>
          <t>prime letture</t>
        </is>
      </c>
      <c r="L118" s="14" t="inlineStr">
        <is>
          <t>https://www.libri.it/c-era-un-altra-volta</t>
        </is>
      </c>
      <c r="M118" s="16" t="n">
        <v>11</v>
      </c>
      <c r="N118" s="14" t="inlineStr">
        <is>
          <t>Lista titoli Logos Edizioni 2026 (PVP)</t>
        </is>
      </c>
      <c r="O118" s="16">
        <f>IF(ISNUMBER(M118),ROUND(M118*(1-Condizioni!$B$2),2),"")</f>
        <v/>
      </c>
      <c r="P118" s="17" t="inlineStr">
        <is>
          <t>No</t>
        </is>
      </c>
    </row>
    <row r="119">
      <c r="A119" s="14" t="inlineStr">
        <is>
          <t>Logos</t>
        </is>
      </c>
      <c r="B119" s="14" t="inlineStr">
        <is>
          <t>Da Grande Sarò una Foca</t>
        </is>
      </c>
      <c r="C119" s="14" t="inlineStr">
        <is>
          <t>Nikolaus Heidelbach; ill. Nikolaus Heidelback</t>
        </is>
      </c>
      <c r="D119" s="14" t="inlineStr">
        <is>
          <t>Albo Ciopi</t>
        </is>
      </c>
      <c r="E119" s="14" t="inlineStr">
        <is>
          <t>da 6 anni</t>
        </is>
      </c>
      <c r="F119" s="14" t="inlineStr">
        <is>
          <t>Prime letture (6-8)</t>
        </is>
      </c>
      <c r="G119" s="14" t="inlineStr">
        <is>
          <t>Albo illustrato</t>
        </is>
      </c>
      <c r="H119" s="14" t="inlineStr"/>
      <c r="I119" s="14" t="inlineStr">
        <is>
          <t>No</t>
        </is>
      </c>
      <c r="J119" s="14" t="inlineStr">
        <is>
          <t>Catalogo</t>
        </is>
      </c>
      <c r="K119" s="14" t="inlineStr">
        <is>
          <t>prime letture</t>
        </is>
      </c>
      <c r="L119" s="14" t="inlineStr">
        <is>
          <t>https://www.libri.it/da-grande-saro-una-foca</t>
        </is>
      </c>
      <c r="M119" s="16" t="n">
        <v>18</v>
      </c>
      <c r="N119" s="14" t="inlineStr">
        <is>
          <t>Lista titoli Logos Edizioni 2026 (PVP)</t>
        </is>
      </c>
      <c r="O119" s="16">
        <f>IF(ISNUMBER(M119),ROUND(M119*(1-Condizioni!$B$2),2),"")</f>
        <v/>
      </c>
      <c r="P119" s="17" t="inlineStr">
        <is>
          <t>No</t>
        </is>
      </c>
    </row>
    <row r="120">
      <c r="A120" s="14" t="inlineStr">
        <is>
          <t>Logos</t>
        </is>
      </c>
      <c r="B120" s="14" t="inlineStr">
        <is>
          <t>Da Solo</t>
        </is>
      </c>
      <c r="C120" s="14" t="inlineStr">
        <is>
          <t>Lawrence Schimel; ill. Israel Barrón</t>
        </is>
      </c>
      <c r="D120" s="14" t="inlineStr">
        <is>
          <t>Albo Ciopi</t>
        </is>
      </c>
      <c r="E120" s="14" t="inlineStr">
        <is>
          <t>da 6 anni</t>
        </is>
      </c>
      <c r="F120" s="14" t="inlineStr">
        <is>
          <t>Prime letture (6-8)</t>
        </is>
      </c>
      <c r="G120" s="14" t="inlineStr">
        <is>
          <t>Albo illustrato</t>
        </is>
      </c>
      <c r="H120" s="14" t="inlineStr"/>
      <c r="I120" s="14" t="inlineStr">
        <is>
          <t>No</t>
        </is>
      </c>
      <c r="J120" s="14" t="inlineStr">
        <is>
          <t>Catalogo</t>
        </is>
      </c>
      <c r="K120" s="14" t="inlineStr">
        <is>
          <t>prime letture</t>
        </is>
      </c>
      <c r="L120" s="14" t="inlineStr">
        <is>
          <t>https://www.libri.it/3d/anteprima/dasolo/</t>
        </is>
      </c>
      <c r="M120" s="16" t="n">
        <v>17</v>
      </c>
      <c r="N120" s="14" t="inlineStr">
        <is>
          <t>Lista titoli Logos Edizioni 2026 (PVP)</t>
        </is>
      </c>
      <c r="O120" s="16">
        <f>IF(ISNUMBER(M120),ROUND(M120*(1-Condizioni!$B$2),2),"")</f>
        <v/>
      </c>
      <c r="P120" s="17" t="inlineStr">
        <is>
          <t>No</t>
        </is>
      </c>
    </row>
    <row r="121">
      <c r="A121" s="14" t="inlineStr">
        <is>
          <t>Logos</t>
        </is>
      </c>
      <c r="B121" s="14" t="inlineStr">
        <is>
          <t>Denti di Ferro</t>
        </is>
      </c>
      <c r="C121" s="14" t="inlineStr">
        <is>
          <t>Tina Meroto; ill. Maurizio A. C. Quarello</t>
        </is>
      </c>
      <c r="D121" s="14" t="inlineStr">
        <is>
          <t>Albo Ciopi</t>
        </is>
      </c>
      <c r="E121" s="14" t="inlineStr">
        <is>
          <t>da 6 anni</t>
        </is>
      </c>
      <c r="F121" s="14" t="inlineStr">
        <is>
          <t>Prime letture (6-8)</t>
        </is>
      </c>
      <c r="G121" s="14" t="inlineStr">
        <is>
          <t>Albo illustrato</t>
        </is>
      </c>
      <c r="H121" s="14" t="inlineStr"/>
      <c r="I121" s="14" t="inlineStr">
        <is>
          <t>No</t>
        </is>
      </c>
      <c r="J121" s="14" t="inlineStr">
        <is>
          <t>Catalogo</t>
        </is>
      </c>
      <c r="K121" s="14" t="inlineStr">
        <is>
          <t>prime letture</t>
        </is>
      </c>
      <c r="L121" s="14" t="inlineStr">
        <is>
          <t>https://www.libri.it/denti-di-ferro</t>
        </is>
      </c>
      <c r="M121" s="16" t="n">
        <v>16</v>
      </c>
      <c r="N121" s="14" t="inlineStr">
        <is>
          <t>Lista titoli Logos Edizioni 2026 (PVP)</t>
        </is>
      </c>
      <c r="O121" s="16">
        <f>IF(ISNUMBER(M121),ROUND(M121*(1-Condizioni!$B$2),2),"")</f>
        <v/>
      </c>
      <c r="P121" s="17" t="inlineStr">
        <is>
          <t>No</t>
        </is>
      </c>
    </row>
    <row r="122">
      <c r="A122" s="14" t="inlineStr">
        <is>
          <t>Logos</t>
        </is>
      </c>
      <c r="B122" s="14" t="inlineStr">
        <is>
          <t>Dino Park Vol. 1</t>
        </is>
      </c>
      <c r="C122" s="14" t="inlineStr">
        <is>
          <t>Plumeri &amp; Bloz</t>
        </is>
      </c>
      <c r="D122" s="14" t="inlineStr">
        <is>
          <t>Fumetto Ciopi</t>
        </is>
      </c>
      <c r="E122" s="14" t="inlineStr">
        <is>
          <t>da 6 anni</t>
        </is>
      </c>
      <c r="F122" s="14" t="inlineStr">
        <is>
          <t>Prime letture (6-8)</t>
        </is>
      </c>
      <c r="G122" s="14" t="inlineStr">
        <is>
          <t>Graphic novel/Fumetto</t>
        </is>
      </c>
      <c r="H122" s="14" t="inlineStr"/>
      <c r="I122" s="14" t="inlineStr">
        <is>
          <t>No</t>
        </is>
      </c>
      <c r="J122" s="14" t="inlineStr">
        <is>
          <t>Catalogo</t>
        </is>
      </c>
      <c r="K122" s="14" t="inlineStr">
        <is>
          <t>prime letture</t>
        </is>
      </c>
      <c r="L122" s="14" t="inlineStr">
        <is>
          <t>https://www.libri.it/dino-park-1</t>
        </is>
      </c>
      <c r="M122" s="16" t="n">
        <v>16</v>
      </c>
      <c r="N122" s="14" t="inlineStr">
        <is>
          <t>Lista titoli Logos Edizioni 2026 (PVP)</t>
        </is>
      </c>
      <c r="O122" s="16">
        <f>IF(ISNUMBER(M122),ROUND(M122*(1-Condizioni!$B$2),2),"")</f>
        <v/>
      </c>
      <c r="P122" s="17" t="inlineStr">
        <is>
          <t>No</t>
        </is>
      </c>
    </row>
    <row r="123">
      <c r="A123" s="14" t="inlineStr">
        <is>
          <t>Logos</t>
        </is>
      </c>
      <c r="B123" s="14" t="inlineStr">
        <is>
          <t>Dino Park Vol. 2</t>
        </is>
      </c>
      <c r="C123" s="14" t="inlineStr">
        <is>
          <t>Plumeri &amp; Bloz</t>
        </is>
      </c>
      <c r="D123" s="14" t="inlineStr">
        <is>
          <t>Fumetto Ciopi</t>
        </is>
      </c>
      <c r="E123" s="14" t="inlineStr">
        <is>
          <t>da 6 anni</t>
        </is>
      </c>
      <c r="F123" s="14" t="inlineStr">
        <is>
          <t>Prime letture (6-8)</t>
        </is>
      </c>
      <c r="G123" s="14" t="inlineStr">
        <is>
          <t>Graphic novel/Fumetto</t>
        </is>
      </c>
      <c r="H123" s="14" t="inlineStr"/>
      <c r="I123" s="14" t="inlineStr">
        <is>
          <t>No</t>
        </is>
      </c>
      <c r="J123" s="14" t="inlineStr">
        <is>
          <t>Catalogo</t>
        </is>
      </c>
      <c r="K123" s="14" t="inlineStr">
        <is>
          <t>prime letture</t>
        </is>
      </c>
      <c r="L123" s="14" t="inlineStr">
        <is>
          <t>https://www.libri.it/dino-park-2</t>
        </is>
      </c>
      <c r="M123" s="16" t="n">
        <v>16</v>
      </c>
      <c r="N123" s="14" t="inlineStr">
        <is>
          <t>Lista titoli Logos Edizioni 2026 (PVP)</t>
        </is>
      </c>
      <c r="O123" s="16">
        <f>IF(ISNUMBER(M123),ROUND(M123*(1-Condizioni!$B$2),2),"")</f>
        <v/>
      </c>
      <c r="P123" s="17" t="inlineStr">
        <is>
          <t>No</t>
        </is>
      </c>
    </row>
    <row r="124">
      <c r="A124" s="14" t="inlineStr">
        <is>
          <t>Logos</t>
        </is>
      </c>
      <c r="B124" s="14" t="inlineStr">
        <is>
          <t>Dinodissea</t>
        </is>
      </c>
      <c r="C124" s="14" t="inlineStr">
        <is>
          <t>Gaet's; ill. Clotilde Goubely</t>
        </is>
      </c>
      <c r="D124" s="14" t="inlineStr">
        <is>
          <t>Fumetto Ciopi</t>
        </is>
      </c>
      <c r="E124" s="14" t="inlineStr">
        <is>
          <t>da 6 anni</t>
        </is>
      </c>
      <c r="F124" s="14" t="inlineStr">
        <is>
          <t>Prime letture (6-8)</t>
        </is>
      </c>
      <c r="G124" s="14" t="inlineStr">
        <is>
          <t>Graphic novel/Fumetto</t>
        </is>
      </c>
      <c r="H124" s="14" t="inlineStr"/>
      <c r="I124" s="14" t="inlineStr">
        <is>
          <t>No</t>
        </is>
      </c>
      <c r="J124" s="14" t="inlineStr">
        <is>
          <t>Catalogo</t>
        </is>
      </c>
      <c r="K124" s="14" t="inlineStr">
        <is>
          <t>prime letture</t>
        </is>
      </c>
      <c r="L124" s="14" t="inlineStr">
        <is>
          <t>https://www.libri.it/dinodissea</t>
        </is>
      </c>
      <c r="M124" s="16" t="n">
        <v>16</v>
      </c>
      <c r="N124" s="14" t="inlineStr">
        <is>
          <t>Lista titoli Logos Edizioni 2026 (PVP)</t>
        </is>
      </c>
      <c r="O124" s="16">
        <f>IF(ISNUMBER(M124),ROUND(M124*(1-Condizioni!$B$2),2),"")</f>
        <v/>
      </c>
      <c r="P124" s="17" t="inlineStr">
        <is>
          <t>No</t>
        </is>
      </c>
    </row>
    <row r="125">
      <c r="A125" s="14" t="inlineStr">
        <is>
          <t>Logos</t>
        </is>
      </c>
      <c r="B125" s="14" t="inlineStr">
        <is>
          <t>Emilia Mirabilia</t>
        </is>
      </c>
      <c r="C125" s="14" t="inlineStr">
        <is>
          <t>Ludovic Flamant; ill. Emmanuelle Houdart</t>
        </is>
      </c>
      <c r="D125" s="14" t="inlineStr">
        <is>
          <t>Albo Ciopi</t>
        </is>
      </c>
      <c r="E125" s="14" t="inlineStr">
        <is>
          <t>da 6 anni</t>
        </is>
      </c>
      <c r="F125" s="14" t="inlineStr">
        <is>
          <t>Prime letture (6-8)</t>
        </is>
      </c>
      <c r="G125" s="14" t="inlineStr">
        <is>
          <t>Albo illustrato</t>
        </is>
      </c>
      <c r="H125" s="14" t="inlineStr"/>
      <c r="I125" s="14" t="inlineStr">
        <is>
          <t>No</t>
        </is>
      </c>
      <c r="J125" s="14" t="inlineStr">
        <is>
          <t>Catalogo</t>
        </is>
      </c>
      <c r="K125" s="14" t="inlineStr">
        <is>
          <t>prime letture</t>
        </is>
      </c>
      <c r="L125" s="14" t="inlineStr">
        <is>
          <t>https://www.libri.it/emilia-mirabilia</t>
        </is>
      </c>
      <c r="M125" s="16" t="n">
        <v>15</v>
      </c>
      <c r="N125" s="14" t="inlineStr">
        <is>
          <t>Lista titoli Logos Edizioni 2026 (PVP)</t>
        </is>
      </c>
      <c r="O125" s="16">
        <f>IF(ISNUMBER(M125),ROUND(M125*(1-Condizioni!$B$2),2),"")</f>
        <v/>
      </c>
      <c r="P125" s="17" t="inlineStr">
        <is>
          <t>No</t>
        </is>
      </c>
    </row>
    <row r="126">
      <c r="A126" s="14" t="inlineStr">
        <is>
          <t>Logos</t>
        </is>
      </c>
      <c r="B126" s="14" t="inlineStr">
        <is>
          <t>Frida</t>
        </is>
      </c>
      <c r="C126" s="14" t="inlineStr">
        <is>
          <t>Jonah Winter; ill. Ana Juan</t>
        </is>
      </c>
      <c r="D126" s="14" t="inlineStr">
        <is>
          <t>Albo Ciopi</t>
        </is>
      </c>
      <c r="E126" s="14" t="inlineStr">
        <is>
          <t>da 6 anni</t>
        </is>
      </c>
      <c r="F126" s="14" t="inlineStr">
        <is>
          <t>Prime letture (6-8)</t>
        </is>
      </c>
      <c r="G126" s="14" t="inlineStr">
        <is>
          <t>Albo illustrato</t>
        </is>
      </c>
      <c r="H126" s="14" t="inlineStr"/>
      <c r="I126" s="14" t="inlineStr">
        <is>
          <t>No</t>
        </is>
      </c>
      <c r="J126" s="14" t="inlineStr">
        <is>
          <t>Catalogo</t>
        </is>
      </c>
      <c r="K126" s="14" t="inlineStr">
        <is>
          <t>prime letture</t>
        </is>
      </c>
      <c r="L126" s="14" t="inlineStr">
        <is>
          <t>https://www.libri.it/frida</t>
        </is>
      </c>
      <c r="M126" s="16" t="n">
        <v>16</v>
      </c>
      <c r="N126" s="14" t="inlineStr">
        <is>
          <t>Lista titoli Logos Edizioni 2026 (PVP)</t>
        </is>
      </c>
      <c r="O126" s="16">
        <f>IF(ISNUMBER(M126),ROUND(M126*(1-Condizioni!$B$2),2),"")</f>
        <v/>
      </c>
      <c r="P126" s="17" t="inlineStr">
        <is>
          <t>No</t>
        </is>
      </c>
    </row>
    <row r="127">
      <c r="A127" s="14" t="inlineStr">
        <is>
          <t>Logos</t>
        </is>
      </c>
      <c r="B127" s="14" t="inlineStr">
        <is>
          <t>Giacinto</t>
        </is>
      </c>
      <c r="C127" s="14" t="inlineStr">
        <is>
          <t>Graciela Beatriz Cabal; ill. Giulia Pintus</t>
        </is>
      </c>
      <c r="D127" s="14" t="inlineStr">
        <is>
          <t>Biblioteca Ciopi</t>
        </is>
      </c>
      <c r="E127" s="14" t="inlineStr">
        <is>
          <t>da 6 anni</t>
        </is>
      </c>
      <c r="F127" s="14" t="inlineStr">
        <is>
          <t>Prime letture (6-8)</t>
        </is>
      </c>
      <c r="G127" s="14" t="inlineStr">
        <is>
          <t>Narrativa</t>
        </is>
      </c>
      <c r="H127" s="14" t="inlineStr"/>
      <c r="I127" s="14" t="inlineStr">
        <is>
          <t>No</t>
        </is>
      </c>
      <c r="J127" s="14" t="inlineStr">
        <is>
          <t>Catalogo</t>
        </is>
      </c>
      <c r="K127" s="14" t="inlineStr">
        <is>
          <t>prime letture, narrativa</t>
        </is>
      </c>
      <c r="L127" s="14" t="inlineStr">
        <is>
          <t>https://www.libri.it/giacinto</t>
        </is>
      </c>
      <c r="M127" s="16" t="n">
        <v>7</v>
      </c>
      <c r="N127" s="14" t="inlineStr">
        <is>
          <t>Lista titoli Logos Edizioni 2026 (PVP)</t>
        </is>
      </c>
      <c r="O127" s="16">
        <f>IF(ISNUMBER(M127),ROUND(M127*(1-Condizioni!$B$2),2),"")</f>
        <v/>
      </c>
      <c r="P127" s="17" t="inlineStr">
        <is>
          <t>No</t>
        </is>
      </c>
    </row>
    <row r="128">
      <c r="A128" s="14" t="inlineStr">
        <is>
          <t>Logos</t>
        </is>
      </c>
      <c r="B128" s="14" t="inlineStr">
        <is>
          <t>Gladys</t>
        </is>
      </c>
      <c r="C128" s="14" t="inlineStr">
        <is>
          <t>Ronald Curchod</t>
        </is>
      </c>
      <c r="D128" s="14" t="inlineStr">
        <is>
          <t>Albo Ciopi</t>
        </is>
      </c>
      <c r="E128" s="14" t="inlineStr">
        <is>
          <t>da 6 anni</t>
        </is>
      </c>
      <c r="F128" s="14" t="inlineStr">
        <is>
          <t>Prime letture (6-8)</t>
        </is>
      </c>
      <c r="G128" s="14" t="inlineStr">
        <is>
          <t>Albo illustrato</t>
        </is>
      </c>
      <c r="H128" s="14" t="inlineStr"/>
      <c r="I128" s="14" t="inlineStr">
        <is>
          <t>No</t>
        </is>
      </c>
      <c r="J128" s="14" t="inlineStr">
        <is>
          <t>Catalogo</t>
        </is>
      </c>
      <c r="K128" s="14" t="inlineStr">
        <is>
          <t>prime letture</t>
        </is>
      </c>
      <c r="L128" s="14" t="inlineStr">
        <is>
          <t>https://www.libri.it/gladys</t>
        </is>
      </c>
      <c r="M128" s="16" t="n">
        <v>20</v>
      </c>
      <c r="N128" s="14" t="inlineStr">
        <is>
          <t>Lista titoli Logos Edizioni 2026 (PVP)</t>
        </is>
      </c>
      <c r="O128" s="16">
        <f>IF(ISNUMBER(M128),ROUND(M128*(1-Condizioni!$B$2),2),"")</f>
        <v/>
      </c>
      <c r="P128" s="17" t="inlineStr">
        <is>
          <t>No</t>
        </is>
      </c>
    </row>
    <row r="129">
      <c r="A129" s="14" t="inlineStr">
        <is>
          <t>Logos</t>
        </is>
      </c>
      <c r="B129" s="14" t="inlineStr">
        <is>
          <t>Gli Insetti a Fumetti Vol. 2</t>
        </is>
      </c>
      <c r="C129" s="14" t="inlineStr">
        <is>
          <t>Cazenove, Vodarzac &amp; Cosby</t>
        </is>
      </c>
      <c r="D129" s="14" t="inlineStr">
        <is>
          <t>Fumetto Ciopi</t>
        </is>
      </c>
      <c r="E129" s="14" t="inlineStr">
        <is>
          <t>da 6 anni</t>
        </is>
      </c>
      <c r="F129" s="14" t="inlineStr">
        <is>
          <t>Prime letture (6-8)</t>
        </is>
      </c>
      <c r="G129" s="14" t="inlineStr">
        <is>
          <t>Graphic novel/Fumetto</t>
        </is>
      </c>
      <c r="H129" s="14" t="inlineStr"/>
      <c r="I129" s="14" t="inlineStr">
        <is>
          <t>No</t>
        </is>
      </c>
      <c r="J129" s="14" t="inlineStr">
        <is>
          <t>Catalogo</t>
        </is>
      </c>
      <c r="K129" s="14" t="inlineStr">
        <is>
          <t>prime letture</t>
        </is>
      </c>
      <c r="L129" s="14" t="inlineStr">
        <is>
          <t>https://www.libri.it/insetti-2</t>
        </is>
      </c>
      <c r="M129" s="16" t="n">
        <v>16</v>
      </c>
      <c r="N129" s="14" t="inlineStr">
        <is>
          <t>Lista titoli Logos Edizioni 2026 (PVP)</t>
        </is>
      </c>
      <c r="O129" s="16">
        <f>IF(ISNUMBER(M129),ROUND(M129*(1-Condizioni!$B$2),2),"")</f>
        <v/>
      </c>
      <c r="P129" s="17" t="inlineStr">
        <is>
          <t>No</t>
        </is>
      </c>
    </row>
    <row r="130">
      <c r="A130" s="14" t="inlineStr">
        <is>
          <t>Logos</t>
        </is>
      </c>
      <c r="B130" s="14" t="inlineStr">
        <is>
          <t>Gli Insetti a Fumetti Vol. 3</t>
        </is>
      </c>
      <c r="C130" s="14" t="inlineStr">
        <is>
          <t>Cazenove, Vodarzac &amp; Cosby</t>
        </is>
      </c>
      <c r="D130" s="14" t="inlineStr">
        <is>
          <t>Fumetto Ciopi</t>
        </is>
      </c>
      <c r="E130" s="14" t="inlineStr">
        <is>
          <t>da 6 anni</t>
        </is>
      </c>
      <c r="F130" s="14" t="inlineStr">
        <is>
          <t>Prime letture (6-8)</t>
        </is>
      </c>
      <c r="G130" s="14" t="inlineStr">
        <is>
          <t>Graphic novel/Fumetto</t>
        </is>
      </c>
      <c r="H130" s="14" t="inlineStr"/>
      <c r="I130" s="14" t="inlineStr">
        <is>
          <t>No</t>
        </is>
      </c>
      <c r="J130" s="14" t="inlineStr">
        <is>
          <t>Catalogo</t>
        </is>
      </c>
      <c r="K130" s="14" t="inlineStr">
        <is>
          <t>prime letture</t>
        </is>
      </c>
      <c r="L130" s="14" t="inlineStr">
        <is>
          <t>https://www.libri.it/insetti-3</t>
        </is>
      </c>
      <c r="M130" s="16" t="n">
        <v>16</v>
      </c>
      <c r="N130" s="14" t="inlineStr">
        <is>
          <t>Lista titoli Logos Edizioni 2026 (PVP)</t>
        </is>
      </c>
      <c r="O130" s="16">
        <f>IF(ISNUMBER(M130),ROUND(M130*(1-Condizioni!$B$2),2),"")</f>
        <v/>
      </c>
      <c r="P130" s="17" t="inlineStr">
        <is>
          <t>No</t>
        </is>
      </c>
    </row>
    <row r="131">
      <c r="A131" s="14" t="inlineStr">
        <is>
          <t>Logos</t>
        </is>
      </c>
      <c r="B131" s="14" t="inlineStr">
        <is>
          <t>Gli Insetti a Fumetti Vol.1</t>
        </is>
      </c>
      <c r="C131" s="14" t="inlineStr">
        <is>
          <t>Cazenove, Vodarzac &amp; Cosby</t>
        </is>
      </c>
      <c r="D131" s="14" t="inlineStr">
        <is>
          <t>Fumetto Ciopi</t>
        </is>
      </c>
      <c r="E131" s="14" t="inlineStr">
        <is>
          <t>da 6 anni</t>
        </is>
      </c>
      <c r="F131" s="14" t="inlineStr">
        <is>
          <t>Prime letture (6-8)</t>
        </is>
      </c>
      <c r="G131" s="14" t="inlineStr">
        <is>
          <t>Graphic novel/Fumetto</t>
        </is>
      </c>
      <c r="H131" s="14" t="inlineStr"/>
      <c r="I131" s="14" t="inlineStr">
        <is>
          <t>No</t>
        </is>
      </c>
      <c r="J131" s="14" t="inlineStr">
        <is>
          <t>Catalogo</t>
        </is>
      </c>
      <c r="K131" s="14" t="inlineStr">
        <is>
          <t>prime letture</t>
        </is>
      </c>
      <c r="L131" s="14" t="inlineStr">
        <is>
          <t>https://www.libri.it/insetti-1</t>
        </is>
      </c>
      <c r="M131" s="16" t="n">
        <v>16</v>
      </c>
      <c r="N131" s="14" t="inlineStr">
        <is>
          <t>Lista titoli Logos Edizioni 2026 (PVP)</t>
        </is>
      </c>
      <c r="O131" s="16">
        <f>IF(ISNUMBER(M131),ROUND(M131*(1-Condizioni!$B$2),2),"")</f>
        <v/>
      </c>
      <c r="P131" s="17" t="inlineStr">
        <is>
          <t>No</t>
        </is>
      </c>
    </row>
    <row r="132">
      <c r="A132" s="14" t="inlineStr">
        <is>
          <t>Logos</t>
        </is>
      </c>
      <c r="B132" s="14" t="inlineStr">
        <is>
          <t>Gli Uccelli a Fumetti Vol. 1</t>
        </is>
      </c>
      <c r="C132" s="14" t="inlineStr">
        <is>
          <t>Garrera &amp; Sirvent</t>
        </is>
      </c>
      <c r="D132" s="14" t="inlineStr">
        <is>
          <t>Fumetto Ciopi</t>
        </is>
      </c>
      <c r="E132" s="14" t="inlineStr">
        <is>
          <t>da 6 anni</t>
        </is>
      </c>
      <c r="F132" s="14" t="inlineStr">
        <is>
          <t>Prime letture (6-8)</t>
        </is>
      </c>
      <c r="G132" s="14" t="inlineStr">
        <is>
          <t>Graphic novel/Fumetto</t>
        </is>
      </c>
      <c r="H132" s="14" t="inlineStr"/>
      <c r="I132" s="14" t="inlineStr">
        <is>
          <t>No</t>
        </is>
      </c>
      <c r="J132" s="14" t="inlineStr">
        <is>
          <t>Catalogo</t>
        </is>
      </c>
      <c r="K132" s="14" t="inlineStr">
        <is>
          <t>prime letture</t>
        </is>
      </c>
      <c r="L132" s="14" t="inlineStr">
        <is>
          <t>https://www.libri.it/uccelli-1</t>
        </is>
      </c>
      <c r="M132" s="16" t="n">
        <v>16</v>
      </c>
      <c r="N132" s="14" t="inlineStr">
        <is>
          <t>Lista titoli Logos Edizioni 2026 (PVP)</t>
        </is>
      </c>
      <c r="O132" s="16">
        <f>IF(ISNUMBER(M132),ROUND(M132*(1-Condizioni!$B$2),2),"")</f>
        <v/>
      </c>
      <c r="P132" s="17" t="inlineStr">
        <is>
          <t>No</t>
        </is>
      </c>
    </row>
    <row r="133">
      <c r="A133" s="14" t="inlineStr">
        <is>
          <t>Logos</t>
        </is>
      </c>
      <c r="B133" s="14" t="inlineStr">
        <is>
          <t>Gli Uccelli a Fumetti Vol. 2</t>
        </is>
      </c>
      <c r="C133" s="14" t="inlineStr">
        <is>
          <t>Garrera &amp; Sirvent</t>
        </is>
      </c>
      <c r="D133" s="14" t="inlineStr">
        <is>
          <t>Fumetto Ciopi</t>
        </is>
      </c>
      <c r="E133" s="14" t="inlineStr">
        <is>
          <t>da 6 anni</t>
        </is>
      </c>
      <c r="F133" s="14" t="inlineStr">
        <is>
          <t>Prime letture (6-8)</t>
        </is>
      </c>
      <c r="G133" s="14" t="inlineStr">
        <is>
          <t>Graphic novel/Fumetto</t>
        </is>
      </c>
      <c r="H133" s="14" t="inlineStr"/>
      <c r="I133" s="14" t="inlineStr">
        <is>
          <t>No</t>
        </is>
      </c>
      <c r="J133" s="14" t="inlineStr">
        <is>
          <t>Catalogo</t>
        </is>
      </c>
      <c r="K133" s="14" t="inlineStr">
        <is>
          <t>prime letture</t>
        </is>
      </c>
      <c r="L133" s="14" t="inlineStr">
        <is>
          <t>https://www.libri.it/uccelli-2</t>
        </is>
      </c>
      <c r="M133" s="16" t="n">
        <v>16</v>
      </c>
      <c r="N133" s="14" t="inlineStr">
        <is>
          <t>Lista titoli Logos Edizioni 2026 (PVP)</t>
        </is>
      </c>
      <c r="O133" s="16">
        <f>IF(ISNUMBER(M133),ROUND(M133*(1-Condizioni!$B$2),2),"")</f>
        <v/>
      </c>
      <c r="P133" s="17" t="inlineStr">
        <is>
          <t>No</t>
        </is>
      </c>
    </row>
    <row r="134">
      <c r="A134" s="14" t="inlineStr">
        <is>
          <t>Logos</t>
        </is>
      </c>
      <c r="B134" s="14" t="inlineStr">
        <is>
          <t>Gli Uccelli a Fumetti Vol. 3</t>
        </is>
      </c>
      <c r="C134" s="14" t="inlineStr">
        <is>
          <t>Garrera &amp; Sirvent</t>
        </is>
      </c>
      <c r="D134" s="14" t="inlineStr">
        <is>
          <t>Fumetto Ciopi</t>
        </is>
      </c>
      <c r="E134" s="14" t="inlineStr">
        <is>
          <t>da 6 anni</t>
        </is>
      </c>
      <c r="F134" s="14" t="inlineStr">
        <is>
          <t>Prime letture (6-8)</t>
        </is>
      </c>
      <c r="G134" s="14" t="inlineStr">
        <is>
          <t>Graphic novel/Fumetto</t>
        </is>
      </c>
      <c r="H134" s="14" t="inlineStr"/>
      <c r="I134" s="14" t="inlineStr">
        <is>
          <t>No</t>
        </is>
      </c>
      <c r="J134" s="14" t="inlineStr">
        <is>
          <t>Catalogo</t>
        </is>
      </c>
      <c r="K134" s="14" t="inlineStr">
        <is>
          <t>prime letture</t>
        </is>
      </c>
      <c r="L134" s="14" t="inlineStr">
        <is>
          <t>https://www.libri.it/uccelli-3</t>
        </is>
      </c>
      <c r="M134" s="16" t="n">
        <v>16</v>
      </c>
      <c r="N134" s="14" t="inlineStr">
        <is>
          <t>Lista titoli Logos Edizioni 2026 (PVP)</t>
        </is>
      </c>
      <c r="O134" s="16">
        <f>IF(ISNUMBER(M134),ROUND(M134*(1-Condizioni!$B$2),2),"")</f>
        <v/>
      </c>
      <c r="P134" s="17" t="inlineStr">
        <is>
          <t>No</t>
        </is>
      </c>
    </row>
    <row r="135">
      <c r="A135" s="14" t="inlineStr">
        <is>
          <t>Logos</t>
        </is>
      </c>
      <c r="B135" s="14" t="inlineStr">
        <is>
          <t>Grillina Violina Trova Casa</t>
        </is>
      </c>
      <c r="C135" s="14" t="inlineStr">
        <is>
          <t>Janosch</t>
        </is>
      </c>
      <c r="D135" s="14" t="inlineStr">
        <is>
          <t>Biblioteca Ciopi</t>
        </is>
      </c>
      <c r="E135" s="14" t="inlineStr">
        <is>
          <t>da 6 anni</t>
        </is>
      </c>
      <c r="F135" s="14" t="inlineStr">
        <is>
          <t>Prime letture (6-8)</t>
        </is>
      </c>
      <c r="G135" s="14" t="inlineStr">
        <is>
          <t>Narrativa</t>
        </is>
      </c>
      <c r="H135" s="14" t="inlineStr"/>
      <c r="I135" s="14" t="inlineStr">
        <is>
          <t>No</t>
        </is>
      </c>
      <c r="J135" s="14" t="inlineStr">
        <is>
          <t>Catalogo</t>
        </is>
      </c>
      <c r="K135" s="14" t="inlineStr">
        <is>
          <t>prime letture, narrativa</t>
        </is>
      </c>
      <c r="L135" s="14" t="inlineStr">
        <is>
          <t>https://www.libri.it/grillina</t>
        </is>
      </c>
      <c r="M135" s="16" t="n">
        <v>10</v>
      </c>
      <c r="N135" s="14" t="inlineStr">
        <is>
          <t>Lista titoli Logos Edizioni 2026 (PVP)</t>
        </is>
      </c>
      <c r="O135" s="16">
        <f>IF(ISNUMBER(M135),ROUND(M135*(1-Condizioni!$B$2),2),"")</f>
        <v/>
      </c>
      <c r="P135" s="17" t="inlineStr">
        <is>
          <t>No</t>
        </is>
      </c>
    </row>
    <row r="136">
      <c r="A136" s="14" t="inlineStr">
        <is>
          <t>Logos</t>
        </is>
      </c>
      <c r="B136" s="14" t="inlineStr">
        <is>
          <t>I Dinosauri Vol.1</t>
        </is>
      </c>
      <c r="C136" s="14" t="inlineStr">
        <is>
          <t>Arnaud Plumeri</t>
        </is>
      </c>
      <c r="D136" s="14" t="inlineStr">
        <is>
          <t>Fumetto Ciopi</t>
        </is>
      </c>
      <c r="E136" s="14" t="inlineStr">
        <is>
          <t>da 6 anni</t>
        </is>
      </c>
      <c r="F136" s="14" t="inlineStr">
        <is>
          <t>Prime letture (6-8)</t>
        </is>
      </c>
      <c r="G136" s="14" t="inlineStr">
        <is>
          <t>Graphic novel/Fumetto</t>
        </is>
      </c>
      <c r="H136" s="14" t="inlineStr"/>
      <c r="I136" s="14" t="inlineStr">
        <is>
          <t>No</t>
        </is>
      </c>
      <c r="J136" s="14" t="inlineStr">
        <is>
          <t>Catalogo</t>
        </is>
      </c>
      <c r="K136" s="14" t="inlineStr">
        <is>
          <t>prime letture</t>
        </is>
      </c>
      <c r="L136" s="14" t="inlineStr">
        <is>
          <t>https://www.libri.it/dinosauri</t>
        </is>
      </c>
      <c r="M136" s="16" t="n">
        <v>16</v>
      </c>
      <c r="N136" s="14" t="inlineStr">
        <is>
          <t>Lista titoli Logos Edizioni 2026 (PVP)</t>
        </is>
      </c>
      <c r="O136" s="16">
        <f>IF(ISNUMBER(M136),ROUND(M136*(1-Condizioni!$B$2),2),"")</f>
        <v/>
      </c>
      <c r="P136" s="17" t="inlineStr">
        <is>
          <t>No</t>
        </is>
      </c>
    </row>
    <row r="137">
      <c r="A137" s="14" t="inlineStr">
        <is>
          <t>Logos</t>
        </is>
      </c>
      <c r="B137" s="14" t="inlineStr">
        <is>
          <t>I Miniminimus</t>
        </is>
      </c>
      <c r="C137" s="14" t="inlineStr">
        <is>
          <t>Éléonore Douspis</t>
        </is>
      </c>
      <c r="D137" s="14" t="inlineStr">
        <is>
          <t>Fumetto Ciopi</t>
        </is>
      </c>
      <c r="E137" s="14" t="inlineStr">
        <is>
          <t>da 6 anni</t>
        </is>
      </c>
      <c r="F137" s="14" t="inlineStr">
        <is>
          <t>Prime letture (6-8)</t>
        </is>
      </c>
      <c r="G137" s="14" t="inlineStr">
        <is>
          <t>Graphic novel/Fumetto</t>
        </is>
      </c>
      <c r="H137" s="14" t="inlineStr"/>
      <c r="I137" s="14" t="inlineStr">
        <is>
          <t>No</t>
        </is>
      </c>
      <c r="J137" s="14" t="inlineStr">
        <is>
          <t>Catalogo</t>
        </is>
      </c>
      <c r="K137" s="14" t="inlineStr">
        <is>
          <t>prime letture</t>
        </is>
      </c>
      <c r="L137" s="14" t="inlineStr">
        <is>
          <t>https://www.libri.it/miniminimus</t>
        </is>
      </c>
      <c r="M137" s="16" t="n">
        <v>20</v>
      </c>
      <c r="N137" s="14" t="inlineStr">
        <is>
          <t>Lista titoli Logos Edizioni 2026 (PVP)</t>
        </is>
      </c>
      <c r="O137" s="16">
        <f>IF(ISNUMBER(M137),ROUND(M137*(1-Condizioni!$B$2),2),"")</f>
        <v/>
      </c>
      <c r="P137" s="17" t="inlineStr">
        <is>
          <t>No</t>
        </is>
      </c>
    </row>
    <row r="138">
      <c r="A138" s="14" t="inlineStr">
        <is>
          <t>Logos</t>
        </is>
      </c>
      <c r="B138" s="14" t="inlineStr">
        <is>
          <t>I Misteri di Harris Burdick</t>
        </is>
      </c>
      <c r="C138" s="14" t="inlineStr">
        <is>
          <t>Chris Van Allsburg</t>
        </is>
      </c>
      <c r="D138" s="14" t="inlineStr">
        <is>
          <t>Albo Ciopi</t>
        </is>
      </c>
      <c r="E138" s="14" t="inlineStr">
        <is>
          <t>da 6 anni</t>
        </is>
      </c>
      <c r="F138" s="14" t="inlineStr">
        <is>
          <t>Prime letture (6-8)</t>
        </is>
      </c>
      <c r="G138" s="14" t="inlineStr">
        <is>
          <t>Albo illustrato</t>
        </is>
      </c>
      <c r="H138" s="14" t="inlineStr"/>
      <c r="I138" s="14" t="inlineStr">
        <is>
          <t>No</t>
        </is>
      </c>
      <c r="J138" s="14" t="inlineStr">
        <is>
          <t>Catalogo</t>
        </is>
      </c>
      <c r="K138" s="14" t="inlineStr">
        <is>
          <t>prime letture</t>
        </is>
      </c>
      <c r="L138" s="14" t="inlineStr">
        <is>
          <t>https://www.libri.it/misteri-di-harris-burdick</t>
        </is>
      </c>
      <c r="M138" s="16" t="n">
        <v>17</v>
      </c>
      <c r="N138" s="14" t="inlineStr">
        <is>
          <t>Lista titoli Logos Edizioni 2026 (PVP)</t>
        </is>
      </c>
      <c r="O138" s="16">
        <f>IF(ISNUMBER(M138),ROUND(M138*(1-Condizioni!$B$2),2),"")</f>
        <v/>
      </c>
      <c r="P138" s="17" t="inlineStr">
        <is>
          <t>No</t>
        </is>
      </c>
    </row>
    <row r="139">
      <c r="A139" s="14" t="inlineStr">
        <is>
          <t>Logos</t>
        </is>
      </c>
      <c r="B139" s="14" t="inlineStr">
        <is>
          <t>I Ricordi della Vecchia Quercia</t>
        </is>
      </c>
      <c r="C139" s="14" t="inlineStr">
        <is>
          <t>Maxime Rovere; ill. Frédéric Pillot</t>
        </is>
      </c>
      <c r="D139" s="14" t="inlineStr">
        <is>
          <t>Albo Ciopi</t>
        </is>
      </c>
      <c r="E139" s="14" t="inlineStr">
        <is>
          <t>da 6 anni</t>
        </is>
      </c>
      <c r="F139" s="14" t="inlineStr">
        <is>
          <t>Prime letture (6-8)</t>
        </is>
      </c>
      <c r="G139" s="14" t="inlineStr">
        <is>
          <t>Albo illustrato</t>
        </is>
      </c>
      <c r="H139" s="14" t="inlineStr"/>
      <c r="I139" s="14" t="inlineStr">
        <is>
          <t>No</t>
        </is>
      </c>
      <c r="J139" s="14" t="inlineStr">
        <is>
          <t>Catalogo</t>
        </is>
      </c>
      <c r="K139" s="14" t="inlineStr">
        <is>
          <t>prime letture</t>
        </is>
      </c>
      <c r="L139" s="14" t="inlineStr">
        <is>
          <t>https://www.libri.it/vecchia-quercia</t>
        </is>
      </c>
      <c r="M139" s="16" t="n">
        <v>22</v>
      </c>
      <c r="N139" s="14" t="inlineStr">
        <is>
          <t>Lista titoli Logos Edizioni 2026 (PVP)</t>
        </is>
      </c>
      <c r="O139" s="16">
        <f>IF(ISNUMBER(M139),ROUND(M139*(1-Condizioni!$B$2),2),"")</f>
        <v/>
      </c>
      <c r="P139" s="17" t="inlineStr">
        <is>
          <t>No</t>
        </is>
      </c>
    </row>
    <row r="140">
      <c r="A140" s="14" t="inlineStr">
        <is>
          <t>Logos</t>
        </is>
      </c>
      <c r="B140" s="14" t="inlineStr">
        <is>
          <t>I Sette Orsi Nani 1 Riccioli d’Oro</t>
        </is>
      </c>
      <c r="C140" s="14" t="inlineStr">
        <is>
          <t>Émile Bravo</t>
        </is>
      </c>
      <c r="D140" s="14" t="inlineStr">
        <is>
          <t>Fumetto Ciopi</t>
        </is>
      </c>
      <c r="E140" s="14" t="inlineStr">
        <is>
          <t>da 6 anni</t>
        </is>
      </c>
      <c r="F140" s="14" t="inlineStr">
        <is>
          <t>Prime letture (6-8)</t>
        </is>
      </c>
      <c r="G140" s="14" t="inlineStr">
        <is>
          <t>Graphic novel/Fumetto</t>
        </is>
      </c>
      <c r="H140" s="14" t="inlineStr"/>
      <c r="I140" s="14" t="inlineStr">
        <is>
          <t>No</t>
        </is>
      </c>
      <c r="J140" s="14" t="inlineStr">
        <is>
          <t>Catalogo</t>
        </is>
      </c>
      <c r="K140" s="14" t="inlineStr">
        <is>
          <t>prime letture</t>
        </is>
      </c>
      <c r="L140" s="14" t="inlineStr">
        <is>
          <t>https://www.libri.it/mirabolanti-avventure-dei-sette-orsi-nani-1</t>
        </is>
      </c>
      <c r="M140" s="16" t="n">
        <v>12</v>
      </c>
      <c r="N140" s="14" t="inlineStr">
        <is>
          <t>Lista titoli Logos Edizioni 2026 (PVP)</t>
        </is>
      </c>
      <c r="O140" s="16">
        <f>IF(ISNUMBER(M140),ROUND(M140*(1-Condizioni!$B$2),2),"")</f>
        <v/>
      </c>
      <c r="P140" s="17" t="inlineStr">
        <is>
          <t>No</t>
        </is>
      </c>
    </row>
    <row r="141">
      <c r="A141" s="14" t="inlineStr">
        <is>
          <t>Logos</t>
        </is>
      </c>
      <c r="B141" s="14" t="inlineStr">
        <is>
          <t>I Sette Orsi Nani 2 la Grande Fame</t>
        </is>
      </c>
      <c r="C141" s="14" t="inlineStr">
        <is>
          <t>Émile Bravo</t>
        </is>
      </c>
      <c r="D141" s="14" t="inlineStr">
        <is>
          <t>Fumetto Ciopi</t>
        </is>
      </c>
      <c r="E141" s="14" t="inlineStr">
        <is>
          <t>da 6 anni</t>
        </is>
      </c>
      <c r="F141" s="14" t="inlineStr">
        <is>
          <t>Prime letture (6-8)</t>
        </is>
      </c>
      <c r="G141" s="14" t="inlineStr">
        <is>
          <t>Graphic novel/Fumetto</t>
        </is>
      </c>
      <c r="H141" s="14" t="inlineStr"/>
      <c r="I141" s="14" t="inlineStr">
        <is>
          <t>No</t>
        </is>
      </c>
      <c r="J141" s="14" t="inlineStr">
        <is>
          <t>Catalogo</t>
        </is>
      </c>
      <c r="K141" s="14" t="inlineStr">
        <is>
          <t>prime letture</t>
        </is>
      </c>
      <c r="L141" s="14" t="inlineStr">
        <is>
          <t>https://www.libri.it/3d/anteprima/lagrandefame/</t>
        </is>
      </c>
      <c r="M141" s="16" t="n">
        <v>12</v>
      </c>
      <c r="N141" s="14" t="inlineStr">
        <is>
          <t>Lista titoli Logos Edizioni 2026 (PVP)</t>
        </is>
      </c>
      <c r="O141" s="16">
        <f>IF(ISNUMBER(M141),ROUND(M141*(1-Condizioni!$B$2),2),"")</f>
        <v/>
      </c>
      <c r="P141" s="17" t="inlineStr">
        <is>
          <t>No</t>
        </is>
      </c>
    </row>
    <row r="142">
      <c r="A142" s="14" t="inlineStr">
        <is>
          <t>Logos</t>
        </is>
      </c>
      <c r="B142" s="14" t="inlineStr">
        <is>
          <t>I Sette Orsi Nani 3 la Bianca Addormentata</t>
        </is>
      </c>
      <c r="C142" s="14" t="inlineStr">
        <is>
          <t>Émile Bravo</t>
        </is>
      </c>
      <c r="D142" s="14" t="inlineStr">
        <is>
          <t>Fumetto Ciopi</t>
        </is>
      </c>
      <c r="E142" s="14" t="inlineStr">
        <is>
          <t>da 6 anni</t>
        </is>
      </c>
      <c r="F142" s="14" t="inlineStr">
        <is>
          <t>Prime letture (6-8)</t>
        </is>
      </c>
      <c r="G142" s="14" t="inlineStr">
        <is>
          <t>Graphic novel/Fumetto</t>
        </is>
      </c>
      <c r="H142" s="14" t="inlineStr"/>
      <c r="I142" s="14" t="inlineStr">
        <is>
          <t>No</t>
        </is>
      </c>
      <c r="J142" s="14" t="inlineStr">
        <is>
          <t>Catalogo</t>
        </is>
      </c>
      <c r="K142" s="14" t="inlineStr">
        <is>
          <t>prime letture</t>
        </is>
      </c>
      <c r="L142" s="14" t="inlineStr">
        <is>
          <t>https://www.libri.it/3d/anteprima/labiancaaddormentata/</t>
        </is>
      </c>
      <c r="M142" s="16" t="n">
        <v>12</v>
      </c>
      <c r="N142" s="14" t="inlineStr">
        <is>
          <t>Lista titoli Logos Edizioni 2026 (PVP)</t>
        </is>
      </c>
      <c r="O142" s="16">
        <f>IF(ISNUMBER(M142),ROUND(M142*(1-Condizioni!$B$2),2),"")</f>
        <v/>
      </c>
      <c r="P142" s="17" t="inlineStr">
        <is>
          <t>No</t>
        </is>
      </c>
    </row>
    <row r="143">
      <c r="A143" s="14" t="inlineStr">
        <is>
          <t>Logos</t>
        </is>
      </c>
      <c r="B143" s="14" t="inlineStr">
        <is>
          <t>I Superdomandoni. Salviamo il Pianeta</t>
        </is>
      </c>
      <c r="C143" s="14" t="inlineStr">
        <is>
          <t>Aa.Vv</t>
        </is>
      </c>
      <c r="D143" s="14" t="inlineStr">
        <is>
          <t>Ciopilopini</t>
        </is>
      </c>
      <c r="E143" s="14" t="inlineStr">
        <is>
          <t>da 6 anni</t>
        </is>
      </c>
      <c r="F143" s="14" t="inlineStr">
        <is>
          <t>Prime letture (6-8)</t>
        </is>
      </c>
      <c r="G143" s="14" t="inlineStr">
        <is>
          <t>Albo illustrato</t>
        </is>
      </c>
      <c r="H143" s="14" t="inlineStr"/>
      <c r="I143" s="14" t="inlineStr">
        <is>
          <t>No</t>
        </is>
      </c>
      <c r="J143" s="14" t="inlineStr">
        <is>
          <t>Catalogo</t>
        </is>
      </c>
      <c r="K143" s="14" t="inlineStr">
        <is>
          <t>prime letture</t>
        </is>
      </c>
      <c r="L143" s="14" t="inlineStr">
        <is>
          <t>https://www.libri.it/superdomandoni-salviamo-il-pianeta</t>
        </is>
      </c>
      <c r="M143" s="16" t="n">
        <v>15</v>
      </c>
      <c r="N143" s="14" t="inlineStr">
        <is>
          <t>Lista titoli Logos Edizioni 2026 (PVP)</t>
        </is>
      </c>
      <c r="O143" s="16">
        <f>IF(ISNUMBER(M143),ROUND(M143*(1-Condizioni!$B$2),2),"")</f>
        <v/>
      </c>
      <c r="P143" s="17" t="inlineStr">
        <is>
          <t>No</t>
        </is>
      </c>
    </row>
    <row r="144">
      <c r="A144" s="14" t="inlineStr">
        <is>
          <t>Logos</t>
        </is>
      </c>
      <c r="B144" s="14" t="inlineStr">
        <is>
          <t>I Superdomandoni. Virus e Batteri</t>
        </is>
      </c>
      <c r="C144" s="14" t="inlineStr">
        <is>
          <t>Aa.Vv</t>
        </is>
      </c>
      <c r="D144" s="14" t="inlineStr">
        <is>
          <t>Ciopilopini</t>
        </is>
      </c>
      <c r="E144" s="14" t="inlineStr">
        <is>
          <t>da 6 anni</t>
        </is>
      </c>
      <c r="F144" s="14" t="inlineStr">
        <is>
          <t>Prime letture (6-8)</t>
        </is>
      </c>
      <c r="G144" s="14" t="inlineStr">
        <is>
          <t>Albo illustrato</t>
        </is>
      </c>
      <c r="H144" s="14" t="inlineStr"/>
      <c r="I144" s="14" t="inlineStr">
        <is>
          <t>No</t>
        </is>
      </c>
      <c r="J144" s="14" t="inlineStr">
        <is>
          <t>Catalogo</t>
        </is>
      </c>
      <c r="K144" s="14" t="inlineStr">
        <is>
          <t>prime letture</t>
        </is>
      </c>
      <c r="L144" s="14" t="inlineStr">
        <is>
          <t>https://www.libri.it/superdomandoni-virus-e-batteri</t>
        </is>
      </c>
      <c r="M144" s="16" t="n">
        <v>15</v>
      </c>
      <c r="N144" s="14" t="inlineStr">
        <is>
          <t>Lista titoli Logos Edizioni 2026 (PVP)</t>
        </is>
      </c>
      <c r="O144" s="16">
        <f>IF(ISNUMBER(M144),ROUND(M144*(1-Condizioni!$B$2),2),"")</f>
        <v/>
      </c>
      <c r="P144" s="17" t="inlineStr">
        <is>
          <t>No</t>
        </is>
      </c>
    </row>
    <row r="145">
      <c r="A145" s="14" t="inlineStr">
        <is>
          <t>Logos</t>
        </is>
      </c>
      <c r="B145" s="14" t="inlineStr">
        <is>
          <t>I Superdomandoni. la Terra e l’Universo</t>
        </is>
      </c>
      <c r="C145" s="14" t="inlineStr">
        <is>
          <t>Aa.Vv</t>
        </is>
      </c>
      <c r="D145" s="14" t="inlineStr">
        <is>
          <t>Ciopilopini</t>
        </is>
      </c>
      <c r="E145" s="14" t="inlineStr">
        <is>
          <t>da 6 anni</t>
        </is>
      </c>
      <c r="F145" s="14" t="inlineStr">
        <is>
          <t>Prime letture (6-8)</t>
        </is>
      </c>
      <c r="G145" s="14" t="inlineStr">
        <is>
          <t>Albo illustrato</t>
        </is>
      </c>
      <c r="H145" s="14" t="inlineStr"/>
      <c r="I145" s="14" t="inlineStr">
        <is>
          <t>No</t>
        </is>
      </c>
      <c r="J145" s="14" t="inlineStr">
        <is>
          <t>Catalogo</t>
        </is>
      </c>
      <c r="K145" s="14" t="inlineStr">
        <is>
          <t>prime letture</t>
        </is>
      </c>
      <c r="L145" s="14" t="inlineStr">
        <is>
          <t>https://www.libri.it/superdomandoni-la-terra-e-l-universo</t>
        </is>
      </c>
      <c r="M145" s="16" t="n">
        <v>15</v>
      </c>
      <c r="N145" s="14" t="inlineStr">
        <is>
          <t>Lista titoli Logos Edizioni 2026 (PVP)</t>
        </is>
      </c>
      <c r="O145" s="16">
        <f>IF(ISNUMBER(M145),ROUND(M145*(1-Condizioni!$B$2),2),"")</f>
        <v/>
      </c>
      <c r="P145" s="17" t="inlineStr">
        <is>
          <t>No</t>
        </is>
      </c>
    </row>
    <row r="146">
      <c r="A146" s="14" t="inlineStr">
        <is>
          <t>Logos</t>
        </is>
      </c>
      <c r="B146" s="14" t="inlineStr">
        <is>
          <t>I Tre Lupacchiotti e il Grande Maiale Cattivo</t>
        </is>
      </c>
      <c r="C146" s="14" t="inlineStr">
        <is>
          <t>Eugene Trivizas; ill. Helen Oxenbury</t>
        </is>
      </c>
      <c r="D146" s="14" t="inlineStr">
        <is>
          <t>Biblioteca Ciopi</t>
        </is>
      </c>
      <c r="E146" s="14" t="inlineStr">
        <is>
          <t>da 6 anni</t>
        </is>
      </c>
      <c r="F146" s="14" t="inlineStr">
        <is>
          <t>Prime letture (6-8)</t>
        </is>
      </c>
      <c r="G146" s="14" t="inlineStr">
        <is>
          <t>Narrativa</t>
        </is>
      </c>
      <c r="H146" s="14" t="inlineStr"/>
      <c r="I146" s="14" t="inlineStr">
        <is>
          <t>No</t>
        </is>
      </c>
      <c r="J146" s="14" t="inlineStr">
        <is>
          <t>Catalogo</t>
        </is>
      </c>
      <c r="K146" s="14" t="inlineStr">
        <is>
          <t>prime letture, narrativa</t>
        </is>
      </c>
      <c r="L146" s="14" t="inlineStr">
        <is>
          <t>https://www.libri.it/tre-lupacchiotti-e-il-grande-maiale-cattivo</t>
        </is>
      </c>
      <c r="M146" s="16" t="n">
        <v>8</v>
      </c>
      <c r="N146" s="14" t="inlineStr">
        <is>
          <t>Lista titoli Logos Edizioni 2026 (PVP)</t>
        </is>
      </c>
      <c r="O146" s="16">
        <f>IF(ISNUMBER(M146),ROUND(M146*(1-Condizioni!$B$2),2),"")</f>
        <v/>
      </c>
      <c r="P146" s="17" t="inlineStr">
        <is>
          <t>No</t>
        </is>
      </c>
    </row>
    <row r="147">
      <c r="A147" s="14" t="inlineStr">
        <is>
          <t>Logos</t>
        </is>
      </c>
      <c r="B147" s="14" t="inlineStr">
        <is>
          <t>Il Brutto Anatrocoso</t>
        </is>
      </c>
      <c r="C147" s="14" t="inlineStr">
        <is>
          <t>Marie-Sabine Roger; ill. Marjolaine Leray</t>
        </is>
      </c>
      <c r="D147" s="14" t="inlineStr">
        <is>
          <t>Biblioteca Ciopi</t>
        </is>
      </c>
      <c r="E147" s="14" t="inlineStr">
        <is>
          <t>da 6 anni</t>
        </is>
      </c>
      <c r="F147" s="14" t="inlineStr">
        <is>
          <t>Prime letture (6-8)</t>
        </is>
      </c>
      <c r="G147" s="14" t="inlineStr">
        <is>
          <t>Narrativa</t>
        </is>
      </c>
      <c r="H147" s="14" t="inlineStr"/>
      <c r="I147" s="14" t="inlineStr">
        <is>
          <t>No</t>
        </is>
      </c>
      <c r="J147" s="14" t="inlineStr">
        <is>
          <t>Catalogo</t>
        </is>
      </c>
      <c r="K147" s="14" t="inlineStr">
        <is>
          <t>prime letture, narrativa</t>
        </is>
      </c>
      <c r="L147" s="14" t="inlineStr">
        <is>
          <t>https://www.libri.it/anatrocoso</t>
        </is>
      </c>
      <c r="M147" s="16" t="n">
        <v>10</v>
      </c>
      <c r="N147" s="14" t="inlineStr">
        <is>
          <t>Lista titoli Logos Edizioni 2026 (PVP)</t>
        </is>
      </c>
      <c r="O147" s="16">
        <f>IF(ISNUMBER(M147),ROUND(M147*(1-Condizioni!$B$2),2),"")</f>
        <v/>
      </c>
      <c r="P147" s="17" t="inlineStr">
        <is>
          <t>No</t>
        </is>
      </c>
    </row>
    <row r="148">
      <c r="A148" s="14" t="inlineStr">
        <is>
          <t>Logos</t>
        </is>
      </c>
      <c r="B148" s="14" t="inlineStr">
        <is>
          <t>Il Caso Lupo Cattivo</t>
        </is>
      </c>
      <c r="C148" s="14" t="inlineStr">
        <is>
          <t>Marie-Sabine Roger; ill. Marjolaine Leray</t>
        </is>
      </c>
      <c r="D148" s="14" t="inlineStr">
        <is>
          <t>Albo Ciopi</t>
        </is>
      </c>
      <c r="E148" s="14" t="inlineStr">
        <is>
          <t>da 6 anni</t>
        </is>
      </c>
      <c r="F148" s="14" t="inlineStr">
        <is>
          <t>Prime letture (6-8)</t>
        </is>
      </c>
      <c r="G148" s="14" t="inlineStr">
        <is>
          <t>Albo illustrato</t>
        </is>
      </c>
      <c r="H148" s="14" t="inlineStr"/>
      <c r="I148" s="14" t="inlineStr">
        <is>
          <t>No</t>
        </is>
      </c>
      <c r="J148" s="14" t="inlineStr">
        <is>
          <t>Catalogo</t>
        </is>
      </c>
      <c r="K148" s="14" t="inlineStr">
        <is>
          <t>prime letture</t>
        </is>
      </c>
      <c r="L148" s="14" t="inlineStr">
        <is>
          <t>https://www.libri.it/il-caso-lupo-cattivo</t>
        </is>
      </c>
      <c r="M148" s="16" t="n">
        <v>16</v>
      </c>
      <c r="N148" s="14" t="inlineStr">
        <is>
          <t>Lista titoli Logos Edizioni 2026 (PVP)</t>
        </is>
      </c>
      <c r="O148" s="16">
        <f>IF(ISNUMBER(M148),ROUND(M148*(1-Condizioni!$B$2),2),"")</f>
        <v/>
      </c>
      <c r="P148" s="17" t="inlineStr">
        <is>
          <t>No</t>
        </is>
      </c>
    </row>
    <row r="149">
      <c r="A149" s="14" t="inlineStr">
        <is>
          <t>Logos</t>
        </is>
      </c>
      <c r="B149" s="14" t="inlineStr">
        <is>
          <t>Il Cavaliere Ideale</t>
        </is>
      </c>
      <c r="C149" s="14" t="inlineStr">
        <is>
          <t>Pascal Brissy; ill. Frédéric Pillot</t>
        </is>
      </c>
      <c r="D149" s="14" t="inlineStr">
        <is>
          <t>Biblioteca Ciopi</t>
        </is>
      </c>
      <c r="E149" s="14" t="inlineStr">
        <is>
          <t>da 6 anni</t>
        </is>
      </c>
      <c r="F149" s="14" t="inlineStr">
        <is>
          <t>Prime letture (6-8)</t>
        </is>
      </c>
      <c r="G149" s="14" t="inlineStr">
        <is>
          <t>Narrativa</t>
        </is>
      </c>
      <c r="H149" s="14" t="inlineStr"/>
      <c r="I149" s="14" t="inlineStr">
        <is>
          <t>No</t>
        </is>
      </c>
      <c r="J149" s="14" t="inlineStr">
        <is>
          <t>Catalogo</t>
        </is>
      </c>
      <c r="K149" s="14" t="inlineStr">
        <is>
          <t>prime letture, narrativa</t>
        </is>
      </c>
      <c r="L149" s="14" t="inlineStr">
        <is>
          <t>https://www.libri.it/cavalier-ideale</t>
        </is>
      </c>
      <c r="M149" s="16" t="n">
        <v>10</v>
      </c>
      <c r="N149" s="14" t="inlineStr">
        <is>
          <t>Lista titoli Logos Edizioni 2026 (PVP)</t>
        </is>
      </c>
      <c r="O149" s="16">
        <f>IF(ISNUMBER(M149),ROUND(M149*(1-Condizioni!$B$2),2),"")</f>
        <v/>
      </c>
      <c r="P149" s="17" t="inlineStr">
        <is>
          <t>No</t>
        </is>
      </c>
    </row>
    <row r="150">
      <c r="A150" s="14" t="inlineStr">
        <is>
          <t>Logos</t>
        </is>
      </c>
      <c r="B150" s="14" t="inlineStr">
        <is>
          <t>Il Delfino</t>
        </is>
      </c>
      <c r="C150" s="14" t="inlineStr">
        <is>
          <t>Francesco Cortonesi; ill. Alessandra Manfredi</t>
        </is>
      </c>
      <c r="D150" s="14" t="inlineStr">
        <is>
          <t>Gaia</t>
        </is>
      </c>
      <c r="E150" s="14" t="inlineStr">
        <is>
          <t>da 6 anni</t>
        </is>
      </c>
      <c r="F150" s="14" t="inlineStr">
        <is>
          <t>Prime letture (6-8)</t>
        </is>
      </c>
      <c r="G150" s="14" t="inlineStr">
        <is>
          <t>Albo illustrato</t>
        </is>
      </c>
      <c r="H150" s="14" t="inlineStr"/>
      <c r="I150" s="14" t="inlineStr">
        <is>
          <t>No</t>
        </is>
      </c>
      <c r="J150" s="14" t="inlineStr">
        <is>
          <t>Catalogo</t>
        </is>
      </c>
      <c r="K150" s="14" t="inlineStr">
        <is>
          <t>prime letture</t>
        </is>
      </c>
      <c r="L150" s="14" t="inlineStr">
        <is>
          <t>https://www.libri.it/il-delfino</t>
        </is>
      </c>
      <c r="M150" s="16" t="n">
        <v>17</v>
      </c>
      <c r="N150" s="14" t="inlineStr">
        <is>
          <t>Lista titoli Logos Edizioni 2026 (PVP)</t>
        </is>
      </c>
      <c r="O150" s="16">
        <f>IF(ISNUMBER(M150),ROUND(M150*(1-Condizioni!$B$2),2),"")</f>
        <v/>
      </c>
      <c r="P150" s="17" t="inlineStr">
        <is>
          <t>No</t>
        </is>
      </c>
    </row>
    <row r="151">
      <c r="A151" s="14" t="inlineStr">
        <is>
          <t>Logos</t>
        </is>
      </c>
      <c r="B151" s="14" t="inlineStr">
        <is>
          <t>Il Diario di Lola Patapum</t>
        </is>
      </c>
      <c r="C151" s="14" t="inlineStr">
        <is>
          <t>Baptiste Chaperon; ill. Héloïse Solt</t>
        </is>
      </c>
      <c r="D151" s="14" t="inlineStr">
        <is>
          <t>Biblioteca Ciopi</t>
        </is>
      </c>
      <c r="E151" s="14" t="inlineStr">
        <is>
          <t>da 6 anni</t>
        </is>
      </c>
      <c r="F151" s="14" t="inlineStr">
        <is>
          <t>Prime letture (6-8)</t>
        </is>
      </c>
      <c r="G151" s="14" t="inlineStr">
        <is>
          <t>Narrativa</t>
        </is>
      </c>
      <c r="H151" s="14" t="inlineStr"/>
      <c r="I151" s="14" t="inlineStr">
        <is>
          <t>No</t>
        </is>
      </c>
      <c r="J151" s="14" t="inlineStr">
        <is>
          <t>Catalogo</t>
        </is>
      </c>
      <c r="K151" s="14" t="inlineStr">
        <is>
          <t>prime letture, narrativa</t>
        </is>
      </c>
      <c r="L151" s="14" t="inlineStr">
        <is>
          <t>https://www.libri.it/diario-di-lola-patapum</t>
        </is>
      </c>
      <c r="M151" s="16" t="n">
        <v>14</v>
      </c>
      <c r="N151" s="14" t="inlineStr">
        <is>
          <t>Lista titoli Logos Edizioni 2026 (PVP)</t>
        </is>
      </c>
      <c r="O151" s="16">
        <f>IF(ISNUMBER(M151),ROUND(M151*(1-Condizioni!$B$2),2),"")</f>
        <v/>
      </c>
      <c r="P151" s="17" t="inlineStr">
        <is>
          <t>No</t>
        </is>
      </c>
    </row>
    <row r="152">
      <c r="A152" s="14" t="inlineStr">
        <is>
          <t>Logos</t>
        </is>
      </c>
      <c r="B152" s="14" t="inlineStr">
        <is>
          <t>Il Drago di Salomè</t>
        </is>
      </c>
      <c r="C152" s="14" t="inlineStr">
        <is>
          <t>Lawrence Schimel; ill. Israel Barrón</t>
        </is>
      </c>
      <c r="D152" s="14" t="inlineStr">
        <is>
          <t>Biblioteca Ciopi</t>
        </is>
      </c>
      <c r="E152" s="14" t="inlineStr">
        <is>
          <t>da 6 anni</t>
        </is>
      </c>
      <c r="F152" s="14" t="inlineStr">
        <is>
          <t>Prime letture (6-8)</t>
        </is>
      </c>
      <c r="G152" s="14" t="inlineStr">
        <is>
          <t>Narrativa</t>
        </is>
      </c>
      <c r="H152" s="14" t="inlineStr"/>
      <c r="I152" s="14" t="inlineStr">
        <is>
          <t>No</t>
        </is>
      </c>
      <c r="J152" s="14" t="inlineStr">
        <is>
          <t>Catalogo</t>
        </is>
      </c>
      <c r="K152" s="14" t="inlineStr">
        <is>
          <t>prime letture, narrativa</t>
        </is>
      </c>
      <c r="L152" s="14" t="inlineStr">
        <is>
          <t>https://www.libri.it/drago-di-salome</t>
        </is>
      </c>
      <c r="M152" s="16" t="n">
        <v>11</v>
      </c>
      <c r="N152" s="14" t="inlineStr">
        <is>
          <t>Lista titoli Logos Edizioni 2026 (PVP)</t>
        </is>
      </c>
      <c r="O152" s="16">
        <f>IF(ISNUMBER(M152),ROUND(M152*(1-Condizioni!$B$2),2),"")</f>
        <v/>
      </c>
      <c r="P152" s="17" t="inlineStr">
        <is>
          <t>No</t>
        </is>
      </c>
    </row>
    <row r="153">
      <c r="A153" s="14" t="inlineStr">
        <is>
          <t>Logos</t>
        </is>
      </c>
      <c r="B153" s="14" t="inlineStr">
        <is>
          <t>Il Genio dei Bigodini</t>
        </is>
      </c>
      <c r="C153" s="14" t="inlineStr">
        <is>
          <t>André Bouchard</t>
        </is>
      </c>
      <c r="D153" s="14" t="inlineStr">
        <is>
          <t>Biblioteca Ciopi</t>
        </is>
      </c>
      <c r="E153" s="14" t="inlineStr">
        <is>
          <t>da 6 anni</t>
        </is>
      </c>
      <c r="F153" s="14" t="inlineStr">
        <is>
          <t>Prime letture (6-8)</t>
        </is>
      </c>
      <c r="G153" s="14" t="inlineStr">
        <is>
          <t>Narrativa</t>
        </is>
      </c>
      <c r="H153" s="14" t="inlineStr"/>
      <c r="I153" s="14" t="inlineStr">
        <is>
          <t>No</t>
        </is>
      </c>
      <c r="J153" s="14" t="inlineStr">
        <is>
          <t>Catalogo</t>
        </is>
      </c>
      <c r="K153" s="14" t="inlineStr">
        <is>
          <t>prime letture, narrativa</t>
        </is>
      </c>
      <c r="L153" s="14" t="inlineStr">
        <is>
          <t>https://www.libri.it/bigodini</t>
        </is>
      </c>
      <c r="M153" s="16" t="n">
        <v>10</v>
      </c>
      <c r="N153" s="14" t="inlineStr">
        <is>
          <t>Lista titoli Logos Edizioni 2026 (PVP)</t>
        </is>
      </c>
      <c r="O153" s="16">
        <f>IF(ISNUMBER(M153),ROUND(M153*(1-Condizioni!$B$2),2),"")</f>
        <v/>
      </c>
      <c r="P153" s="17" t="inlineStr">
        <is>
          <t>No</t>
        </is>
      </c>
    </row>
    <row r="154">
      <c r="A154" s="14" t="inlineStr">
        <is>
          <t>Logos</t>
        </is>
      </c>
      <c r="B154" s="14" t="inlineStr">
        <is>
          <t>Il Genio del Barattolo di Ravioli</t>
        </is>
      </c>
      <c r="C154" s="14" t="inlineStr">
        <is>
          <t>Germano Zullo; ill. Albertine</t>
        </is>
      </c>
      <c r="D154" s="14" t="inlineStr">
        <is>
          <t>Fumetto Ciopi</t>
        </is>
      </c>
      <c r="E154" s="14" t="inlineStr">
        <is>
          <t>da 6 anni</t>
        </is>
      </c>
      <c r="F154" s="14" t="inlineStr">
        <is>
          <t>Prime letture (6-8)</t>
        </is>
      </c>
      <c r="G154" s="14" t="inlineStr">
        <is>
          <t>Graphic novel/Fumetto</t>
        </is>
      </c>
      <c r="H154" s="14" t="inlineStr"/>
      <c r="I154" s="14" t="inlineStr">
        <is>
          <t>No</t>
        </is>
      </c>
      <c r="J154" s="14" t="inlineStr">
        <is>
          <t>Catalogo</t>
        </is>
      </c>
      <c r="K154" s="14" t="inlineStr">
        <is>
          <t>prime letture</t>
        </is>
      </c>
      <c r="L154" s="14" t="inlineStr">
        <is>
          <t>https://www.libri.it/il-genio-del-barattolo-di-ravioli</t>
        </is>
      </c>
      <c r="M154" s="16" t="n">
        <v>13</v>
      </c>
      <c r="N154" s="14" t="inlineStr">
        <is>
          <t>Lista titoli Logos Edizioni 2026 (PVP)</t>
        </is>
      </c>
      <c r="O154" s="16">
        <f>IF(ISNUMBER(M154),ROUND(M154*(1-Condizioni!$B$2),2),"")</f>
        <v/>
      </c>
      <c r="P154" s="17" t="inlineStr">
        <is>
          <t>No</t>
        </is>
      </c>
    </row>
    <row r="155">
      <c r="A155" s="14" t="inlineStr">
        <is>
          <t>Logos</t>
        </is>
      </c>
      <c r="B155" s="14" t="inlineStr">
        <is>
          <t>Il Giardino di Abdul Gazasi</t>
        </is>
      </c>
      <c r="C155" s="14" t="inlineStr">
        <is>
          <t>Chris Van Allsburg</t>
        </is>
      </c>
      <c r="D155" s="14" t="inlineStr">
        <is>
          <t>Albo Ciopi</t>
        </is>
      </c>
      <c r="E155" s="14" t="inlineStr">
        <is>
          <t>da 6 anni</t>
        </is>
      </c>
      <c r="F155" s="14" t="inlineStr">
        <is>
          <t>Prime letture (6-8)</t>
        </is>
      </c>
      <c r="G155" s="14" t="inlineStr">
        <is>
          <t>Albo illustrato</t>
        </is>
      </c>
      <c r="H155" s="14" t="inlineStr"/>
      <c r="I155" s="14" t="inlineStr">
        <is>
          <t>No</t>
        </is>
      </c>
      <c r="J155" s="14" t="inlineStr">
        <is>
          <t>Catalogo</t>
        </is>
      </c>
      <c r="K155" s="14" t="inlineStr">
        <is>
          <t>prime letture</t>
        </is>
      </c>
      <c r="L155" s="14" t="inlineStr">
        <is>
          <t>https://www.libri.it/gasazi</t>
        </is>
      </c>
      <c r="M155" s="16" t="n">
        <v>18</v>
      </c>
      <c r="N155" s="14" t="inlineStr">
        <is>
          <t>Lista titoli Logos Edizioni 2026 (PVP)</t>
        </is>
      </c>
      <c r="O155" s="16">
        <f>IF(ISNUMBER(M155),ROUND(M155*(1-Condizioni!$B$2),2),"")</f>
        <v/>
      </c>
      <c r="P155" s="17" t="inlineStr">
        <is>
          <t>No</t>
        </is>
      </c>
    </row>
    <row r="156">
      <c r="A156" s="14" t="inlineStr">
        <is>
          <t>Logos</t>
        </is>
      </c>
      <c r="B156" s="14" t="inlineStr">
        <is>
          <t>Il Lupo con gli Stivali</t>
        </is>
      </c>
      <c r="C156" s="14" t="inlineStr">
        <is>
          <t>El Hematocrítico; ill. Alberto Vázquez</t>
        </is>
      </c>
      <c r="D156" s="14" t="inlineStr">
        <is>
          <t>Biblioteca Ciopi</t>
        </is>
      </c>
      <c r="E156" s="14" t="inlineStr">
        <is>
          <t>da 6 anni</t>
        </is>
      </c>
      <c r="F156" s="14" t="inlineStr">
        <is>
          <t>Prime letture (6-8)</t>
        </is>
      </c>
      <c r="G156" s="14" t="inlineStr">
        <is>
          <t>Narrativa</t>
        </is>
      </c>
      <c r="H156" s="14" t="inlineStr"/>
      <c r="I156" s="14" t="inlineStr">
        <is>
          <t>No</t>
        </is>
      </c>
      <c r="J156" s="14" t="inlineStr">
        <is>
          <t>Catalogo</t>
        </is>
      </c>
      <c r="K156" s="14" t="inlineStr">
        <is>
          <t>prime letture, narrativa</t>
        </is>
      </c>
      <c r="L156" s="14" t="inlineStr">
        <is>
          <t>https://www.libri.it/lupo-con-gli-stivali</t>
        </is>
      </c>
      <c r="M156" s="16" t="n">
        <v>12</v>
      </c>
      <c r="N156" s="14" t="inlineStr">
        <is>
          <t>Lista titoli Logos Edizioni 2026 (PVP)</t>
        </is>
      </c>
      <c r="O156" s="16">
        <f>IF(ISNUMBER(M156),ROUND(M156*(1-Condizioni!$B$2),2),"")</f>
        <v/>
      </c>
      <c r="P156" s="17" t="inlineStr">
        <is>
          <t>No</t>
        </is>
      </c>
    </row>
    <row r="157">
      <c r="A157" s="14" t="inlineStr">
        <is>
          <t>Logos</t>
        </is>
      </c>
      <c r="B157" s="14" t="inlineStr">
        <is>
          <t>Il Lupo in Mutanda Quaderno di Esercizi e Giochi Scemi</t>
        </is>
      </c>
      <c r="C157" s="14" t="inlineStr">
        <is>
          <t xml:space="preserve">Wilfrid Lupano; ill. Mayana Itoïz </t>
        </is>
      </c>
      <c r="D157" s="14" t="inlineStr">
        <is>
          <t>Fumetto Ciopi</t>
        </is>
      </c>
      <c r="E157" s="14" t="inlineStr">
        <is>
          <t>da 6 anni</t>
        </is>
      </c>
      <c r="F157" s="14" t="inlineStr">
        <is>
          <t>Prime letture (6-8)</t>
        </is>
      </c>
      <c r="G157" s="14" t="inlineStr">
        <is>
          <t>Graphic novel/Fumetto</t>
        </is>
      </c>
      <c r="H157" s="14" t="inlineStr"/>
      <c r="I157" s="14" t="inlineStr">
        <is>
          <t>No</t>
        </is>
      </c>
      <c r="J157" s="14" t="inlineStr">
        <is>
          <t>Catalogo</t>
        </is>
      </c>
      <c r="K157" s="14" t="inlineStr">
        <is>
          <t>prime letture</t>
        </is>
      </c>
      <c r="L157" s="14" t="inlineStr">
        <is>
          <t>https://www.libri.it/lupo-in-mutanda-quaderno-di-esercizi-e-giochi-scemi</t>
        </is>
      </c>
      <c r="M157" s="16" t="n">
        <v>12</v>
      </c>
      <c r="N157" s="14" t="inlineStr">
        <is>
          <t>Lista titoli Logos Edizioni 2026 (PVP)</t>
        </is>
      </c>
      <c r="O157" s="16">
        <f>IF(ISNUMBER(M157),ROUND(M157*(1-Condizioni!$B$2),2),"")</f>
        <v/>
      </c>
      <c r="P157" s="17" t="inlineStr">
        <is>
          <t>No</t>
        </is>
      </c>
    </row>
    <row r="158">
      <c r="A158" s="14" t="inlineStr">
        <is>
          <t>Logos</t>
        </is>
      </c>
      <c r="B158" s="14" t="inlineStr">
        <is>
          <t>Il Lupo in Mutanda Vol. 1</t>
        </is>
      </c>
      <c r="C158" s="14" t="inlineStr">
        <is>
          <t xml:space="preserve">Wilfrid Lupano; ill. Mayana Itoïz </t>
        </is>
      </c>
      <c r="D158" s="14" t="inlineStr">
        <is>
          <t>Fumetto Ciopi</t>
        </is>
      </c>
      <c r="E158" s="14" t="inlineStr">
        <is>
          <t>da 6 anni</t>
        </is>
      </c>
      <c r="F158" s="14" t="inlineStr">
        <is>
          <t>Prime letture (6-8)</t>
        </is>
      </c>
      <c r="G158" s="14" t="inlineStr">
        <is>
          <t>Graphic novel/Fumetto</t>
        </is>
      </c>
      <c r="H158" s="14" t="inlineStr"/>
      <c r="I158" s="14" t="inlineStr">
        <is>
          <t>No</t>
        </is>
      </c>
      <c r="J158" s="14" t="inlineStr">
        <is>
          <t>Catalogo</t>
        </is>
      </c>
      <c r="K158" s="14" t="inlineStr">
        <is>
          <t>prime letture</t>
        </is>
      </c>
      <c r="L158" s="14" t="inlineStr">
        <is>
          <t>https://www.libri.it/lupo-in-mutanda-1</t>
        </is>
      </c>
      <c r="M158" s="16" t="n">
        <v>11</v>
      </c>
      <c r="N158" s="14" t="inlineStr">
        <is>
          <t>Lista titoli Logos Edizioni 2026 (PVP)</t>
        </is>
      </c>
      <c r="O158" s="16">
        <f>IF(ISNUMBER(M158),ROUND(M158*(1-Condizioni!$B$2),2),"")</f>
        <v/>
      </c>
      <c r="P158" s="17" t="inlineStr">
        <is>
          <t>No</t>
        </is>
      </c>
    </row>
    <row r="159">
      <c r="A159" s="14" t="inlineStr">
        <is>
          <t>Logos</t>
        </is>
      </c>
      <c r="B159" s="14" t="inlineStr">
        <is>
          <t>Il Lupo in Mutanda Vol. 2 - Congelano di Brutto</t>
        </is>
      </c>
      <c r="C159" s="14" t="inlineStr">
        <is>
          <t xml:space="preserve">Wilfrid Lupano; ill. Mayana Itoïz </t>
        </is>
      </c>
      <c r="D159" s="14" t="inlineStr">
        <is>
          <t>Fumetto Ciopi</t>
        </is>
      </c>
      <c r="E159" s="14" t="inlineStr">
        <is>
          <t>da 6 anni</t>
        </is>
      </c>
      <c r="F159" s="14" t="inlineStr">
        <is>
          <t>Prime letture (6-8)</t>
        </is>
      </c>
      <c r="G159" s="14" t="inlineStr">
        <is>
          <t>Graphic novel/Fumetto</t>
        </is>
      </c>
      <c r="H159" s="14" t="inlineStr"/>
      <c r="I159" s="14" t="inlineStr">
        <is>
          <t>No</t>
        </is>
      </c>
      <c r="J159" s="14" t="inlineStr">
        <is>
          <t>Catalogo</t>
        </is>
      </c>
      <c r="K159" s="14" t="inlineStr">
        <is>
          <t>prime letture</t>
        </is>
      </c>
      <c r="L159" s="14" t="inlineStr">
        <is>
          <t>https://www.libri.it/lupo-in-mutanda-2</t>
        </is>
      </c>
      <c r="M159" s="16" t="n">
        <v>12</v>
      </c>
      <c r="N159" s="14" t="inlineStr">
        <is>
          <t>Lista titoli Logos Edizioni 2026 (PVP)</t>
        </is>
      </c>
      <c r="O159" s="16">
        <f>IF(ISNUMBER(M159),ROUND(M159*(1-Condizioni!$B$2),2),"")</f>
        <v/>
      </c>
      <c r="P159" s="17" t="inlineStr">
        <is>
          <t>No</t>
        </is>
      </c>
    </row>
    <row r="160">
      <c r="A160" s="14" t="inlineStr">
        <is>
          <t>Logos</t>
        </is>
      </c>
      <c r="B160" s="14" t="inlineStr">
        <is>
          <t>Il Lupo in Mutanda Vol. 4 - È un Fannullone</t>
        </is>
      </c>
      <c r="C160" s="14" t="inlineStr">
        <is>
          <t xml:space="preserve">Wilfrid Lupano; ill. Mayana Itoïz </t>
        </is>
      </c>
      <c r="D160" s="14" t="inlineStr">
        <is>
          <t>Fumetto Ciopi</t>
        </is>
      </c>
      <c r="E160" s="14" t="inlineStr">
        <is>
          <t>da 6 anni</t>
        </is>
      </c>
      <c r="F160" s="14" t="inlineStr">
        <is>
          <t>Prime letture (6-8)</t>
        </is>
      </c>
      <c r="G160" s="14" t="inlineStr">
        <is>
          <t>Graphic novel/Fumetto</t>
        </is>
      </c>
      <c r="H160" s="14" t="inlineStr"/>
      <c r="I160" s="14" t="inlineStr">
        <is>
          <t>No</t>
        </is>
      </c>
      <c r="J160" s="14" t="inlineStr">
        <is>
          <t>Catalogo</t>
        </is>
      </c>
      <c r="K160" s="14" t="inlineStr">
        <is>
          <t>prime letture</t>
        </is>
      </c>
      <c r="L160" s="14" t="inlineStr">
        <is>
          <t>https://www.libri.it/lupo-in-mutanda-4</t>
        </is>
      </c>
      <c r="M160" s="16" t="n">
        <v>12</v>
      </c>
      <c r="N160" s="14" t="inlineStr">
        <is>
          <t>Lista titoli Logos Edizioni 2026 (PVP)</t>
        </is>
      </c>
      <c r="O160" s="16">
        <f>IF(ISNUMBER(M160),ROUND(M160*(1-Condizioni!$B$2),2),"")</f>
        <v/>
      </c>
      <c r="P160" s="17" t="inlineStr">
        <is>
          <t>No</t>
        </is>
      </c>
    </row>
    <row r="161">
      <c r="A161" s="14" t="inlineStr">
        <is>
          <t>Logos</t>
        </is>
      </c>
      <c r="B161" s="14" t="inlineStr">
        <is>
          <t>Il Lupo in Mutanda Vol. 5 - in Braghe di Tela</t>
        </is>
      </c>
      <c r="C161" s="14" t="inlineStr">
        <is>
          <t xml:space="preserve">Wilfrid Lupano; ill. Mayana Itoïz </t>
        </is>
      </c>
      <c r="D161" s="14" t="inlineStr">
        <is>
          <t>Fumetto Ciopi</t>
        </is>
      </c>
      <c r="E161" s="14" t="inlineStr">
        <is>
          <t>da 6 anni</t>
        </is>
      </c>
      <c r="F161" s="14" t="inlineStr">
        <is>
          <t>Prime letture (6-8)</t>
        </is>
      </c>
      <c r="G161" s="14" t="inlineStr">
        <is>
          <t>Graphic novel/Fumetto</t>
        </is>
      </c>
      <c r="H161" s="14" t="inlineStr"/>
      <c r="I161" s="14" t="inlineStr">
        <is>
          <t>No</t>
        </is>
      </c>
      <c r="J161" s="14" t="inlineStr">
        <is>
          <t>Catalogo</t>
        </is>
      </c>
      <c r="K161" s="14" t="inlineStr">
        <is>
          <t>prime letture</t>
        </is>
      </c>
      <c r="L161" s="14" t="inlineStr">
        <is>
          <t>https://www.libri.it/lupo-in-mutanda-5</t>
        </is>
      </c>
      <c r="M161" s="16" t="n">
        <v>12</v>
      </c>
      <c r="N161" s="14" t="inlineStr">
        <is>
          <t>Lista titoli Logos Edizioni 2026 (PVP)</t>
        </is>
      </c>
      <c r="O161" s="16">
        <f>IF(ISNUMBER(M161),ROUND(M161*(1-Condizioni!$B$2),2),"")</f>
        <v/>
      </c>
      <c r="P161" s="17" t="inlineStr">
        <is>
          <t>No</t>
        </is>
      </c>
    </row>
    <row r="162">
      <c r="A162" s="14" t="inlineStr">
        <is>
          <t>Logos</t>
        </is>
      </c>
      <c r="B162" s="14" t="inlineStr">
        <is>
          <t>Il Lupo in Mutanda Vol. 6 - lo Schiaccianocciole</t>
        </is>
      </c>
      <c r="C162" s="14" t="inlineStr">
        <is>
          <t xml:space="preserve">Wilfrid Lupano; ill. Mayana Itoïz </t>
        </is>
      </c>
      <c r="D162" s="14" t="inlineStr">
        <is>
          <t>Fumetto Ciopi</t>
        </is>
      </c>
      <c r="E162" s="14" t="inlineStr">
        <is>
          <t>da 6 anni</t>
        </is>
      </c>
      <c r="F162" s="14" t="inlineStr">
        <is>
          <t>Prime letture (6-8)</t>
        </is>
      </c>
      <c r="G162" s="14" t="inlineStr">
        <is>
          <t>Graphic novel/Fumetto</t>
        </is>
      </c>
      <c r="H162" s="14" t="inlineStr"/>
      <c r="I162" s="14" t="inlineStr">
        <is>
          <t>No</t>
        </is>
      </c>
      <c r="J162" s="14" t="inlineStr">
        <is>
          <t>Catalogo</t>
        </is>
      </c>
      <c r="K162" s="14" t="inlineStr">
        <is>
          <t>prime letture</t>
        </is>
      </c>
      <c r="L162" s="14" t="inlineStr">
        <is>
          <t>https://www.libri.it/lupo-in-mutanda-6</t>
        </is>
      </c>
      <c r="M162" s="16" t="n">
        <v>12</v>
      </c>
      <c r="N162" s="14" t="inlineStr">
        <is>
          <t>Lista titoli Logos Edizioni 2026 (PVP)</t>
        </is>
      </c>
      <c r="O162" s="16">
        <f>IF(ISNUMBER(M162),ROUND(M162*(1-Condizioni!$B$2),2),"")</f>
        <v/>
      </c>
      <c r="P162" s="17" t="inlineStr">
        <is>
          <t>No</t>
        </is>
      </c>
    </row>
    <row r="163">
      <c r="A163" s="14" t="inlineStr">
        <is>
          <t>Logos</t>
        </is>
      </c>
      <c r="B163" s="14" t="inlineStr">
        <is>
          <t>Il Lupo in Mutanda Vol. 7 - Se la Svigna</t>
        </is>
      </c>
      <c r="C163" s="14" t="inlineStr">
        <is>
          <t xml:space="preserve">Wilfrid Lupano; ill. Mayana Itoïz </t>
        </is>
      </c>
      <c r="D163" s="14" t="inlineStr">
        <is>
          <t>Fumetto Ciopi</t>
        </is>
      </c>
      <c r="E163" s="14" t="inlineStr">
        <is>
          <t>da 6 anni</t>
        </is>
      </c>
      <c r="F163" s="14" t="inlineStr">
        <is>
          <t>Prime letture (6-8)</t>
        </is>
      </c>
      <c r="G163" s="14" t="inlineStr">
        <is>
          <t>Graphic novel/Fumetto</t>
        </is>
      </c>
      <c r="H163" s="14" t="inlineStr"/>
      <c r="I163" s="14" t="inlineStr">
        <is>
          <t>No</t>
        </is>
      </c>
      <c r="J163" s="14" t="inlineStr">
        <is>
          <t>Catalogo</t>
        </is>
      </c>
      <c r="K163" s="14" t="inlineStr">
        <is>
          <t>prime letture</t>
        </is>
      </c>
      <c r="L163" s="14" t="inlineStr">
        <is>
          <t>https://www.libri.it/lupo-in-mutanda-7</t>
        </is>
      </c>
      <c r="M163" s="16" t="n">
        <v>12</v>
      </c>
      <c r="N163" s="14" t="inlineStr">
        <is>
          <t>Lista titoli Logos Edizioni 2026 (PVP)</t>
        </is>
      </c>
      <c r="O163" s="16">
        <f>IF(ISNUMBER(M163),ROUND(M163*(1-Condizioni!$B$2),2),"")</f>
        <v/>
      </c>
      <c r="P163" s="17" t="inlineStr">
        <is>
          <t>No</t>
        </is>
      </c>
    </row>
    <row r="164">
      <c r="A164" s="14" t="inlineStr">
        <is>
          <t>Logos</t>
        </is>
      </c>
      <c r="B164" s="14" t="inlineStr">
        <is>
          <t>Il Lupo in Mutanda Vol.8 - la Foresta delle Parole</t>
        </is>
      </c>
      <c r="C164" s="14" t="inlineStr">
        <is>
          <t xml:space="preserve">Wilfrid Lupano; ill. Mayana Itoïz </t>
        </is>
      </c>
      <c r="D164" s="14" t="inlineStr">
        <is>
          <t>Fumetto Ciopi</t>
        </is>
      </c>
      <c r="E164" s="14" t="inlineStr">
        <is>
          <t>da 6 anni</t>
        </is>
      </c>
      <c r="F164" s="14" t="inlineStr">
        <is>
          <t>Prime letture (6-8)</t>
        </is>
      </c>
      <c r="G164" s="14" t="inlineStr">
        <is>
          <t>Graphic novel/Fumetto</t>
        </is>
      </c>
      <c r="H164" s="14" t="inlineStr"/>
      <c r="I164" s="14" t="inlineStr">
        <is>
          <t>No</t>
        </is>
      </c>
      <c r="J164" s="14" t="inlineStr">
        <is>
          <t>Catalogo</t>
        </is>
      </c>
      <c r="K164" s="14" t="inlineStr">
        <is>
          <t>prime letture</t>
        </is>
      </c>
      <c r="L164" s="14" t="inlineStr">
        <is>
          <t>https://www.libri.it/lupo-in-mutanda-8</t>
        </is>
      </c>
      <c r="M164" s="16" t="n">
        <v>12</v>
      </c>
      <c r="N164" s="14" t="inlineStr">
        <is>
          <t>Lista titoli Logos Edizioni 2026 (PVP)</t>
        </is>
      </c>
      <c r="O164" s="16">
        <f>IF(ISNUMBER(M164),ROUND(M164*(1-Condizioni!$B$2),2),"")</f>
        <v/>
      </c>
      <c r="P164" s="17" t="inlineStr">
        <is>
          <t>No</t>
        </is>
      </c>
    </row>
    <row r="165">
      <c r="A165" s="14" t="inlineStr">
        <is>
          <t>Logos</t>
        </is>
      </c>
      <c r="B165" s="14" t="inlineStr">
        <is>
          <t>Il Maiale</t>
        </is>
      </c>
      <c r="C165" s="14" t="inlineStr">
        <is>
          <t>Sara D'Angelo; ill. Daniela Pareschi</t>
        </is>
      </c>
      <c r="D165" s="14" t="inlineStr">
        <is>
          <t>Gaia</t>
        </is>
      </c>
      <c r="E165" s="14" t="inlineStr">
        <is>
          <t>da 6 anni</t>
        </is>
      </c>
      <c r="F165" s="14" t="inlineStr">
        <is>
          <t>Prime letture (6-8)</t>
        </is>
      </c>
      <c r="G165" s="14" t="inlineStr">
        <is>
          <t>Albo illustrato</t>
        </is>
      </c>
      <c r="H165" s="14" t="inlineStr"/>
      <c r="I165" s="14" t="inlineStr">
        <is>
          <t>No</t>
        </is>
      </c>
      <c r="J165" s="14" t="inlineStr">
        <is>
          <t>Catalogo</t>
        </is>
      </c>
      <c r="K165" s="14" t="inlineStr">
        <is>
          <t>prime letture</t>
        </is>
      </c>
      <c r="L165" s="14" t="inlineStr">
        <is>
          <t>https://www.libri.it/maiale</t>
        </is>
      </c>
      <c r="M165" s="16" t="n">
        <v>20</v>
      </c>
      <c r="N165" s="14" t="inlineStr">
        <is>
          <t>Lista titoli Logos Edizioni 2026 (PVP)</t>
        </is>
      </c>
      <c r="O165" s="16">
        <f>IF(ISNUMBER(M165),ROUND(M165*(1-Condizioni!$B$2),2),"")</f>
        <v/>
      </c>
      <c r="P165" s="17" t="inlineStr">
        <is>
          <t>No</t>
        </is>
      </c>
    </row>
    <row r="166">
      <c r="A166" s="14" t="inlineStr">
        <is>
          <t>Logos</t>
        </is>
      </c>
      <c r="B166" s="14" t="inlineStr">
        <is>
          <t>Il Modo Migliore per Imparare a Disegnare una Mucca</t>
        </is>
      </c>
      <c r="C166" s="14" t="inlineStr">
        <is>
          <t>Hélène Rice; ill. Ronan Badel</t>
        </is>
      </c>
      <c r="D166" s="14" t="inlineStr">
        <is>
          <t>Albo Ciopi</t>
        </is>
      </c>
      <c r="E166" s="14" t="inlineStr">
        <is>
          <t>da 6 anni</t>
        </is>
      </c>
      <c r="F166" s="14" t="inlineStr">
        <is>
          <t>Prime letture (6-8)</t>
        </is>
      </c>
      <c r="G166" s="14" t="inlineStr">
        <is>
          <t>Albo illustrato</t>
        </is>
      </c>
      <c r="H166" s="14" t="inlineStr"/>
      <c r="I166" s="14" t="inlineStr">
        <is>
          <t>No</t>
        </is>
      </c>
      <c r="J166" s="14" t="inlineStr">
        <is>
          <t>Catalogo</t>
        </is>
      </c>
      <c r="K166" s="14" t="inlineStr">
        <is>
          <t>prime letture</t>
        </is>
      </c>
      <c r="L166" s="14" t="inlineStr">
        <is>
          <t>https://www.libri.it/il-modo-migliore-per-imparare-a-disegnare-una-mucca</t>
        </is>
      </c>
      <c r="M166" s="16" t="n">
        <v>11</v>
      </c>
      <c r="N166" s="14" t="inlineStr">
        <is>
          <t>Lista titoli Logos Edizioni 2026 (PVP)</t>
        </is>
      </c>
      <c r="O166" s="16">
        <f>IF(ISNUMBER(M166),ROUND(M166*(1-Condizioni!$B$2),2),"")</f>
        <v/>
      </c>
      <c r="P166" s="17" t="inlineStr">
        <is>
          <t>No</t>
        </is>
      </c>
    </row>
    <row r="167">
      <c r="A167" s="14" t="inlineStr">
        <is>
          <t>Logos</t>
        </is>
      </c>
      <c r="B167" s="14" t="inlineStr">
        <is>
          <t>Il Pesce</t>
        </is>
      </c>
      <c r="C167" s="14" t="inlineStr">
        <is>
          <t>Ronald Curchod</t>
        </is>
      </c>
      <c r="D167" s="14" t="inlineStr">
        <is>
          <t>Albo Ciopi</t>
        </is>
      </c>
      <c r="E167" s="14" t="inlineStr">
        <is>
          <t>da 6 anni</t>
        </is>
      </c>
      <c r="F167" s="14" t="inlineStr">
        <is>
          <t>Prime letture (6-8)</t>
        </is>
      </c>
      <c r="G167" s="14" t="inlineStr">
        <is>
          <t>Albo illustrato</t>
        </is>
      </c>
      <c r="H167" s="14" t="inlineStr"/>
      <c r="I167" s="14" t="inlineStr">
        <is>
          <t>No</t>
        </is>
      </c>
      <c r="J167" s="14" t="inlineStr">
        <is>
          <t>Catalogo</t>
        </is>
      </c>
      <c r="K167" s="14" t="inlineStr">
        <is>
          <t>prime letture</t>
        </is>
      </c>
      <c r="L167" s="14" t="inlineStr">
        <is>
          <t>https://www.libri.it/il-pesce</t>
        </is>
      </c>
      <c r="M167" s="16" t="n">
        <v>18</v>
      </c>
      <c r="N167" s="14" t="inlineStr">
        <is>
          <t>Lista titoli Logos Edizioni 2026 (PVP)</t>
        </is>
      </c>
      <c r="O167" s="16">
        <f>IF(ISNUMBER(M167),ROUND(M167*(1-Condizioni!$B$2),2),"")</f>
        <v/>
      </c>
      <c r="P167" s="17" t="inlineStr">
        <is>
          <t>No</t>
        </is>
      </c>
    </row>
    <row r="168">
      <c r="A168" s="14" t="inlineStr">
        <is>
          <t>Logos</t>
        </is>
      </c>
      <c r="B168" s="14" t="inlineStr">
        <is>
          <t>Il Pomeriggio di una Fata</t>
        </is>
      </c>
      <c r="C168" s="14" t="inlineStr">
        <is>
          <t>André Bouchard</t>
        </is>
      </c>
      <c r="D168" s="14" t="inlineStr">
        <is>
          <t>Biblioteca Ciopi</t>
        </is>
      </c>
      <c r="E168" s="14" t="inlineStr">
        <is>
          <t>da 6 anni</t>
        </is>
      </c>
      <c r="F168" s="14" t="inlineStr">
        <is>
          <t>Prime letture (6-8)</t>
        </is>
      </c>
      <c r="G168" s="14" t="inlineStr">
        <is>
          <t>Narrativa</t>
        </is>
      </c>
      <c r="H168" s="14" t="inlineStr"/>
      <c r="I168" s="14" t="inlineStr">
        <is>
          <t>No</t>
        </is>
      </c>
      <c r="J168" s="14" t="inlineStr">
        <is>
          <t>Catalogo</t>
        </is>
      </c>
      <c r="K168" s="14" t="inlineStr">
        <is>
          <t>prime letture, narrativa</t>
        </is>
      </c>
      <c r="L168" s="14" t="inlineStr">
        <is>
          <t>https://www.libri.it/il-pomeriggio-di-una-fata</t>
        </is>
      </c>
      <c r="M168" s="16" t="n">
        <v>10</v>
      </c>
      <c r="N168" s="14" t="inlineStr">
        <is>
          <t>Lista titoli Logos Edizioni 2026 (PVP)</t>
        </is>
      </c>
      <c r="O168" s="16">
        <f>IF(ISNUMBER(M168),ROUND(M168*(1-Condizioni!$B$2),2),"")</f>
        <v/>
      </c>
      <c r="P168" s="17" t="inlineStr">
        <is>
          <t>No</t>
        </is>
      </c>
    </row>
    <row r="169">
      <c r="A169" s="14" t="inlineStr">
        <is>
          <t>Logos</t>
        </is>
      </c>
      <c r="B169" s="14" t="inlineStr">
        <is>
          <t>Il Principe Cerca Moglie</t>
        </is>
      </c>
      <c r="C169" s="14" t="inlineStr">
        <is>
          <t>Linda de Haan; ill. Stern Nijland</t>
        </is>
      </c>
      <c r="D169" s="14" t="inlineStr">
        <is>
          <t>Albo Ciopi</t>
        </is>
      </c>
      <c r="E169" s="14" t="inlineStr">
        <is>
          <t>da 6 anni</t>
        </is>
      </c>
      <c r="F169" s="14" t="inlineStr">
        <is>
          <t>Prime letture (6-8)</t>
        </is>
      </c>
      <c r="G169" s="14" t="inlineStr">
        <is>
          <t>Albo illustrato</t>
        </is>
      </c>
      <c r="H169" s="14" t="inlineStr"/>
      <c r="I169" s="14" t="inlineStr">
        <is>
          <t>No</t>
        </is>
      </c>
      <c r="J169" s="14" t="inlineStr">
        <is>
          <t>Catalogo</t>
        </is>
      </c>
      <c r="K169" s="14" t="inlineStr">
        <is>
          <t>prime letture</t>
        </is>
      </c>
      <c r="L169" s="14" t="inlineStr">
        <is>
          <t>https://www.libri.it/il-principe-cerca-moglie</t>
        </is>
      </c>
      <c r="M169" s="16" t="n">
        <v>16</v>
      </c>
      <c r="N169" s="14" t="inlineStr">
        <is>
          <t>Lista titoli Logos Edizioni 2026 (PVP)</t>
        </is>
      </c>
      <c r="O169" s="16">
        <f>IF(ISNUMBER(M169),ROUND(M169*(1-Condizioni!$B$2),2),"")</f>
        <v/>
      </c>
      <c r="P169" s="17" t="inlineStr">
        <is>
          <t>No</t>
        </is>
      </c>
    </row>
    <row r="170">
      <c r="A170" s="14" t="inlineStr">
        <is>
          <t>Logos</t>
        </is>
      </c>
      <c r="B170" s="14" t="inlineStr">
        <is>
          <t>Il Rammendo</t>
        </is>
      </c>
      <c r="C170" s="14" t="inlineStr">
        <is>
          <t>Isol</t>
        </is>
      </c>
      <c r="D170" s="14" t="inlineStr">
        <is>
          <t>Biblioteca Ciopi</t>
        </is>
      </c>
      <c r="E170" s="14" t="inlineStr">
        <is>
          <t>da 6 anni</t>
        </is>
      </c>
      <c r="F170" s="14" t="inlineStr">
        <is>
          <t>Prime letture (6-8)</t>
        </is>
      </c>
      <c r="G170" s="14" t="inlineStr">
        <is>
          <t>Narrativa</t>
        </is>
      </c>
      <c r="H170" s="14" t="inlineStr"/>
      <c r="I170" s="14" t="inlineStr">
        <is>
          <t>No</t>
        </is>
      </c>
      <c r="J170" s="14" t="inlineStr">
        <is>
          <t>Catalogo</t>
        </is>
      </c>
      <c r="K170" s="14" t="inlineStr">
        <is>
          <t>prime letture, narrativa</t>
        </is>
      </c>
      <c r="L170" s="14" t="inlineStr">
        <is>
          <t>https://www.libri.it/il-rammendo</t>
        </is>
      </c>
      <c r="M170" s="16" t="n">
        <v>12</v>
      </c>
      <c r="N170" s="14" t="inlineStr">
        <is>
          <t>Lista titoli Logos Edizioni 2026 (PVP)</t>
        </is>
      </c>
      <c r="O170" s="16">
        <f>IF(ISNUMBER(M170),ROUND(M170*(1-Condizioni!$B$2),2),"")</f>
        <v/>
      </c>
      <c r="P170" s="17" t="inlineStr">
        <is>
          <t>No</t>
        </is>
      </c>
    </row>
    <row r="171">
      <c r="A171" s="14" t="inlineStr">
        <is>
          <t>Logos</t>
        </is>
      </c>
      <c r="B171" s="14" t="inlineStr">
        <is>
          <t>Il Re che Valeva 4,50 €</t>
        </is>
      </c>
      <c r="C171" s="14" t="inlineStr">
        <is>
          <t>André Bouchard</t>
        </is>
      </c>
      <c r="D171" s="14" t="inlineStr">
        <is>
          <t>Biblioteca Ciopi</t>
        </is>
      </c>
      <c r="E171" s="14" t="inlineStr">
        <is>
          <t>da 6 anni</t>
        </is>
      </c>
      <c r="F171" s="14" t="inlineStr">
        <is>
          <t>Prime letture (6-8)</t>
        </is>
      </c>
      <c r="G171" s="14" t="inlineStr">
        <is>
          <t>Narrativa</t>
        </is>
      </c>
      <c r="H171" s="14" t="inlineStr"/>
      <c r="I171" s="14" t="inlineStr">
        <is>
          <t>No</t>
        </is>
      </c>
      <c r="J171" s="14" t="inlineStr">
        <is>
          <t>Catalogo</t>
        </is>
      </c>
      <c r="K171" s="14" t="inlineStr">
        <is>
          <t>prime letture, narrativa</t>
        </is>
      </c>
      <c r="L171" s="14" t="inlineStr">
        <is>
          <t>https://www.libri.it/re-che-valeva</t>
        </is>
      </c>
      <c r="M171" s="16" t="n">
        <v>10</v>
      </c>
      <c r="N171" s="14" t="inlineStr">
        <is>
          <t>Lista titoli Logos Edizioni 2026 (PVP)</t>
        </is>
      </c>
      <c r="O171" s="16">
        <f>IF(ISNUMBER(M171),ROUND(M171*(1-Condizioni!$B$2),2),"")</f>
        <v/>
      </c>
      <c r="P171" s="17" t="inlineStr">
        <is>
          <t>No</t>
        </is>
      </c>
    </row>
    <row r="172">
      <c r="A172" s="14" t="inlineStr">
        <is>
          <t>Logos</t>
        </is>
      </c>
      <c r="B172" s="14" t="inlineStr">
        <is>
          <t>Il Viaggio della Madreperla Vol. 2 Caccia Agli Orchi</t>
        </is>
      </c>
      <c r="C172" s="14" t="inlineStr">
        <is>
          <t>Nicolás Arispe</t>
        </is>
      </c>
      <c r="D172" s="14" t="inlineStr">
        <is>
          <t>Fumetto Ciopi</t>
        </is>
      </c>
      <c r="E172" s="14" t="inlineStr">
        <is>
          <t>da 6 anni</t>
        </is>
      </c>
      <c r="F172" s="14" t="inlineStr">
        <is>
          <t>Prime letture (6-8)</t>
        </is>
      </c>
      <c r="G172" s="14" t="inlineStr">
        <is>
          <t>Graphic novel/Fumetto</t>
        </is>
      </c>
      <c r="H172" s="14" t="inlineStr"/>
      <c r="I172" s="14" t="inlineStr">
        <is>
          <t>No</t>
        </is>
      </c>
      <c r="J172" s="14" t="inlineStr">
        <is>
          <t>Catalogo</t>
        </is>
      </c>
      <c r="K172" s="14" t="inlineStr">
        <is>
          <t>prime letture</t>
        </is>
      </c>
      <c r="L172" s="14" t="inlineStr">
        <is>
          <t>https://www.libri.it/viaggio-della-madreperla-2</t>
        </is>
      </c>
      <c r="M172" s="16" t="n">
        <v>16</v>
      </c>
      <c r="N172" s="14" t="inlineStr">
        <is>
          <t>Lista titoli Logos Edizioni 2026 (PVP)</t>
        </is>
      </c>
      <c r="O172" s="16">
        <f>IF(ISNUMBER(M172),ROUND(M172*(1-Condizioni!$B$2),2),"")</f>
        <v/>
      </c>
      <c r="P172" s="17" t="inlineStr">
        <is>
          <t>No</t>
        </is>
      </c>
    </row>
    <row r="173">
      <c r="A173" s="14" t="inlineStr">
        <is>
          <t>Logos</t>
        </is>
      </c>
      <c r="B173" s="14" t="inlineStr">
        <is>
          <t>Il Viaggio della Madreperla Vol. 3 l’Ombra delle Pietre</t>
        </is>
      </c>
      <c r="C173" s="14" t="inlineStr">
        <is>
          <t>Nicolás Arispe</t>
        </is>
      </c>
      <c r="D173" s="14" t="inlineStr">
        <is>
          <t>Fumetto Ciopi</t>
        </is>
      </c>
      <c r="E173" s="14" t="inlineStr">
        <is>
          <t>da 6 anni</t>
        </is>
      </c>
      <c r="F173" s="14" t="inlineStr">
        <is>
          <t>Prime letture (6-8)</t>
        </is>
      </c>
      <c r="G173" s="14" t="inlineStr">
        <is>
          <t>Graphic novel/Fumetto</t>
        </is>
      </c>
      <c r="H173" s="14" t="inlineStr"/>
      <c r="I173" s="14" t="inlineStr">
        <is>
          <t>No</t>
        </is>
      </c>
      <c r="J173" s="14" t="inlineStr">
        <is>
          <t>Catalogo</t>
        </is>
      </c>
      <c r="K173" s="14" t="inlineStr">
        <is>
          <t>prime letture</t>
        </is>
      </c>
      <c r="L173" s="14" t="inlineStr">
        <is>
          <t>https://www.libri.it/viaggio-della-madreperla-3</t>
        </is>
      </c>
      <c r="M173" s="16" t="n">
        <v>16</v>
      </c>
      <c r="N173" s="14" t="inlineStr">
        <is>
          <t>Lista titoli Logos Edizioni 2026 (PVP)</t>
        </is>
      </c>
      <c r="O173" s="16">
        <f>IF(ISNUMBER(M173),ROUND(M173*(1-Condizioni!$B$2),2),"")</f>
        <v/>
      </c>
      <c r="P173" s="17" t="inlineStr">
        <is>
          <t>No</t>
        </is>
      </c>
    </row>
    <row r="174">
      <c r="A174" s="14" t="inlineStr">
        <is>
          <t>Logos</t>
        </is>
      </c>
      <c r="B174" s="14" t="inlineStr">
        <is>
          <t>Il Viaggio della Madreperla Vol.1 le Isole Sommergibili</t>
        </is>
      </c>
      <c r="C174" s="14" t="inlineStr">
        <is>
          <t>Nicolás Arispe</t>
        </is>
      </c>
      <c r="D174" s="14" t="inlineStr">
        <is>
          <t>Fumetto Ciopi</t>
        </is>
      </c>
      <c r="E174" s="14" t="inlineStr">
        <is>
          <t>da 6 anni</t>
        </is>
      </c>
      <c r="F174" s="14" t="inlineStr">
        <is>
          <t>Prime letture (6-8)</t>
        </is>
      </c>
      <c r="G174" s="14" t="inlineStr">
        <is>
          <t>Graphic novel/Fumetto</t>
        </is>
      </c>
      <c r="H174" s="14" t="inlineStr"/>
      <c r="I174" s="14" t="inlineStr">
        <is>
          <t>No</t>
        </is>
      </c>
      <c r="J174" s="14" t="inlineStr">
        <is>
          <t>Catalogo</t>
        </is>
      </c>
      <c r="K174" s="14" t="inlineStr">
        <is>
          <t>prime letture</t>
        </is>
      </c>
      <c r="L174" s="14" t="inlineStr">
        <is>
          <t>https://www.libri.it/viaggio-della-madreperla-1</t>
        </is>
      </c>
      <c r="M174" s="16" t="n">
        <v>16</v>
      </c>
      <c r="N174" s="14" t="inlineStr">
        <is>
          <t>Lista titoli Logos Edizioni 2026 (PVP)</t>
        </is>
      </c>
      <c r="O174" s="16">
        <f>IF(ISNUMBER(M174),ROUND(M174*(1-Condizioni!$B$2),2),"")</f>
        <v/>
      </c>
      <c r="P174" s="17" t="inlineStr">
        <is>
          <t>No</t>
        </is>
      </c>
    </row>
    <row r="175">
      <c r="A175" s="14" t="inlineStr">
        <is>
          <t>Logos</t>
        </is>
      </c>
      <c r="B175" s="14" t="inlineStr">
        <is>
          <t>Io Parlo con le Mani</t>
        </is>
      </c>
      <c r="C175" s="14" t="inlineStr">
        <is>
          <t>Bénédicte Gourdon; ill. Malika Fouchier</t>
        </is>
      </c>
      <c r="D175" s="14" t="inlineStr">
        <is>
          <t>Fumetto Ciopi</t>
        </is>
      </c>
      <c r="E175" s="14" t="inlineStr">
        <is>
          <t>da 6 anni</t>
        </is>
      </c>
      <c r="F175" s="14" t="inlineStr">
        <is>
          <t>Prime letture (6-8)</t>
        </is>
      </c>
      <c r="G175" s="14" t="inlineStr">
        <is>
          <t>Graphic novel/Fumetto</t>
        </is>
      </c>
      <c r="H175" s="14" t="inlineStr"/>
      <c r="I175" s="14" t="inlineStr">
        <is>
          <t>No</t>
        </is>
      </c>
      <c r="J175" s="14" t="inlineStr">
        <is>
          <t>Catalogo</t>
        </is>
      </c>
      <c r="K175" s="14" t="inlineStr">
        <is>
          <t>prime letture</t>
        </is>
      </c>
      <c r="L175" s="14" t="inlineStr">
        <is>
          <t>https://www.libri.it/parlo-con-le-mani</t>
        </is>
      </c>
      <c r="M175" s="16" t="n">
        <v>14</v>
      </c>
      <c r="N175" s="14" t="inlineStr">
        <is>
          <t>Lista titoli Logos Edizioni 2026 (PVP)</t>
        </is>
      </c>
      <c r="O175" s="16">
        <f>IF(ISNUMBER(M175),ROUND(M175*(1-Condizioni!$B$2),2),"")</f>
        <v/>
      </c>
      <c r="P175" s="17" t="inlineStr">
        <is>
          <t>No</t>
        </is>
      </c>
    </row>
    <row r="176">
      <c r="A176" s="14" t="inlineStr">
        <is>
          <t>Logos</t>
        </is>
      </c>
      <c r="B176" s="14" t="inlineStr">
        <is>
          <t>Io Persona</t>
        </is>
      </c>
      <c r="C176" s="14" t="inlineStr">
        <is>
          <t>Ellen Duthie; ill. Daniela Martagón</t>
        </is>
      </c>
      <c r="D176" s="14" t="inlineStr">
        <is>
          <t>Wonder Ponder</t>
        </is>
      </c>
      <c r="E176" s="14" t="inlineStr">
        <is>
          <t>da 6 anni</t>
        </is>
      </c>
      <c r="F176" s="14" t="inlineStr">
        <is>
          <t>Prime letture (6-8)</t>
        </is>
      </c>
      <c r="G176" s="14" t="inlineStr">
        <is>
          <t>Albo illustrato</t>
        </is>
      </c>
      <c r="H176" s="14" t="inlineStr"/>
      <c r="I176" s="14" t="inlineStr">
        <is>
          <t>No</t>
        </is>
      </c>
      <c r="J176" s="14" t="inlineStr">
        <is>
          <t>Catalogo</t>
        </is>
      </c>
      <c r="K176" s="14" t="inlineStr">
        <is>
          <t>prime letture</t>
        </is>
      </c>
      <c r="L176" s="14" t="inlineStr">
        <is>
          <t>https://www.libri.it/io-persona</t>
        </is>
      </c>
      <c r="M176" s="16" t="n">
        <v>12</v>
      </c>
      <c r="N176" s="14" t="inlineStr">
        <is>
          <t>Lista titoli Logos Edizioni 2026 (PVP)</t>
        </is>
      </c>
      <c r="O176" s="16">
        <f>IF(ISNUMBER(M176),ROUND(M176*(1-Condizioni!$B$2),2),"")</f>
        <v/>
      </c>
      <c r="P176" s="17" t="inlineStr">
        <is>
          <t>No</t>
        </is>
      </c>
    </row>
    <row r="177">
      <c r="A177" s="14" t="inlineStr">
        <is>
          <t>Logos</t>
        </is>
      </c>
      <c r="B177" s="14" t="inlineStr">
        <is>
          <t>Io, il Lupo e i Biscotti al Cioccolato</t>
        </is>
      </c>
      <c r="C177" s="14" t="inlineStr">
        <is>
          <t>Delphine Perret</t>
        </is>
      </c>
      <c r="D177" s="14" t="inlineStr">
        <is>
          <t>Fumetto Ciopi</t>
        </is>
      </c>
      <c r="E177" s="14" t="inlineStr">
        <is>
          <t>da 6 anni</t>
        </is>
      </c>
      <c r="F177" s="14" t="inlineStr">
        <is>
          <t>Prime letture (6-8)</t>
        </is>
      </c>
      <c r="G177" s="14" t="inlineStr">
        <is>
          <t>Graphic novel/Fumetto</t>
        </is>
      </c>
      <c r="H177" s="14" t="inlineStr"/>
      <c r="I177" s="14" t="inlineStr">
        <is>
          <t>No</t>
        </is>
      </c>
      <c r="J177" s="14" t="inlineStr">
        <is>
          <t>Catalogo</t>
        </is>
      </c>
      <c r="K177" s="14" t="inlineStr">
        <is>
          <t>prime letture</t>
        </is>
      </c>
      <c r="L177" s="14" t="inlineStr">
        <is>
          <t>https://www.libri.it/io-il-lupo-e-i-biscotti-al-cioccolato</t>
        </is>
      </c>
      <c r="M177" s="16" t="n">
        <v>14</v>
      </c>
      <c r="N177" s="14" t="inlineStr">
        <is>
          <t>Lista titoli Logos Edizioni 2026 (PVP)</t>
        </is>
      </c>
      <c r="O177" s="16">
        <f>IF(ISNUMBER(M177),ROUND(M177*(1-Condizioni!$B$2),2),"")</f>
        <v/>
      </c>
      <c r="P177" s="17" t="inlineStr">
        <is>
          <t>No</t>
        </is>
      </c>
    </row>
    <row r="178">
      <c r="A178" s="14" t="inlineStr">
        <is>
          <t>Logos</t>
        </is>
      </c>
      <c r="B178" s="14" t="inlineStr">
        <is>
          <t>Io, il Lupo e la Capanna</t>
        </is>
      </c>
      <c r="C178" s="14" t="inlineStr">
        <is>
          <t>Delphine Perret</t>
        </is>
      </c>
      <c r="D178" s="14" t="inlineStr">
        <is>
          <t>Fumetto Ciopi</t>
        </is>
      </c>
      <c r="E178" s="14" t="inlineStr">
        <is>
          <t>da 6 anni</t>
        </is>
      </c>
      <c r="F178" s="14" t="inlineStr">
        <is>
          <t>Prime letture (6-8)</t>
        </is>
      </c>
      <c r="G178" s="14" t="inlineStr">
        <is>
          <t>Graphic novel/Fumetto</t>
        </is>
      </c>
      <c r="H178" s="14" t="inlineStr"/>
      <c r="I178" s="14" t="inlineStr">
        <is>
          <t>No</t>
        </is>
      </c>
      <c r="J178" s="14" t="inlineStr">
        <is>
          <t>Catalogo</t>
        </is>
      </c>
      <c r="K178" s="14" t="inlineStr">
        <is>
          <t>prime letture</t>
        </is>
      </c>
      <c r="L178" s="14" t="inlineStr">
        <is>
          <t>https://www.libri.it/io-il-lupo-la-capanna</t>
        </is>
      </c>
      <c r="M178" s="16" t="n">
        <v>14</v>
      </c>
      <c r="N178" s="14" t="inlineStr">
        <is>
          <t>Lista titoli Logos Edizioni 2026 (PVP)</t>
        </is>
      </c>
      <c r="O178" s="16">
        <f>IF(ISNUMBER(M178),ROUND(M178*(1-Condizioni!$B$2),2),"")</f>
        <v/>
      </c>
      <c r="P178" s="17" t="inlineStr">
        <is>
          <t>No</t>
        </is>
      </c>
    </row>
    <row r="179">
      <c r="A179" s="14" t="inlineStr">
        <is>
          <t>Logos</t>
        </is>
      </c>
      <c r="B179" s="14" t="inlineStr">
        <is>
          <t>Io, il Lupo e le Vacanze con Pepè</t>
        </is>
      </c>
      <c r="C179" s="14" t="inlineStr">
        <is>
          <t>Delphine Perret</t>
        </is>
      </c>
      <c r="D179" s="14" t="inlineStr">
        <is>
          <t>Fumetto Ciopi</t>
        </is>
      </c>
      <c r="E179" s="14" t="inlineStr">
        <is>
          <t>da 6 anni</t>
        </is>
      </c>
      <c r="F179" s="14" t="inlineStr">
        <is>
          <t>Prime letture (6-8)</t>
        </is>
      </c>
      <c r="G179" s="14" t="inlineStr">
        <is>
          <t>Graphic novel/Fumetto</t>
        </is>
      </c>
      <c r="H179" s="14" t="inlineStr"/>
      <c r="I179" s="14" t="inlineStr">
        <is>
          <t>No</t>
        </is>
      </c>
      <c r="J179" s="14" t="inlineStr">
        <is>
          <t>Catalogo</t>
        </is>
      </c>
      <c r="K179" s="14" t="inlineStr">
        <is>
          <t>prime letture</t>
        </is>
      </c>
      <c r="L179" s="14" t="inlineStr">
        <is>
          <t>https://www.libri.it/io-il-lupo-e-le-vacanze-con-pepe</t>
        </is>
      </c>
      <c r="M179" s="16" t="n">
        <v>14</v>
      </c>
      <c r="N179" s="14" t="inlineStr">
        <is>
          <t>Lista titoli Logos Edizioni 2026 (PVP)</t>
        </is>
      </c>
      <c r="O179" s="16">
        <f>IF(ISNUMBER(M179),ROUND(M179*(1-Condizioni!$B$2),2),"")</f>
        <v/>
      </c>
      <c r="P179" s="17" t="inlineStr">
        <is>
          <t>No</t>
        </is>
      </c>
    </row>
    <row r="180">
      <c r="A180" s="14" t="inlineStr">
        <is>
          <t>Logos</t>
        </is>
      </c>
      <c r="B180" s="14" t="inlineStr">
        <is>
          <t>Jean-blaise. Si Innamora</t>
        </is>
      </c>
      <c r="C180" s="14" t="inlineStr">
        <is>
          <t>Émilie Boré; ill. Vincent</t>
        </is>
      </c>
      <c r="D180" s="14" t="inlineStr">
        <is>
          <t>Fumetto Ciopi</t>
        </is>
      </c>
      <c r="E180" s="14" t="inlineStr">
        <is>
          <t>da 6 anni</t>
        </is>
      </c>
      <c r="F180" s="14" t="inlineStr">
        <is>
          <t>Prime letture (6-8)</t>
        </is>
      </c>
      <c r="G180" s="14" t="inlineStr">
        <is>
          <t>Graphic novel/Fumetto</t>
        </is>
      </c>
      <c r="H180" s="14" t="inlineStr"/>
      <c r="I180" s="14" t="inlineStr">
        <is>
          <t>No</t>
        </is>
      </c>
      <c r="J180" s="14" t="inlineStr">
        <is>
          <t>Catalogo</t>
        </is>
      </c>
      <c r="K180" s="14" t="inlineStr">
        <is>
          <t>prime letture</t>
        </is>
      </c>
      <c r="L180" s="14" t="inlineStr">
        <is>
          <t>https://www.libri.it/jean-blaise-si-innamora</t>
        </is>
      </c>
      <c r="M180" s="16" t="n">
        <v>18</v>
      </c>
      <c r="N180" s="14" t="inlineStr">
        <is>
          <t>Lista titoli Logos Edizioni 2026 (PVP)</t>
        </is>
      </c>
      <c r="O180" s="16">
        <f>IF(ISNUMBER(M180),ROUND(M180*(1-Condizioni!$B$2),2),"")</f>
        <v/>
      </c>
      <c r="P180" s="17" t="inlineStr">
        <is>
          <t>No</t>
        </is>
      </c>
    </row>
    <row r="181">
      <c r="A181" s="14" t="inlineStr">
        <is>
          <t>Logos</t>
        </is>
      </c>
      <c r="B181" s="14" t="inlineStr">
        <is>
          <t>Jean-blaise. il Gatto che Si Credeva un Uccello</t>
        </is>
      </c>
      <c r="C181" s="14" t="inlineStr">
        <is>
          <t>Émilie Boré; ill. Vincent</t>
        </is>
      </c>
      <c r="D181" s="14" t="inlineStr">
        <is>
          <t>Fumetto Ciopi</t>
        </is>
      </c>
      <c r="E181" s="14" t="inlineStr">
        <is>
          <t>da 6 anni</t>
        </is>
      </c>
      <c r="F181" s="14" t="inlineStr">
        <is>
          <t>Prime letture (6-8)</t>
        </is>
      </c>
      <c r="G181" s="14" t="inlineStr">
        <is>
          <t>Graphic novel/Fumetto</t>
        </is>
      </c>
      <c r="H181" s="14" t="inlineStr"/>
      <c r="I181" s="14" t="inlineStr">
        <is>
          <t>No</t>
        </is>
      </c>
      <c r="J181" s="14" t="inlineStr">
        <is>
          <t>Catalogo</t>
        </is>
      </c>
      <c r="K181" s="14" t="inlineStr">
        <is>
          <t>prime letture</t>
        </is>
      </c>
      <c r="L181" s="14" t="inlineStr">
        <is>
          <t>https://www.libri.it/jean-blaise-il-gatto-che-si-credeva-un-uccello</t>
        </is>
      </c>
      <c r="M181" s="16" t="n">
        <v>16</v>
      </c>
      <c r="N181" s="14" t="inlineStr">
        <is>
          <t>Lista titoli Logos Edizioni 2026 (PVP)</t>
        </is>
      </c>
      <c r="O181" s="16">
        <f>IF(ISNUMBER(M181),ROUND(M181*(1-Condizioni!$B$2),2),"")</f>
        <v/>
      </c>
      <c r="P181" s="17" t="inlineStr">
        <is>
          <t>No</t>
        </is>
      </c>
    </row>
    <row r="182">
      <c r="A182" s="14" t="inlineStr">
        <is>
          <t>Logos</t>
        </is>
      </c>
      <c r="B182" s="14" t="inlineStr">
        <is>
          <t>Jean-michel il Supercaribù Si Innamora</t>
        </is>
      </c>
      <c r="C182" s="14" t="inlineStr">
        <is>
          <t>Magali Le Huche</t>
        </is>
      </c>
      <c r="D182" s="14" t="inlineStr">
        <is>
          <t>Fumetto Ciopi</t>
        </is>
      </c>
      <c r="E182" s="14" t="inlineStr">
        <is>
          <t>da 6 anni</t>
        </is>
      </c>
      <c r="F182" s="14" t="inlineStr">
        <is>
          <t>Prime letture (6-8)</t>
        </is>
      </c>
      <c r="G182" s="14" t="inlineStr">
        <is>
          <t>Graphic novel/Fumetto</t>
        </is>
      </c>
      <c r="H182" s="14" t="inlineStr"/>
      <c r="I182" s="14" t="inlineStr">
        <is>
          <t>No</t>
        </is>
      </c>
      <c r="J182" s="14" t="inlineStr">
        <is>
          <t>Catalogo</t>
        </is>
      </c>
      <c r="K182" s="14" t="inlineStr">
        <is>
          <t>prime letture</t>
        </is>
      </c>
      <c r="L182" s="14" t="inlineStr">
        <is>
          <t>https://www.libri.it/3d/anteprima/jmsiinnamora/</t>
        </is>
      </c>
      <c r="M182" s="16" t="n">
        <v>12</v>
      </c>
      <c r="N182" s="14" t="inlineStr">
        <is>
          <t>Lista titoli Logos Edizioni 2026 (PVP)</t>
        </is>
      </c>
      <c r="O182" s="16">
        <f>IF(ISNUMBER(M182),ROUND(M182*(1-Condizioni!$B$2),2),"")</f>
        <v/>
      </c>
      <c r="P182" s="17" t="inlineStr">
        <is>
          <t>No</t>
        </is>
      </c>
    </row>
    <row r="183">
      <c r="A183" s="14" t="inlineStr">
        <is>
          <t>Logos</t>
        </is>
      </c>
      <c r="B183" s="14" t="inlineStr">
        <is>
          <t>Jean-michel il Supercaribù e Babbo Natale in Ritardo</t>
        </is>
      </c>
      <c r="C183" s="14" t="inlineStr">
        <is>
          <t>Magali Le Huche</t>
        </is>
      </c>
      <c r="D183" s="14" t="inlineStr">
        <is>
          <t>Fumetto Ciopi</t>
        </is>
      </c>
      <c r="E183" s="14" t="inlineStr">
        <is>
          <t>da 6 anni</t>
        </is>
      </c>
      <c r="F183" s="14" t="inlineStr">
        <is>
          <t>Prime letture (6-8)</t>
        </is>
      </c>
      <c r="G183" s="14" t="inlineStr">
        <is>
          <t>Graphic novel/Fumetto</t>
        </is>
      </c>
      <c r="H183" s="14" t="inlineStr"/>
      <c r="I183" s="14" t="inlineStr">
        <is>
          <t>No</t>
        </is>
      </c>
      <c r="J183" s="14" t="inlineStr">
        <is>
          <t>Catalogo</t>
        </is>
      </c>
      <c r="K183" s="14" t="inlineStr">
        <is>
          <t>prime letture</t>
        </is>
      </c>
      <c r="L183" s="14" t="inlineStr">
        <is>
          <t>https://www.libri.it/jeanmichel-babbo-natale</t>
        </is>
      </c>
      <c r="M183" s="16" t="n">
        <v>12</v>
      </c>
      <c r="N183" s="14" t="inlineStr">
        <is>
          <t>Lista titoli Logos Edizioni 2026 (PVP)</t>
        </is>
      </c>
      <c r="O183" s="16">
        <f>IF(ISNUMBER(M183),ROUND(M183*(1-Condizioni!$B$2),2),"")</f>
        <v/>
      </c>
      <c r="P183" s="17" t="inlineStr">
        <is>
          <t>No</t>
        </is>
      </c>
    </row>
    <row r="184">
      <c r="A184" s="14" t="inlineStr">
        <is>
          <t>Logos</t>
        </is>
      </c>
      <c r="B184" s="14" t="inlineStr">
        <is>
          <t>Jean-michel il Supercaribù e la Fata Victoria</t>
        </is>
      </c>
      <c r="C184" s="14" t="inlineStr">
        <is>
          <t>Magali Le Huche</t>
        </is>
      </c>
      <c r="D184" s="14" t="inlineStr">
        <is>
          <t>Fumetto Ciopi</t>
        </is>
      </c>
      <c r="E184" s="14" t="inlineStr">
        <is>
          <t>da 6 anni</t>
        </is>
      </c>
      <c r="F184" s="14" t="inlineStr">
        <is>
          <t>Prime letture (6-8)</t>
        </is>
      </c>
      <c r="G184" s="14" t="inlineStr">
        <is>
          <t>Graphic novel/Fumetto</t>
        </is>
      </c>
      <c r="H184" s="14" t="inlineStr"/>
      <c r="I184" s="14" t="inlineStr">
        <is>
          <t>No</t>
        </is>
      </c>
      <c r="J184" s="14" t="inlineStr">
        <is>
          <t>Catalogo</t>
        </is>
      </c>
      <c r="K184" s="14" t="inlineStr">
        <is>
          <t>prime letture</t>
        </is>
      </c>
      <c r="L184" s="14" t="inlineStr">
        <is>
          <t>https://www.libri.it/fata-victoria</t>
        </is>
      </c>
      <c r="M184" s="16" t="n">
        <v>12</v>
      </c>
      <c r="N184" s="14" t="inlineStr">
        <is>
          <t>Lista titoli Logos Edizioni 2026 (PVP)</t>
        </is>
      </c>
      <c r="O184" s="16">
        <f>IF(ISNUMBER(M184),ROUND(M184*(1-Condizioni!$B$2),2),"")</f>
        <v/>
      </c>
      <c r="P184" s="17" t="inlineStr">
        <is>
          <t>No</t>
        </is>
      </c>
    </row>
    <row r="185">
      <c r="A185" s="14" t="inlineStr">
        <is>
          <t>Logos</t>
        </is>
      </c>
      <c r="B185" s="14" t="inlineStr">
        <is>
          <t>Kiki e Rosalia</t>
        </is>
      </c>
      <c r="C185" s="14" t="inlineStr">
        <is>
          <t>Ronan Badel</t>
        </is>
      </c>
      <c r="D185" s="14" t="inlineStr">
        <is>
          <t>Biblioteca Ciopi</t>
        </is>
      </c>
      <c r="E185" s="14" t="inlineStr">
        <is>
          <t>da 6 anni</t>
        </is>
      </c>
      <c r="F185" s="14" t="inlineStr">
        <is>
          <t>Prime letture (6-8)</t>
        </is>
      </c>
      <c r="G185" s="14" t="inlineStr">
        <is>
          <t>Narrativa</t>
        </is>
      </c>
      <c r="H185" s="14" t="inlineStr"/>
      <c r="I185" s="14" t="inlineStr">
        <is>
          <t>No</t>
        </is>
      </c>
      <c r="J185" s="14" t="inlineStr">
        <is>
          <t>Catalogo</t>
        </is>
      </c>
      <c r="K185" s="14" t="inlineStr">
        <is>
          <t>prime letture, narrativa</t>
        </is>
      </c>
      <c r="L185" s="14" t="inlineStr">
        <is>
          <t>https://www.libri.it/kiki-e-rosalia</t>
        </is>
      </c>
      <c r="M185" s="16" t="n">
        <v>10</v>
      </c>
      <c r="N185" s="14" t="inlineStr">
        <is>
          <t>Lista titoli Logos Edizioni 2026 (PVP)</t>
        </is>
      </c>
      <c r="O185" s="16">
        <f>IF(ISNUMBER(M185),ROUND(M185*(1-Condizioni!$B$2),2),"")</f>
        <v/>
      </c>
      <c r="P185" s="17" t="inlineStr">
        <is>
          <t>No</t>
        </is>
      </c>
    </row>
    <row r="186">
      <c r="A186" s="14" t="inlineStr">
        <is>
          <t>Logos</t>
        </is>
      </c>
      <c r="B186" s="14" t="inlineStr">
        <is>
          <t>Kiwi</t>
        </is>
      </c>
      <c r="C186" s="14" t="inlineStr">
        <is>
          <t>Carmen Posadas; ill. Alessandra Manfredi</t>
        </is>
      </c>
      <c r="D186" s="14" t="inlineStr">
        <is>
          <t>Biblioteca Ciopi</t>
        </is>
      </c>
      <c r="E186" s="14" t="inlineStr">
        <is>
          <t>da 6 anni</t>
        </is>
      </c>
      <c r="F186" s="14" t="inlineStr">
        <is>
          <t>Prime letture (6-8)</t>
        </is>
      </c>
      <c r="G186" s="14" t="inlineStr">
        <is>
          <t>Narrativa</t>
        </is>
      </c>
      <c r="H186" s="14" t="inlineStr"/>
      <c r="I186" s="14" t="inlineStr">
        <is>
          <t>No</t>
        </is>
      </c>
      <c r="J186" s="14" t="inlineStr">
        <is>
          <t>Catalogo</t>
        </is>
      </c>
      <c r="K186" s="14" t="inlineStr">
        <is>
          <t>prime letture, narrativa</t>
        </is>
      </c>
      <c r="L186" s="14" t="inlineStr">
        <is>
          <t>https://www.libri.it/kiwi</t>
        </is>
      </c>
      <c r="M186" s="16" t="n">
        <v>7</v>
      </c>
      <c r="N186" s="14" t="inlineStr">
        <is>
          <t>Lista titoli Logos Edizioni 2026 (PVP)</t>
        </is>
      </c>
      <c r="O186" s="16">
        <f>IF(ISNUMBER(M186),ROUND(M186*(1-Condizioni!$B$2),2),"")</f>
        <v/>
      </c>
      <c r="P186" s="17" t="inlineStr">
        <is>
          <t>No</t>
        </is>
      </c>
    </row>
    <row r="187">
      <c r="A187" s="14" t="inlineStr">
        <is>
          <t>Logos</t>
        </is>
      </c>
      <c r="B187" s="14" t="inlineStr">
        <is>
          <t>La Doppia Vita di Medoro</t>
        </is>
      </c>
      <c r="C187" s="14" t="inlineStr">
        <is>
          <t>André Bouchard</t>
        </is>
      </c>
      <c r="D187" s="14" t="inlineStr">
        <is>
          <t>Biblioteca Ciopi</t>
        </is>
      </c>
      <c r="E187" s="14" t="inlineStr">
        <is>
          <t>da 6 anni</t>
        </is>
      </c>
      <c r="F187" s="14" t="inlineStr">
        <is>
          <t>Prime letture (6-8)</t>
        </is>
      </c>
      <c r="G187" s="14" t="inlineStr">
        <is>
          <t>Narrativa</t>
        </is>
      </c>
      <c r="H187" s="14" t="inlineStr"/>
      <c r="I187" s="14" t="inlineStr">
        <is>
          <t>No</t>
        </is>
      </c>
      <c r="J187" s="14" t="inlineStr">
        <is>
          <t>Catalogo</t>
        </is>
      </c>
      <c r="K187" s="14" t="inlineStr">
        <is>
          <t>prime letture, narrativa</t>
        </is>
      </c>
      <c r="L187" s="14" t="inlineStr">
        <is>
          <t>https://www.libri.it/la-doppia-vita-di-medoro</t>
        </is>
      </c>
      <c r="M187" s="16" t="n">
        <v>10</v>
      </c>
      <c r="N187" s="14" t="inlineStr">
        <is>
          <t>Lista titoli Logos Edizioni 2026 (PVP)</t>
        </is>
      </c>
      <c r="O187" s="16">
        <f>IF(ISNUMBER(M187),ROUND(M187*(1-Condizioni!$B$2),2),"")</f>
        <v/>
      </c>
      <c r="P187" s="17" t="inlineStr">
        <is>
          <t>No</t>
        </is>
      </c>
    </row>
    <row r="188">
      <c r="A188" s="14" t="inlineStr">
        <is>
          <t>Logos</t>
        </is>
      </c>
      <c r="B188" s="14" t="inlineStr">
        <is>
          <t>La Doppia Vita di Medoro (albo)</t>
        </is>
      </c>
      <c r="C188" s="14" t="inlineStr">
        <is>
          <t>André Bouchard</t>
        </is>
      </c>
      <c r="D188" s="14" t="inlineStr">
        <is>
          <t>Albo Ciopi</t>
        </is>
      </c>
      <c r="E188" s="14" t="inlineStr">
        <is>
          <t>da 6 anni</t>
        </is>
      </c>
      <c r="F188" s="14" t="inlineStr">
        <is>
          <t>Prime letture (6-8)</t>
        </is>
      </c>
      <c r="G188" s="14" t="inlineStr">
        <is>
          <t>Albo illustrato</t>
        </is>
      </c>
      <c r="H188" s="14" t="inlineStr"/>
      <c r="I188" s="14" t="inlineStr">
        <is>
          <t>No</t>
        </is>
      </c>
      <c r="J188" s="14" t="inlineStr">
        <is>
          <t>Catalogo</t>
        </is>
      </c>
      <c r="K188" s="14" t="inlineStr">
        <is>
          <t>prime letture</t>
        </is>
      </c>
      <c r="L188" s="14" t="inlineStr">
        <is>
          <t>https://www.libri.it/medoro-albo</t>
        </is>
      </c>
      <c r="M188" s="16" t="n">
        <v>18</v>
      </c>
      <c r="N188" s="14" t="inlineStr">
        <is>
          <t>Lista titoli Logos Edizioni 2026 (PVP)</t>
        </is>
      </c>
      <c r="O188" s="16">
        <f>IF(ISNUMBER(M188),ROUND(M188*(1-Condizioni!$B$2),2),"")</f>
        <v/>
      </c>
      <c r="P188" s="17" t="inlineStr">
        <is>
          <t>No</t>
        </is>
      </c>
    </row>
    <row r="189">
      <c r="A189" s="14" t="inlineStr">
        <is>
          <t>Logos</t>
        </is>
      </c>
      <c r="B189" s="14" t="inlineStr">
        <is>
          <t>La Famiglia Porelli</t>
        </is>
      </c>
      <c r="C189" s="14" t="inlineStr">
        <is>
          <t>André Bouchard</t>
        </is>
      </c>
      <c r="D189" s="14" t="inlineStr">
        <is>
          <t>Biblioteca Ciopi</t>
        </is>
      </c>
      <c r="E189" s="14" t="inlineStr">
        <is>
          <t>da 6 anni</t>
        </is>
      </c>
      <c r="F189" s="14" t="inlineStr">
        <is>
          <t>Prime letture (6-8)</t>
        </is>
      </c>
      <c r="G189" s="14" t="inlineStr">
        <is>
          <t>Narrativa</t>
        </is>
      </c>
      <c r="H189" s="14" t="inlineStr"/>
      <c r="I189" s="14" t="inlineStr">
        <is>
          <t>No</t>
        </is>
      </c>
      <c r="J189" s="14" t="inlineStr">
        <is>
          <t>Catalogo</t>
        </is>
      </c>
      <c r="K189" s="14" t="inlineStr">
        <is>
          <t>prime letture, narrativa</t>
        </is>
      </c>
      <c r="L189" s="14" t="inlineStr">
        <is>
          <t>https://www.libri.it/la-famiglia-porelli</t>
        </is>
      </c>
      <c r="M189" s="16" t="n">
        <v>10</v>
      </c>
      <c r="N189" s="14" t="inlineStr">
        <is>
          <t>Lista titoli Logos Edizioni 2026 (PVP)</t>
        </is>
      </c>
      <c r="O189" s="16">
        <f>IF(ISNUMBER(M189),ROUND(M189*(1-Condizioni!$B$2),2),"")</f>
        <v/>
      </c>
      <c r="P189" s="17" t="inlineStr">
        <is>
          <t>No</t>
        </is>
      </c>
    </row>
    <row r="190">
      <c r="A190" s="14" t="inlineStr">
        <is>
          <t>Logos</t>
        </is>
      </c>
      <c r="B190" s="14" t="inlineStr">
        <is>
          <t>La Forza della Gazzella</t>
        </is>
      </c>
      <c r="C190" s="14" t="inlineStr">
        <is>
          <t>Carmen Vázquez Vigo; ill. Alessandra Manfredi</t>
        </is>
      </c>
      <c r="D190" s="14" t="inlineStr">
        <is>
          <t>Biblioteca Ciopi</t>
        </is>
      </c>
      <c r="E190" s="14" t="inlineStr">
        <is>
          <t>da 6 anni</t>
        </is>
      </c>
      <c r="F190" s="14" t="inlineStr">
        <is>
          <t>Prime letture (6-8)</t>
        </is>
      </c>
      <c r="G190" s="14" t="inlineStr">
        <is>
          <t>Narrativa</t>
        </is>
      </c>
      <c r="H190" s="14" t="inlineStr"/>
      <c r="I190" s="14" t="inlineStr">
        <is>
          <t>No</t>
        </is>
      </c>
      <c r="J190" s="14" t="inlineStr">
        <is>
          <t>Catalogo</t>
        </is>
      </c>
      <c r="K190" s="14" t="inlineStr">
        <is>
          <t>prime letture, narrativa</t>
        </is>
      </c>
      <c r="L190" s="14" t="inlineStr">
        <is>
          <t>https://www.libri.it/la-forza-della-gazzella</t>
        </is>
      </c>
      <c r="M190" s="16" t="n">
        <v>8</v>
      </c>
      <c r="N190" s="14" t="inlineStr">
        <is>
          <t>Lista titoli Logos Edizioni 2026 (PVP)</t>
        </is>
      </c>
      <c r="O190" s="16">
        <f>IF(ISNUMBER(M190),ROUND(M190*(1-Condizioni!$B$2),2),"")</f>
        <v/>
      </c>
      <c r="P190" s="17" t="inlineStr">
        <is>
          <t>No</t>
        </is>
      </c>
    </row>
    <row r="191">
      <c r="A191" s="14" t="inlineStr">
        <is>
          <t>Logos</t>
        </is>
      </c>
      <c r="B191" s="14" t="inlineStr">
        <is>
          <t>La Frottolite Galoppante</t>
        </is>
      </c>
      <c r="C191" s="14" t="inlineStr">
        <is>
          <t>André Bouchard</t>
        </is>
      </c>
      <c r="D191" s="14" t="inlineStr">
        <is>
          <t>Biblioteca Ciopi</t>
        </is>
      </c>
      <c r="E191" s="14" t="inlineStr">
        <is>
          <t>da 6 anni</t>
        </is>
      </c>
      <c r="F191" s="14" t="inlineStr">
        <is>
          <t>Prime letture (6-8)</t>
        </is>
      </c>
      <c r="G191" s="14" t="inlineStr">
        <is>
          <t>Narrativa</t>
        </is>
      </c>
      <c r="H191" s="14" t="inlineStr"/>
      <c r="I191" s="14" t="inlineStr">
        <is>
          <t>No</t>
        </is>
      </c>
      <c r="J191" s="14" t="inlineStr">
        <is>
          <t>Catalogo</t>
        </is>
      </c>
      <c r="K191" s="14" t="inlineStr">
        <is>
          <t>prime letture, narrativa</t>
        </is>
      </c>
      <c r="L191" s="14" t="inlineStr">
        <is>
          <t>https://www.libri.it/frottolite</t>
        </is>
      </c>
      <c r="M191" s="16" t="n">
        <v>10</v>
      </c>
      <c r="N191" s="14" t="inlineStr">
        <is>
          <t>Lista titoli Logos Edizioni 2026 (PVP)</t>
        </is>
      </c>
      <c r="O191" s="16">
        <f>IF(ISNUMBER(M191),ROUND(M191*(1-Condizioni!$B$2),2),"")</f>
        <v/>
      </c>
      <c r="P191" s="17" t="inlineStr">
        <is>
          <t>No</t>
        </is>
      </c>
    </row>
    <row r="192">
      <c r="A192" s="14" t="inlineStr">
        <is>
          <t>Logos</t>
        </is>
      </c>
      <c r="B192" s="14" t="inlineStr">
        <is>
          <t>La Gallina</t>
        </is>
      </c>
      <c r="C192" s="14" t="inlineStr">
        <is>
          <t>Sara D'Angelo; ill. Alessandra Manfredi</t>
        </is>
      </c>
      <c r="D192" s="14" t="inlineStr">
        <is>
          <t>Gaia</t>
        </is>
      </c>
      <c r="E192" s="14" t="inlineStr">
        <is>
          <t>da 6 anni</t>
        </is>
      </c>
      <c r="F192" s="14" t="inlineStr">
        <is>
          <t>Prime letture (6-8)</t>
        </is>
      </c>
      <c r="G192" s="14" t="inlineStr">
        <is>
          <t>Albo illustrato</t>
        </is>
      </c>
      <c r="H192" s="14" t="inlineStr"/>
      <c r="I192" s="14" t="inlineStr">
        <is>
          <t>No</t>
        </is>
      </c>
      <c r="J192" s="14" t="inlineStr">
        <is>
          <t>Catalogo</t>
        </is>
      </c>
      <c r="K192" s="14" t="inlineStr">
        <is>
          <t>prime letture</t>
        </is>
      </c>
      <c r="L192" s="14" t="inlineStr">
        <is>
          <t>https://www.libri.it/3d/anteprima/lagallina/</t>
        </is>
      </c>
      <c r="M192" s="16" t="n">
        <v>17</v>
      </c>
      <c r="N192" s="14" t="inlineStr">
        <is>
          <t>Lista titoli Logos Edizioni 2026 (PVP)</t>
        </is>
      </c>
      <c r="O192" s="16">
        <f>IF(ISNUMBER(M192),ROUND(M192*(1-Condizioni!$B$2),2),"")</f>
        <v/>
      </c>
      <c r="P192" s="17" t="inlineStr">
        <is>
          <t>No</t>
        </is>
      </c>
    </row>
    <row r="193">
      <c r="A193" s="14" t="inlineStr">
        <is>
          <t>Logos</t>
        </is>
      </c>
      <c r="B193" s="14" t="inlineStr">
        <is>
          <t>La Gallina Piripiri</t>
        </is>
      </c>
      <c r="C193" s="14" t="inlineStr">
        <is>
          <t>Xan López Domínguez</t>
        </is>
      </c>
      <c r="D193" s="14" t="inlineStr">
        <is>
          <t>Biblioteca Ciopi</t>
        </is>
      </c>
      <c r="E193" s="14" t="inlineStr">
        <is>
          <t>da 6 anni</t>
        </is>
      </c>
      <c r="F193" s="14" t="inlineStr">
        <is>
          <t>Prime letture (6-8)</t>
        </is>
      </c>
      <c r="G193" s="14" t="inlineStr">
        <is>
          <t>Narrativa</t>
        </is>
      </c>
      <c r="H193" s="14" t="inlineStr"/>
      <c r="I193" s="14" t="inlineStr">
        <is>
          <t>No</t>
        </is>
      </c>
      <c r="J193" s="14" t="inlineStr">
        <is>
          <t>Catalogo</t>
        </is>
      </c>
      <c r="K193" s="14" t="inlineStr">
        <is>
          <t>prime letture, narrativa</t>
        </is>
      </c>
      <c r="L193" s="14" t="inlineStr">
        <is>
          <t>https://www.libri.it/gallina-piripiri</t>
        </is>
      </c>
      <c r="M193" s="16" t="n">
        <v>7</v>
      </c>
      <c r="N193" s="14" t="inlineStr">
        <is>
          <t>Lista titoli Logos Edizioni 2026 (PVP)</t>
        </is>
      </c>
      <c r="O193" s="16">
        <f>IF(ISNUMBER(M193),ROUND(M193*(1-Condizioni!$B$2),2),"")</f>
        <v/>
      </c>
      <c r="P193" s="17" t="inlineStr">
        <is>
          <t>No</t>
        </is>
      </c>
    </row>
    <row r="194">
      <c r="A194" s="14" t="inlineStr">
        <is>
          <t>Logos</t>
        </is>
      </c>
      <c r="B194" s="14" t="inlineStr">
        <is>
          <t>La Leggenda di Zum</t>
        </is>
      </c>
      <c r="C194" s="14" t="inlineStr">
        <is>
          <t xml:space="preserve">Txabi Arnal; ill. Roger Olmos </t>
        </is>
      </c>
      <c r="D194" s="14" t="inlineStr">
        <is>
          <t>Albo Ciopi</t>
        </is>
      </c>
      <c r="E194" s="14" t="inlineStr">
        <is>
          <t>da 6 anni</t>
        </is>
      </c>
      <c r="F194" s="14" t="inlineStr">
        <is>
          <t>Prime letture (6-8)</t>
        </is>
      </c>
      <c r="G194" s="14" t="inlineStr">
        <is>
          <t>Albo illustrato</t>
        </is>
      </c>
      <c r="H194" s="14" t="inlineStr"/>
      <c r="I194" s="14" t="inlineStr">
        <is>
          <t>No</t>
        </is>
      </c>
      <c r="J194" s="14" t="inlineStr">
        <is>
          <t>Catalogo</t>
        </is>
      </c>
      <c r="K194" s="14" t="inlineStr">
        <is>
          <t>prime letture</t>
        </is>
      </c>
      <c r="L194" s="14" t="inlineStr">
        <is>
          <t>https://www.libri.it/la-leggenda-di-zum</t>
        </is>
      </c>
      <c r="M194" s="16" t="n">
        <v>18</v>
      </c>
      <c r="N194" s="14" t="inlineStr">
        <is>
          <t>Lista titoli Logos Edizioni 2026 (PVP)</t>
        </is>
      </c>
      <c r="O194" s="16">
        <f>IF(ISNUMBER(M194),ROUND(M194*(1-Condizioni!$B$2),2),"")</f>
        <v/>
      </c>
      <c r="P194" s="17" t="inlineStr">
        <is>
          <t>No</t>
        </is>
      </c>
    </row>
    <row r="195">
      <c r="A195" s="14" t="inlineStr">
        <is>
          <t>Logos</t>
        </is>
      </c>
      <c r="B195" s="14" t="inlineStr">
        <is>
          <t>La Libellula</t>
        </is>
      </c>
      <c r="C195" s="14" t="inlineStr">
        <is>
          <t>Gianumberto Accinelli; ill. Anna Paolini</t>
        </is>
      </c>
      <c r="D195" s="14" t="inlineStr">
        <is>
          <t>Gaia</t>
        </is>
      </c>
      <c r="E195" s="14" t="inlineStr">
        <is>
          <t>da 6 anni</t>
        </is>
      </c>
      <c r="F195" s="14" t="inlineStr">
        <is>
          <t>Prime letture (6-8)</t>
        </is>
      </c>
      <c r="G195" s="14" t="inlineStr">
        <is>
          <t>Albo illustrato</t>
        </is>
      </c>
      <c r="H195" s="14" t="inlineStr"/>
      <c r="I195" s="14" t="inlineStr">
        <is>
          <t>No</t>
        </is>
      </c>
      <c r="J195" s="14" t="inlineStr">
        <is>
          <t>Catalogo</t>
        </is>
      </c>
      <c r="K195" s="14" t="inlineStr">
        <is>
          <t>prime letture</t>
        </is>
      </c>
      <c r="L195" s="14" t="inlineStr">
        <is>
          <t>https://www.libri.it/libellula</t>
        </is>
      </c>
      <c r="M195" s="16" t="n">
        <v>20</v>
      </c>
      <c r="N195" s="14" t="inlineStr">
        <is>
          <t>Lista titoli Logos Edizioni 2026 (PVP)</t>
        </is>
      </c>
      <c r="O195" s="16">
        <f>IF(ISNUMBER(M195),ROUND(M195*(1-Condizioni!$B$2),2),"")</f>
        <v/>
      </c>
      <c r="P195" s="17" t="inlineStr">
        <is>
          <t>No</t>
        </is>
      </c>
    </row>
    <row r="196">
      <c r="A196" s="14" t="inlineStr">
        <is>
          <t>Logos</t>
        </is>
      </c>
      <c r="B196" s="14" t="inlineStr">
        <is>
          <t>La Lucertola</t>
        </is>
      </c>
      <c r="C196" s="14" t="inlineStr">
        <is>
          <t>Luisa Noguera; ill. Israel Barrón</t>
        </is>
      </c>
      <c r="D196" s="14" t="inlineStr">
        <is>
          <t>Biblioteca Ciopi</t>
        </is>
      </c>
      <c r="E196" s="14" t="inlineStr">
        <is>
          <t>da 6 anni</t>
        </is>
      </c>
      <c r="F196" s="14" t="inlineStr">
        <is>
          <t>Prime letture (6-8)</t>
        </is>
      </c>
      <c r="G196" s="14" t="inlineStr">
        <is>
          <t>Narrativa</t>
        </is>
      </c>
      <c r="H196" s="14" t="inlineStr"/>
      <c r="I196" s="14" t="inlineStr">
        <is>
          <t>No</t>
        </is>
      </c>
      <c r="J196" s="14" t="inlineStr">
        <is>
          <t>Catalogo</t>
        </is>
      </c>
      <c r="K196" s="14" t="inlineStr">
        <is>
          <t>prime letture, narrativa</t>
        </is>
      </c>
      <c r="L196" s="14" t="inlineStr">
        <is>
          <t>https://www.libri.it/la-lucertola</t>
        </is>
      </c>
      <c r="M196" s="16" t="n">
        <v>14</v>
      </c>
      <c r="N196" s="14" t="inlineStr">
        <is>
          <t>Lista titoli Logos Edizioni 2026 (PVP)</t>
        </is>
      </c>
      <c r="O196" s="16">
        <f>IF(ISNUMBER(M196),ROUND(M196*(1-Condizioni!$B$2),2),"")</f>
        <v/>
      </c>
      <c r="P196" s="17" t="inlineStr">
        <is>
          <t>No</t>
        </is>
      </c>
    </row>
    <row r="197">
      <c r="A197" s="14" t="inlineStr">
        <is>
          <t>Logos</t>
        </is>
      </c>
      <c r="B197" s="14" t="inlineStr">
        <is>
          <t>La Mano</t>
        </is>
      </c>
      <c r="C197" s="14" t="inlineStr">
        <is>
          <t>Ronald Curchod</t>
        </is>
      </c>
      <c r="D197" s="14" t="inlineStr">
        <is>
          <t>Albo Ciopi</t>
        </is>
      </c>
      <c r="E197" s="14" t="inlineStr">
        <is>
          <t>da 6 anni</t>
        </is>
      </c>
      <c r="F197" s="14" t="inlineStr">
        <is>
          <t>Prime letture (6-8)</t>
        </is>
      </c>
      <c r="G197" s="14" t="inlineStr">
        <is>
          <t>Albo illustrato</t>
        </is>
      </c>
      <c r="H197" s="14" t="inlineStr"/>
      <c r="I197" s="14" t="inlineStr">
        <is>
          <t>No</t>
        </is>
      </c>
      <c r="J197" s="14" t="inlineStr">
        <is>
          <t>Catalogo</t>
        </is>
      </c>
      <c r="K197" s="14" t="inlineStr">
        <is>
          <t>prime letture</t>
        </is>
      </c>
      <c r="L197" s="14" t="inlineStr">
        <is>
          <t>https://www.libri.it/la-mano</t>
        </is>
      </c>
      <c r="M197" s="16" t="n">
        <v>19</v>
      </c>
      <c r="N197" s="14" t="inlineStr">
        <is>
          <t>Lista titoli Logos Edizioni 2026 (PVP)</t>
        </is>
      </c>
      <c r="O197" s="16">
        <f>IF(ISNUMBER(M197),ROUND(M197*(1-Condizioni!$B$2),2),"")</f>
        <v/>
      </c>
      <c r="P197" s="17" t="inlineStr">
        <is>
          <t>No</t>
        </is>
      </c>
    </row>
    <row r="198">
      <c r="A198" s="14" t="inlineStr">
        <is>
          <t>Logos</t>
        </is>
      </c>
      <c r="B198" s="14" t="inlineStr">
        <is>
          <t>La Pecora</t>
        </is>
      </c>
      <c r="C198" s="14" t="inlineStr">
        <is>
          <t>Sara D'Angelo; ill. Alessandra Manfredi</t>
        </is>
      </c>
      <c r="D198" s="14" t="inlineStr">
        <is>
          <t>Gaia</t>
        </is>
      </c>
      <c r="E198" s="14" t="inlineStr">
        <is>
          <t>da 6 anni</t>
        </is>
      </c>
      <c r="F198" s="14" t="inlineStr">
        <is>
          <t>Prime letture (6-8)</t>
        </is>
      </c>
      <c r="G198" s="14" t="inlineStr">
        <is>
          <t>Albo illustrato</t>
        </is>
      </c>
      <c r="H198" s="14" t="inlineStr"/>
      <c r="I198" s="14" t="inlineStr">
        <is>
          <t>No</t>
        </is>
      </c>
      <c r="J198" s="14" t="inlineStr">
        <is>
          <t>Catalogo</t>
        </is>
      </c>
      <c r="K198" s="14" t="inlineStr">
        <is>
          <t>prime letture</t>
        </is>
      </c>
      <c r="L198" s="14" t="inlineStr">
        <is>
          <t>https://www.libri.it/la-pecora</t>
        </is>
      </c>
      <c r="M198" s="16" t="n">
        <v>17</v>
      </c>
      <c r="N198" s="14" t="inlineStr">
        <is>
          <t>Lista titoli Logos Edizioni 2026 (PVP)</t>
        </is>
      </c>
      <c r="O198" s="16">
        <f>IF(ISNUMBER(M198),ROUND(M198*(1-Condizioni!$B$2),2),"")</f>
        <v/>
      </c>
      <c r="P198" s="17" t="inlineStr">
        <is>
          <t>No</t>
        </is>
      </c>
    </row>
    <row r="199">
      <c r="A199" s="14" t="inlineStr">
        <is>
          <t>Logos</t>
        </is>
      </c>
      <c r="B199" s="14" t="inlineStr">
        <is>
          <t>La Regina delle Niagara Falls</t>
        </is>
      </c>
      <c r="C199" s="14" t="inlineStr">
        <is>
          <t>Chris Van Allsburg</t>
        </is>
      </c>
      <c r="D199" s="14" t="inlineStr">
        <is>
          <t>Albo Ciopi</t>
        </is>
      </c>
      <c r="E199" s="14" t="inlineStr">
        <is>
          <t>da 6 anni</t>
        </is>
      </c>
      <c r="F199" s="14" t="inlineStr">
        <is>
          <t>Prime letture (6-8)</t>
        </is>
      </c>
      <c r="G199" s="14" t="inlineStr">
        <is>
          <t>Albo illustrato</t>
        </is>
      </c>
      <c r="H199" s="14" t="inlineStr"/>
      <c r="I199" s="14" t="inlineStr">
        <is>
          <t>No</t>
        </is>
      </c>
      <c r="J199" s="14" t="inlineStr">
        <is>
          <t>Catalogo</t>
        </is>
      </c>
      <c r="K199" s="14" t="inlineStr">
        <is>
          <t>prime letture</t>
        </is>
      </c>
      <c r="L199" s="14" t="inlineStr">
        <is>
          <t>https://www.libri.it/niagara</t>
        </is>
      </c>
      <c r="M199" s="16" t="n">
        <v>18</v>
      </c>
      <c r="N199" s="14" t="inlineStr">
        <is>
          <t>Lista titoli Logos Edizioni 2026 (PVP)</t>
        </is>
      </c>
      <c r="O199" s="16">
        <f>IF(ISNUMBER(M199),ROUND(M199*(1-Condizioni!$B$2),2),"")</f>
        <v/>
      </c>
      <c r="P199" s="17" t="inlineStr">
        <is>
          <t>No</t>
        </is>
      </c>
    </row>
    <row r="200">
      <c r="A200" s="14" t="inlineStr">
        <is>
          <t>Logos</t>
        </is>
      </c>
      <c r="B200" s="14" t="inlineStr">
        <is>
          <t>La Scimmia e lo Spaventapasseri</t>
        </is>
      </c>
      <c r="C200" s="14" t="inlineStr">
        <is>
          <t>Pierre Senges; ill. Albertine</t>
        </is>
      </c>
      <c r="D200" s="14" t="inlineStr">
        <is>
          <t>Biblioteca Ciopi</t>
        </is>
      </c>
      <c r="E200" s="14" t="inlineStr">
        <is>
          <t>da 6 anni</t>
        </is>
      </c>
      <c r="F200" s="14" t="inlineStr">
        <is>
          <t>Prime letture (6-8)</t>
        </is>
      </c>
      <c r="G200" s="14" t="inlineStr">
        <is>
          <t>Narrativa</t>
        </is>
      </c>
      <c r="H200" s="14" t="inlineStr"/>
      <c r="I200" s="14" t="inlineStr">
        <is>
          <t>No</t>
        </is>
      </c>
      <c r="J200" s="14" t="inlineStr">
        <is>
          <t>Catalogo</t>
        </is>
      </c>
      <c r="K200" s="14" t="inlineStr">
        <is>
          <t>prime letture, narrativa</t>
        </is>
      </c>
      <c r="L200" s="14" t="inlineStr">
        <is>
          <t>https://www.libri.it/scimmia-e-lo-spaventapasseri</t>
        </is>
      </c>
      <c r="M200" s="16" t="n">
        <v>14</v>
      </c>
      <c r="N200" s="14" t="inlineStr">
        <is>
          <t>Lista titoli Logos Edizioni 2026 (PVP)</t>
        </is>
      </c>
      <c r="O200" s="16">
        <f>IF(ISNUMBER(M200),ROUND(M200*(1-Condizioni!$B$2),2),"")</f>
        <v/>
      </c>
      <c r="P200" s="17" t="inlineStr">
        <is>
          <t>No</t>
        </is>
      </c>
    </row>
    <row r="201">
      <c r="A201" s="14" t="inlineStr">
        <is>
          <t>Logos</t>
        </is>
      </c>
      <c r="B201" s="14" t="inlineStr">
        <is>
          <t>La Storia di Cinghial Otto</t>
        </is>
      </c>
      <c r="C201" s="14" t="inlineStr">
        <is>
          <t>Jerry Kramsky</t>
        </is>
      </c>
      <c r="D201" s="14" t="inlineStr">
        <is>
          <t>Fumetto Ciopi</t>
        </is>
      </c>
      <c r="E201" s="14" t="inlineStr">
        <is>
          <t>da 6 anni</t>
        </is>
      </c>
      <c r="F201" s="14" t="inlineStr">
        <is>
          <t>Prime letture (6-8)</t>
        </is>
      </c>
      <c r="G201" s="14" t="inlineStr">
        <is>
          <t>Graphic novel/Fumetto</t>
        </is>
      </c>
      <c r="H201" s="14" t="inlineStr"/>
      <c r="I201" s="14" t="inlineStr">
        <is>
          <t>No</t>
        </is>
      </c>
      <c r="J201" s="14" t="inlineStr">
        <is>
          <t>Catalogo</t>
        </is>
      </c>
      <c r="K201" s="14" t="inlineStr">
        <is>
          <t>prime letture</t>
        </is>
      </c>
      <c r="L201" s="14" t="inlineStr">
        <is>
          <t>https://www.libri.it/storia-di-cinghialotto-e-di-camilla-piumata</t>
        </is>
      </c>
      <c r="M201" s="16" t="n">
        <v>16</v>
      </c>
      <c r="N201" s="14" t="inlineStr">
        <is>
          <t>Lista titoli Logos Edizioni 2026 (PVP)</t>
        </is>
      </c>
      <c r="O201" s="16">
        <f>IF(ISNUMBER(M201),ROUND(M201*(1-Condizioni!$B$2),2),"")</f>
        <v/>
      </c>
      <c r="P201" s="17" t="inlineStr">
        <is>
          <t>No</t>
        </is>
      </c>
    </row>
    <row r="202">
      <c r="A202" s="14" t="inlineStr">
        <is>
          <t>Logos</t>
        </is>
      </c>
      <c r="B202" s="14" t="inlineStr">
        <is>
          <t>Lilli e Mostropupazzolo</t>
        </is>
      </c>
      <c r="C202" s="14" t="inlineStr">
        <is>
          <t>MIC &amp; VAL</t>
        </is>
      </c>
      <c r="D202" s="14" t="inlineStr">
        <is>
          <t>Fumetto Ciopi</t>
        </is>
      </c>
      <c r="E202" s="14" t="inlineStr">
        <is>
          <t>da 6 anni</t>
        </is>
      </c>
      <c r="F202" s="14" t="inlineStr">
        <is>
          <t>Prime letture (6-8)</t>
        </is>
      </c>
      <c r="G202" s="14" t="inlineStr">
        <is>
          <t>Graphic novel/Fumetto</t>
        </is>
      </c>
      <c r="H202" s="14" t="inlineStr"/>
      <c r="I202" s="14" t="inlineStr">
        <is>
          <t>No</t>
        </is>
      </c>
      <c r="J202" s="14" t="inlineStr">
        <is>
          <t>Catalogo</t>
        </is>
      </c>
      <c r="K202" s="14" t="inlineStr">
        <is>
          <t>prime letture</t>
        </is>
      </c>
      <c r="L202" s="14" t="inlineStr">
        <is>
          <t>https://www.libri.it/lilli-e-mostropupazzolo</t>
        </is>
      </c>
      <c r="M202" s="16" t="n">
        <v>12</v>
      </c>
      <c r="N202" s="14" t="inlineStr">
        <is>
          <t>Lista titoli Logos Edizioni 2026 (PVP)</t>
        </is>
      </c>
      <c r="O202" s="16">
        <f>IF(ISNUMBER(M202),ROUND(M202*(1-Condizioni!$B$2),2),"")</f>
        <v/>
      </c>
      <c r="P202" s="17" t="inlineStr">
        <is>
          <t>No</t>
        </is>
      </c>
    </row>
    <row r="203">
      <c r="A203" s="14" t="inlineStr">
        <is>
          <t>Logos</t>
        </is>
      </c>
      <c r="B203" s="14" t="inlineStr">
        <is>
          <t>Lilli e Mostropupazzolo 2</t>
        </is>
      </c>
      <c r="C203" s="14" t="inlineStr">
        <is>
          <t>MIC &amp; VAL</t>
        </is>
      </c>
      <c r="D203" s="14" t="inlineStr">
        <is>
          <t>Fumetto Ciopi</t>
        </is>
      </c>
      <c r="E203" s="14" t="inlineStr">
        <is>
          <t>da 6 anni</t>
        </is>
      </c>
      <c r="F203" s="14" t="inlineStr">
        <is>
          <t>Prime letture (6-8)</t>
        </is>
      </c>
      <c r="G203" s="14" t="inlineStr">
        <is>
          <t>Graphic novel/Fumetto</t>
        </is>
      </c>
      <c r="H203" s="14" t="inlineStr"/>
      <c r="I203" s="14" t="inlineStr">
        <is>
          <t>No</t>
        </is>
      </c>
      <c r="J203" s="14" t="inlineStr">
        <is>
          <t>Catalogo</t>
        </is>
      </c>
      <c r="K203" s="14" t="inlineStr">
        <is>
          <t>prime letture</t>
        </is>
      </c>
      <c r="L203" s="14" t="inlineStr">
        <is>
          <t>https://www.libri.it/mostropupazzolo-2</t>
        </is>
      </c>
      <c r="M203" s="16" t="n">
        <v>12</v>
      </c>
      <c r="N203" s="14" t="inlineStr">
        <is>
          <t>Lista titoli Logos Edizioni 2026 (PVP)</t>
        </is>
      </c>
      <c r="O203" s="16">
        <f>IF(ISNUMBER(M203),ROUND(M203*(1-Condizioni!$B$2),2),"")</f>
        <v/>
      </c>
      <c r="P203" s="17" t="inlineStr">
        <is>
          <t>No</t>
        </is>
      </c>
    </row>
    <row r="204">
      <c r="A204" s="14" t="inlineStr">
        <is>
          <t>Logos</t>
        </is>
      </c>
      <c r="B204" s="14" t="inlineStr">
        <is>
          <t>Lo Struffallocero Blu</t>
        </is>
      </c>
      <c r="C204" s="14" t="inlineStr">
        <is>
          <t>Ursula Wölfel; ill. Roger Olmos</t>
        </is>
      </c>
      <c r="D204" s="14" t="inlineStr">
        <is>
          <t>Biblioteca Ciopi</t>
        </is>
      </c>
      <c r="E204" s="14" t="inlineStr">
        <is>
          <t>da 6 anni</t>
        </is>
      </c>
      <c r="F204" s="14" t="inlineStr">
        <is>
          <t>Prime letture (6-8)</t>
        </is>
      </c>
      <c r="G204" s="14" t="inlineStr">
        <is>
          <t>Narrativa</t>
        </is>
      </c>
      <c r="H204" s="14" t="inlineStr"/>
      <c r="I204" s="14" t="inlineStr">
        <is>
          <t>No</t>
        </is>
      </c>
      <c r="J204" s="14" t="inlineStr">
        <is>
          <t>Catalogo</t>
        </is>
      </c>
      <c r="K204" s="14" t="inlineStr">
        <is>
          <t>prime letture, narrativa</t>
        </is>
      </c>
      <c r="L204" s="14" t="inlineStr">
        <is>
          <t>https://www.libri.it/struffallocero-blu</t>
        </is>
      </c>
      <c r="M204" s="16" t="n">
        <v>7</v>
      </c>
      <c r="N204" s="14" t="inlineStr">
        <is>
          <t>Lista titoli Logos Edizioni 2026 (PVP)</t>
        </is>
      </c>
      <c r="O204" s="16">
        <f>IF(ISNUMBER(M204),ROUND(M204*(1-Condizioni!$B$2),2),"")</f>
        <v/>
      </c>
      <c r="P204" s="17" t="inlineStr">
        <is>
          <t>No</t>
        </is>
      </c>
    </row>
    <row r="205">
      <c r="A205" s="14" t="inlineStr">
        <is>
          <t>Logos</t>
        </is>
      </c>
      <c r="B205" s="14" t="inlineStr">
        <is>
          <t>Lottatore per Amore</t>
        </is>
      </c>
      <c r="C205" s="14" t="inlineStr">
        <is>
          <t>Gala Vanson</t>
        </is>
      </c>
      <c r="D205" s="14" t="inlineStr">
        <is>
          <t>Albo Ciopi</t>
        </is>
      </c>
      <c r="E205" s="14" t="inlineStr">
        <is>
          <t>da 6 anni</t>
        </is>
      </c>
      <c r="F205" s="14" t="inlineStr">
        <is>
          <t>Prime letture (6-8)</t>
        </is>
      </c>
      <c r="G205" s="14" t="inlineStr">
        <is>
          <t>Albo illustrato</t>
        </is>
      </c>
      <c r="H205" s="14" t="inlineStr"/>
      <c r="I205" s="14" t="inlineStr">
        <is>
          <t>No</t>
        </is>
      </c>
      <c r="J205" s="14" t="inlineStr">
        <is>
          <t>Catalogo</t>
        </is>
      </c>
      <c r="K205" s="14" t="inlineStr">
        <is>
          <t>prime letture</t>
        </is>
      </c>
      <c r="L205" s="14" t="inlineStr">
        <is>
          <t>https://www.libri.it/lottatore-per-amore</t>
        </is>
      </c>
      <c r="M205" s="16" t="n">
        <v>17</v>
      </c>
      <c r="N205" s="14" t="inlineStr">
        <is>
          <t>Lista titoli Logos Edizioni 2026 (PVP)</t>
        </is>
      </c>
      <c r="O205" s="16">
        <f>IF(ISNUMBER(M205),ROUND(M205*(1-Condizioni!$B$2),2),"")</f>
        <v/>
      </c>
      <c r="P205" s="17" t="inlineStr">
        <is>
          <t>No</t>
        </is>
      </c>
    </row>
    <row r="206">
      <c r="A206" s="14" t="inlineStr">
        <is>
          <t>Logos</t>
        </is>
      </c>
      <c r="B206" s="14" t="inlineStr">
        <is>
          <t>Lucia. la Biblioteca della Ciopi</t>
        </is>
      </c>
      <c r="C206" s="14" t="inlineStr">
        <is>
          <t>Roger Olmos</t>
        </is>
      </c>
      <c r="D206" s="14" t="inlineStr">
        <is>
          <t>Biblioteca Ciopi</t>
        </is>
      </c>
      <c r="E206" s="14" t="inlineStr">
        <is>
          <t>da 6 anni</t>
        </is>
      </c>
      <c r="F206" s="14" t="inlineStr">
        <is>
          <t>Prime letture (6-8)</t>
        </is>
      </c>
      <c r="G206" s="14" t="inlineStr">
        <is>
          <t>Narrativa</t>
        </is>
      </c>
      <c r="H206" s="14" t="inlineStr"/>
      <c r="I206" s="14" t="inlineStr">
        <is>
          <t>No</t>
        </is>
      </c>
      <c r="J206" s="14" t="inlineStr">
        <is>
          <t>Catalogo</t>
        </is>
      </c>
      <c r="K206" s="14" t="inlineStr">
        <is>
          <t>prime letture, narrativa</t>
        </is>
      </c>
      <c r="L206" s="14" t="inlineStr">
        <is>
          <t>https://www.libri.it/lucia-ciopi</t>
        </is>
      </c>
      <c r="M206" s="16" t="n">
        <v>10</v>
      </c>
      <c r="N206" s="14" t="inlineStr">
        <is>
          <t>Lista titoli Logos Edizioni 2026 (PVP)</t>
        </is>
      </c>
      <c r="O206" s="16">
        <f>IF(ISNUMBER(M206),ROUND(M206*(1-Condizioni!$B$2),2),"")</f>
        <v/>
      </c>
      <c r="P206" s="17" t="inlineStr">
        <is>
          <t>No</t>
        </is>
      </c>
    </row>
    <row r="207">
      <c r="A207" s="14" t="inlineStr">
        <is>
          <t>Logos</t>
        </is>
      </c>
      <c r="B207" s="14" t="inlineStr">
        <is>
          <t>Luise</t>
        </is>
      </c>
      <c r="C207" s="14" t="inlineStr">
        <is>
          <t>Nikolaus Heidelbach</t>
        </is>
      </c>
      <c r="D207" s="14" t="inlineStr">
        <is>
          <t>Albo Ciopi</t>
        </is>
      </c>
      <c r="E207" s="14" t="inlineStr">
        <is>
          <t>da 6 anni</t>
        </is>
      </c>
      <c r="F207" s="14" t="inlineStr">
        <is>
          <t>Prime letture (6-8)</t>
        </is>
      </c>
      <c r="G207" s="14" t="inlineStr">
        <is>
          <t>Albo illustrato</t>
        </is>
      </c>
      <c r="H207" s="14" t="inlineStr"/>
      <c r="I207" s="14" t="inlineStr">
        <is>
          <t>No</t>
        </is>
      </c>
      <c r="J207" s="14" t="inlineStr">
        <is>
          <t>Catalogo</t>
        </is>
      </c>
      <c r="K207" s="14" t="inlineStr">
        <is>
          <t>prime letture</t>
        </is>
      </c>
      <c r="L207" s="14" t="inlineStr">
        <is>
          <t>https://www.libri.it/3d/anteprima/luise/</t>
        </is>
      </c>
      <c r="M207" s="16" t="n">
        <v>18</v>
      </c>
      <c r="N207" s="14" t="inlineStr">
        <is>
          <t>Lista titoli Logos Edizioni 2026 (PVP)</t>
        </is>
      </c>
      <c r="O207" s="16">
        <f>IF(ISNUMBER(M207),ROUND(M207*(1-Condizioni!$B$2),2),"")</f>
        <v/>
      </c>
      <c r="P207" s="17" t="inlineStr">
        <is>
          <t>No</t>
        </is>
      </c>
    </row>
    <row r="208">
      <c r="A208" s="14" t="inlineStr">
        <is>
          <t>Logos</t>
        </is>
      </c>
      <c r="B208" s="14" t="inlineStr">
        <is>
          <t>Lungo È il Cammino</t>
        </is>
      </c>
      <c r="C208" s="14" t="inlineStr">
        <is>
          <t>Nicolás Arispe</t>
        </is>
      </c>
      <c r="D208" s="14" t="inlineStr">
        <is>
          <t>Albo Ciopi</t>
        </is>
      </c>
      <c r="E208" s="14" t="inlineStr">
        <is>
          <t>da 6 anni</t>
        </is>
      </c>
      <c r="F208" s="14" t="inlineStr">
        <is>
          <t>Prime letture (6-8)</t>
        </is>
      </c>
      <c r="G208" s="14" t="inlineStr">
        <is>
          <t>Albo illustrato</t>
        </is>
      </c>
      <c r="H208" s="14" t="inlineStr"/>
      <c r="I208" s="14" t="inlineStr">
        <is>
          <t>No</t>
        </is>
      </c>
      <c r="J208" s="14" t="inlineStr">
        <is>
          <t>Catalogo</t>
        </is>
      </c>
      <c r="K208" s="14" t="inlineStr">
        <is>
          <t>prime letture</t>
        </is>
      </c>
      <c r="L208" s="14" t="inlineStr">
        <is>
          <t>https://www.libri.it/lungo-e-il-cammino</t>
        </is>
      </c>
      <c r="M208" s="16" t="n">
        <v>14</v>
      </c>
      <c r="N208" s="14" t="inlineStr">
        <is>
          <t>Lista titoli Logos Edizioni 2026 (PVP)</t>
        </is>
      </c>
      <c r="O208" s="16">
        <f>IF(ISNUMBER(M208),ROUND(M208*(1-Condizioni!$B$2),2),"")</f>
        <v/>
      </c>
      <c r="P208" s="17" t="inlineStr">
        <is>
          <t>No</t>
        </is>
      </c>
    </row>
    <row r="209">
      <c r="A209" s="14" t="inlineStr">
        <is>
          <t>Logos</t>
        </is>
      </c>
      <c r="B209" s="14" t="inlineStr">
        <is>
          <t>L’Ape e il Fantasma dell’Alveare</t>
        </is>
      </c>
      <c r="C209" s="14" t="inlineStr">
        <is>
          <t>Gianumberto Accinelli; ill. Anna Paolini</t>
        </is>
      </c>
      <c r="D209" s="14" t="inlineStr">
        <is>
          <t>Gaia</t>
        </is>
      </c>
      <c r="E209" s="14" t="inlineStr">
        <is>
          <t>da 6 anni</t>
        </is>
      </c>
      <c r="F209" s="14" t="inlineStr">
        <is>
          <t>Prime letture (6-8)</t>
        </is>
      </c>
      <c r="G209" s="14" t="inlineStr">
        <is>
          <t>Albo illustrato</t>
        </is>
      </c>
      <c r="H209" s="14" t="inlineStr"/>
      <c r="I209" s="14" t="inlineStr">
        <is>
          <t>No</t>
        </is>
      </c>
      <c r="J209" s="14" t="inlineStr">
        <is>
          <t>Catalogo</t>
        </is>
      </c>
      <c r="K209" s="14" t="inlineStr">
        <is>
          <t>prime letture</t>
        </is>
      </c>
      <c r="L209" s="14" t="inlineStr">
        <is>
          <t>https://www.libri.it/ape-e-il-fantasma-dell-alveare</t>
        </is>
      </c>
      <c r="M209" s="16" t="n">
        <v>17</v>
      </c>
      <c r="N209" s="14" t="inlineStr">
        <is>
          <t>Lista titoli Logos Edizioni 2026 (PVP)</t>
        </is>
      </c>
      <c r="O209" s="16">
        <f>IF(ISNUMBER(M209),ROUND(M209*(1-Condizioni!$B$2),2),"")</f>
        <v/>
      </c>
      <c r="P209" s="17" t="inlineStr">
        <is>
          <t>No</t>
        </is>
      </c>
    </row>
    <row r="210">
      <c r="A210" s="14" t="inlineStr">
        <is>
          <t>Logos</t>
        </is>
      </c>
      <c r="B210" s="14" t="inlineStr">
        <is>
          <t>L’Orso e il Sasso</t>
        </is>
      </c>
      <c r="C210" s="14" t="inlineStr">
        <is>
          <t>Victoria Pérez Escrivá; ill. Ester García</t>
        </is>
      </c>
      <c r="D210" s="14" t="inlineStr">
        <is>
          <t>Albo Ciopi</t>
        </is>
      </c>
      <c r="E210" s="14" t="inlineStr">
        <is>
          <t>da 6 anni</t>
        </is>
      </c>
      <c r="F210" s="14" t="inlineStr">
        <is>
          <t>Prime letture (6-8)</t>
        </is>
      </c>
      <c r="G210" s="14" t="inlineStr">
        <is>
          <t>Albo illustrato</t>
        </is>
      </c>
      <c r="H210" s="14" t="inlineStr"/>
      <c r="I210" s="14" t="inlineStr">
        <is>
          <t>No</t>
        </is>
      </c>
      <c r="J210" s="14" t="inlineStr">
        <is>
          <t>Catalogo</t>
        </is>
      </c>
      <c r="K210" s="14" t="inlineStr">
        <is>
          <t>prime letture</t>
        </is>
      </c>
      <c r="L210" s="14" t="inlineStr">
        <is>
          <t>https://www.libri.it/orso-e-il-sasso</t>
        </is>
      </c>
      <c r="M210" s="16" t="n">
        <v>17</v>
      </c>
      <c r="N210" s="14" t="inlineStr">
        <is>
          <t>Lista titoli Logos Edizioni 2026 (PVP)</t>
        </is>
      </c>
      <c r="O210" s="16">
        <f>IF(ISNUMBER(M210),ROUND(M210*(1-Condizioni!$B$2),2),"")</f>
        <v/>
      </c>
      <c r="P210" s="17" t="inlineStr">
        <is>
          <t>No</t>
        </is>
      </c>
    </row>
    <row r="211">
      <c r="A211" s="14" t="inlineStr">
        <is>
          <t>Logos</t>
        </is>
      </c>
      <c r="B211" s="14" t="inlineStr">
        <is>
          <t>Mademoiselle Sophie</t>
        </is>
      </c>
      <c r="C211" s="14" t="inlineStr">
        <is>
          <t>Zabus &amp; Hippolyte</t>
        </is>
      </c>
      <c r="D211" s="14" t="inlineStr">
        <is>
          <t>Fumetto Ciopi</t>
        </is>
      </c>
      <c r="E211" s="14" t="inlineStr">
        <is>
          <t>da 6 anni</t>
        </is>
      </c>
      <c r="F211" s="14" t="inlineStr">
        <is>
          <t>Prime letture (6-8)</t>
        </is>
      </c>
      <c r="G211" s="14" t="inlineStr">
        <is>
          <t>Graphic novel/Fumetto</t>
        </is>
      </c>
      <c r="H211" s="14" t="inlineStr"/>
      <c r="I211" s="14" t="inlineStr">
        <is>
          <t>No</t>
        </is>
      </c>
      <c r="J211" s="14" t="inlineStr">
        <is>
          <t>Catalogo</t>
        </is>
      </c>
      <c r="K211" s="14" t="inlineStr">
        <is>
          <t>prime letture</t>
        </is>
      </c>
      <c r="L211" s="14" t="inlineStr">
        <is>
          <t>https://www.libri.it/sophie</t>
        </is>
      </c>
      <c r="M211" s="16" t="n">
        <v>22</v>
      </c>
      <c r="N211" s="14" t="inlineStr">
        <is>
          <t>Lista titoli Logos Edizioni 2026 (PVP)</t>
        </is>
      </c>
      <c r="O211" s="16">
        <f>IF(ISNUMBER(M211),ROUND(M211*(1-Condizioni!$B$2),2),"")</f>
        <v/>
      </c>
      <c r="P211" s="17" t="inlineStr">
        <is>
          <t>No</t>
        </is>
      </c>
    </row>
    <row r="212">
      <c r="A212" s="14" t="inlineStr">
        <is>
          <t>Logos</t>
        </is>
      </c>
      <c r="B212" s="14" t="inlineStr">
        <is>
          <t>Marina</t>
        </is>
      </c>
      <c r="C212" s="14" t="inlineStr">
        <is>
          <t>Nikolaus Heidelbach; ill. Nikolaus Heidelback</t>
        </is>
      </c>
      <c r="D212" s="14" t="inlineStr">
        <is>
          <t>Albo Ciopi</t>
        </is>
      </c>
      <c r="E212" s="14" t="inlineStr">
        <is>
          <t>da 6 anni</t>
        </is>
      </c>
      <c r="F212" s="14" t="inlineStr">
        <is>
          <t>Prime letture (6-8)</t>
        </is>
      </c>
      <c r="G212" s="14" t="inlineStr">
        <is>
          <t>Albo illustrato</t>
        </is>
      </c>
      <c r="H212" s="14" t="inlineStr"/>
      <c r="I212" s="14" t="inlineStr">
        <is>
          <t>No</t>
        </is>
      </c>
      <c r="J212" s="14" t="inlineStr">
        <is>
          <t>Catalogo</t>
        </is>
      </c>
      <c r="K212" s="14" t="inlineStr">
        <is>
          <t>prime letture</t>
        </is>
      </c>
      <c r="L212" s="14" t="inlineStr">
        <is>
          <t>https://www.libri.it/marina</t>
        </is>
      </c>
      <c r="M212" s="16" t="n">
        <v>18</v>
      </c>
      <c r="N212" s="14" t="inlineStr">
        <is>
          <t>Lista titoli Logos Edizioni 2026 (PVP)</t>
        </is>
      </c>
      <c r="O212" s="16">
        <f>IF(ISNUMBER(M212),ROUND(M212*(1-Condizioni!$B$2),2),"")</f>
        <v/>
      </c>
      <c r="P212" s="17" t="inlineStr">
        <is>
          <t>No</t>
        </is>
      </c>
    </row>
    <row r="213">
      <c r="A213" s="14" t="inlineStr">
        <is>
          <t>Logos</t>
        </is>
      </c>
      <c r="B213" s="14" t="inlineStr">
        <is>
          <t>Matrioska</t>
        </is>
      </c>
      <c r="C213" s="14" t="inlineStr">
        <is>
          <t>Dimiter Inkiow; ill. Anna Paolini</t>
        </is>
      </c>
      <c r="D213" s="14" t="inlineStr">
        <is>
          <t>Biblioteca Ciopi</t>
        </is>
      </c>
      <c r="E213" s="14" t="inlineStr">
        <is>
          <t>da 6 anni</t>
        </is>
      </c>
      <c r="F213" s="14" t="inlineStr">
        <is>
          <t>Prime letture (6-8)</t>
        </is>
      </c>
      <c r="G213" s="14" t="inlineStr">
        <is>
          <t>Narrativa</t>
        </is>
      </c>
      <c r="H213" s="14" t="inlineStr"/>
      <c r="I213" s="14" t="inlineStr">
        <is>
          <t>No</t>
        </is>
      </c>
      <c r="J213" s="14" t="inlineStr">
        <is>
          <t>Catalogo</t>
        </is>
      </c>
      <c r="K213" s="14" t="inlineStr">
        <is>
          <t>prime letture, narrativa</t>
        </is>
      </c>
      <c r="L213" s="14" t="inlineStr">
        <is>
          <t>https://www.libri.it/matrioska</t>
        </is>
      </c>
      <c r="M213" s="16" t="n">
        <v>8</v>
      </c>
      <c r="N213" s="14" t="inlineStr">
        <is>
          <t>Lista titoli Logos Edizioni 2026 (PVP)</t>
        </is>
      </c>
      <c r="O213" s="16">
        <f>IF(ISNUMBER(M213),ROUND(M213*(1-Condizioni!$B$2),2),"")</f>
        <v/>
      </c>
      <c r="P213" s="17" t="inlineStr">
        <is>
          <t>No</t>
        </is>
      </c>
    </row>
    <row r="214">
      <c r="A214" s="14" t="inlineStr">
        <is>
          <t>Logos</t>
        </is>
      </c>
      <c r="B214" s="14" t="inlineStr">
        <is>
          <t>Migranti</t>
        </is>
      </c>
      <c r="C214" s="14" t="inlineStr">
        <is>
          <t>Issa Watanabe; ill. Issa Watanabe</t>
        </is>
      </c>
      <c r="D214" s="14" t="inlineStr">
        <is>
          <t>Albo Ciopi</t>
        </is>
      </c>
      <c r="E214" s="14" t="inlineStr">
        <is>
          <t>da 6 anni</t>
        </is>
      </c>
      <c r="F214" s="14" t="inlineStr">
        <is>
          <t>Prime letture (6-8)</t>
        </is>
      </c>
      <c r="G214" s="14" t="inlineStr">
        <is>
          <t>Albo illustrato</t>
        </is>
      </c>
      <c r="H214" s="14" t="inlineStr"/>
      <c r="I214" s="14" t="inlineStr">
        <is>
          <t>No</t>
        </is>
      </c>
      <c r="J214" s="14" t="inlineStr">
        <is>
          <t>Catalogo</t>
        </is>
      </c>
      <c r="K214" s="14" t="inlineStr">
        <is>
          <t>prime letture</t>
        </is>
      </c>
      <c r="L214" s="14" t="inlineStr">
        <is>
          <t>https://www.libri.it/migranti</t>
        </is>
      </c>
      <c r="M214" s="16" t="n">
        <v>17</v>
      </c>
      <c r="N214" s="14" t="inlineStr">
        <is>
          <t>Lista titoli Logos Edizioni 2026 (PVP)</t>
        </is>
      </c>
      <c r="O214" s="16">
        <f>IF(ISNUMBER(M214),ROUND(M214*(1-Condizioni!$B$2),2),"")</f>
        <v/>
      </c>
      <c r="P214" s="17" t="inlineStr">
        <is>
          <t>No</t>
        </is>
      </c>
    </row>
    <row r="215">
      <c r="A215" s="14" t="inlineStr">
        <is>
          <t>Logos</t>
        </is>
      </c>
      <c r="B215" s="14" t="inlineStr">
        <is>
          <t>Mistero nel Bosco</t>
        </is>
      </c>
      <c r="C215" s="14" t="inlineStr">
        <is>
          <t>Susanna Isern; ill. Daniel Montero Galán</t>
        </is>
      </c>
      <c r="D215" s="14" t="inlineStr">
        <is>
          <t>Albo Ciopi</t>
        </is>
      </c>
      <c r="E215" s="14" t="inlineStr">
        <is>
          <t>da 6 anni</t>
        </is>
      </c>
      <c r="F215" s="14" t="inlineStr">
        <is>
          <t>Prime letture (6-8)</t>
        </is>
      </c>
      <c r="G215" s="14" t="inlineStr">
        <is>
          <t>Albo illustrato</t>
        </is>
      </c>
      <c r="H215" s="14" t="inlineStr"/>
      <c r="I215" s="14" t="inlineStr">
        <is>
          <t>No</t>
        </is>
      </c>
      <c r="J215" s="14" t="inlineStr">
        <is>
          <t>Catalogo</t>
        </is>
      </c>
      <c r="K215" s="14" t="inlineStr">
        <is>
          <t>prime letture</t>
        </is>
      </c>
      <c r="L215" s="14" t="inlineStr">
        <is>
          <t>https://www.libri.it/mistero-nel-bosco</t>
        </is>
      </c>
      <c r="M215" s="16" t="n">
        <v>15</v>
      </c>
      <c r="N215" s="14" t="inlineStr">
        <is>
          <t>Lista titoli Logos Edizioni 2026 (PVP)</t>
        </is>
      </c>
      <c r="O215" s="16">
        <f>IF(ISNUMBER(M215),ROUND(M215*(1-Condizioni!$B$2),2),"")</f>
        <v/>
      </c>
      <c r="P215" s="17" t="inlineStr">
        <is>
          <t>No</t>
        </is>
      </c>
    </row>
    <row r="216">
      <c r="A216" s="14" t="inlineStr">
        <is>
          <t>Logos</t>
        </is>
      </c>
      <c r="B216" s="14" t="inlineStr">
        <is>
          <t>Mondo Crudele</t>
        </is>
      </c>
      <c r="C216" s="14" t="inlineStr">
        <is>
          <t>Ellen Duthie; ill. Daniela Martagón</t>
        </is>
      </c>
      <c r="D216" s="14" t="inlineStr">
        <is>
          <t>Wonder Ponder</t>
        </is>
      </c>
      <c r="E216" s="14" t="inlineStr">
        <is>
          <t>da 6 anni</t>
        </is>
      </c>
      <c r="F216" s="14" t="inlineStr">
        <is>
          <t>Prime letture (6-8)</t>
        </is>
      </c>
      <c r="G216" s="14" t="inlineStr">
        <is>
          <t>Albo illustrato</t>
        </is>
      </c>
      <c r="H216" s="14" t="inlineStr"/>
      <c r="I216" s="14" t="inlineStr">
        <is>
          <t>No</t>
        </is>
      </c>
      <c r="J216" s="14" t="inlineStr">
        <is>
          <t>Catalogo</t>
        </is>
      </c>
      <c r="K216" s="14" t="inlineStr">
        <is>
          <t>prime letture</t>
        </is>
      </c>
      <c r="L216" s="14" t="inlineStr">
        <is>
          <t>https://www.libri.it/mondo-crudele</t>
        </is>
      </c>
      <c r="M216" s="16" t="n">
        <v>12</v>
      </c>
      <c r="N216" s="14" t="inlineStr">
        <is>
          <t>Lista titoli Logos Edizioni 2026 (PVP)</t>
        </is>
      </c>
      <c r="O216" s="16">
        <f>IF(ISNUMBER(M216),ROUND(M216*(1-Condizioni!$B$2),2),"")</f>
        <v/>
      </c>
      <c r="P216" s="17" t="inlineStr">
        <is>
          <t>No</t>
        </is>
      </c>
    </row>
    <row r="217">
      <c r="A217" s="14" t="inlineStr">
        <is>
          <t>Logos</t>
        </is>
      </c>
      <c r="B217" s="14" t="inlineStr">
        <is>
          <t>Neve, Neve e Ancora Tanta Neve</t>
        </is>
      </c>
      <c r="C217" s="14" t="inlineStr">
        <is>
          <t>Xosé  Cermeño; ill. Giulia Pintus</t>
        </is>
      </c>
      <c r="D217" s="14" t="inlineStr">
        <is>
          <t>Biblioteca Ciopi</t>
        </is>
      </c>
      <c r="E217" s="14" t="inlineStr">
        <is>
          <t>da 6 anni</t>
        </is>
      </c>
      <c r="F217" s="14" t="inlineStr">
        <is>
          <t>Prime letture (6-8)</t>
        </is>
      </c>
      <c r="G217" s="14" t="inlineStr">
        <is>
          <t>Narrativa</t>
        </is>
      </c>
      <c r="H217" s="14" t="inlineStr"/>
      <c r="I217" s="14" t="inlineStr">
        <is>
          <t>No</t>
        </is>
      </c>
      <c r="J217" s="14" t="inlineStr">
        <is>
          <t>Catalogo</t>
        </is>
      </c>
      <c r="K217" s="14" t="inlineStr">
        <is>
          <t>prime letture, narrativa</t>
        </is>
      </c>
      <c r="L217" s="14" t="inlineStr">
        <is>
          <t>https://www.libri.it/neve-neve-e-ancora-tanta-neve</t>
        </is>
      </c>
      <c r="M217" s="16" t="n">
        <v>9</v>
      </c>
      <c r="N217" s="14" t="inlineStr">
        <is>
          <t>Lista titoli Logos Edizioni 2026 (PVP)</t>
        </is>
      </c>
      <c r="O217" s="16">
        <f>IF(ISNUMBER(M217),ROUND(M217*(1-Condizioni!$B$2),2),"")</f>
        <v/>
      </c>
      <c r="P217" s="17" t="inlineStr">
        <is>
          <t>No</t>
        </is>
      </c>
    </row>
    <row r="218">
      <c r="A218" s="14" t="inlineStr">
        <is>
          <t>Logos</t>
        </is>
      </c>
      <c r="B218" s="14" t="inlineStr">
        <is>
          <t>Non Voglio Stare Qui</t>
        </is>
      </c>
      <c r="C218" s="14" t="inlineStr">
        <is>
          <t>Lawrence Schimel; ill. Israel Barrón</t>
        </is>
      </c>
      <c r="D218" s="14" t="inlineStr">
        <is>
          <t>Albo Ciopi</t>
        </is>
      </c>
      <c r="E218" s="14" t="inlineStr">
        <is>
          <t>da 6 anni</t>
        </is>
      </c>
      <c r="F218" s="14" t="inlineStr">
        <is>
          <t>Prime letture (6-8)</t>
        </is>
      </c>
      <c r="G218" s="14" t="inlineStr">
        <is>
          <t>Albo illustrato</t>
        </is>
      </c>
      <c r="H218" s="14" t="inlineStr"/>
      <c r="I218" s="14" t="inlineStr">
        <is>
          <t>No</t>
        </is>
      </c>
      <c r="J218" s="14" t="inlineStr">
        <is>
          <t>Catalogo</t>
        </is>
      </c>
      <c r="K218" s="14" t="inlineStr">
        <is>
          <t>prime letture</t>
        </is>
      </c>
      <c r="L218" s="14" t="inlineStr">
        <is>
          <t>https://www.libri.it/non-voglio-stare-qui</t>
        </is>
      </c>
      <c r="M218" s="16" t="n">
        <v>17</v>
      </c>
      <c r="N218" s="14" t="inlineStr">
        <is>
          <t>Lista titoli Logos Edizioni 2026 (PVP)</t>
        </is>
      </c>
      <c r="O218" s="16">
        <f>IF(ISNUMBER(M218),ROUND(M218*(1-Condizioni!$B$2),2),"")</f>
        <v/>
      </c>
      <c r="P218" s="17" t="inlineStr">
        <is>
          <t>No</t>
        </is>
      </c>
    </row>
    <row r="219">
      <c r="A219" s="14" t="inlineStr">
        <is>
          <t>Logos</t>
        </is>
      </c>
      <c r="B219" s="14" t="inlineStr">
        <is>
          <t>Nonnina e il Lupo</t>
        </is>
      </c>
      <c r="C219" s="14" t="inlineStr">
        <is>
          <t>Sofía Luminosa; ill. Israel Barrón</t>
        </is>
      </c>
      <c r="D219" s="14" t="inlineStr">
        <is>
          <t>Biblioteca Ciopi</t>
        </is>
      </c>
      <c r="E219" s="14" t="inlineStr">
        <is>
          <t>da 6 anni</t>
        </is>
      </c>
      <c r="F219" s="14" t="inlineStr">
        <is>
          <t>Prime letture (6-8)</t>
        </is>
      </c>
      <c r="G219" s="14" t="inlineStr">
        <is>
          <t>Narrativa</t>
        </is>
      </c>
      <c r="H219" s="14" t="inlineStr"/>
      <c r="I219" s="14" t="inlineStr">
        <is>
          <t>No</t>
        </is>
      </c>
      <c r="J219" s="14" t="inlineStr">
        <is>
          <t>Catalogo</t>
        </is>
      </c>
      <c r="K219" s="14" t="inlineStr">
        <is>
          <t>prime letture, narrativa</t>
        </is>
      </c>
      <c r="L219" s="14" t="inlineStr">
        <is>
          <t>https://www.libri.it/nonnina-e-il-lupo</t>
        </is>
      </c>
      <c r="M219" s="16" t="n">
        <v>9</v>
      </c>
      <c r="N219" s="14" t="inlineStr">
        <is>
          <t>Lista titoli Logos Edizioni 2026 (PVP)</t>
        </is>
      </c>
      <c r="O219" s="16">
        <f>IF(ISNUMBER(M219),ROUND(M219*(1-Condizioni!$B$2),2),"")</f>
        <v/>
      </c>
      <c r="P219" s="17" t="inlineStr">
        <is>
          <t>No</t>
        </is>
      </c>
    </row>
    <row r="220">
      <c r="A220" s="14" t="inlineStr">
        <is>
          <t>Logos</t>
        </is>
      </c>
      <c r="B220" s="14" t="inlineStr">
        <is>
          <t>Papà Ha Perso la Testa</t>
        </is>
      </c>
      <c r="C220" s="14" t="inlineStr">
        <is>
          <t>André Bouchard; ill. Quentin Blake</t>
        </is>
      </c>
      <c r="D220" s="14" t="inlineStr">
        <is>
          <t>Albo Ciopi</t>
        </is>
      </c>
      <c r="E220" s="14" t="inlineStr">
        <is>
          <t>da 6 anni</t>
        </is>
      </c>
      <c r="F220" s="14" t="inlineStr">
        <is>
          <t>Prime letture (6-8)</t>
        </is>
      </c>
      <c r="G220" s="14" t="inlineStr">
        <is>
          <t>Albo illustrato</t>
        </is>
      </c>
      <c r="H220" s="14" t="inlineStr"/>
      <c r="I220" s="14" t="inlineStr">
        <is>
          <t>No</t>
        </is>
      </c>
      <c r="J220" s="14" t="inlineStr">
        <is>
          <t>Catalogo</t>
        </is>
      </c>
      <c r="K220" s="14" t="inlineStr">
        <is>
          <t>prime letture</t>
        </is>
      </c>
      <c r="L220" s="14" t="inlineStr">
        <is>
          <t>https://www.libri.it/papa-ha-perso-la-testa</t>
        </is>
      </c>
      <c r="M220" s="16" t="n">
        <v>18</v>
      </c>
      <c r="N220" s="14" t="inlineStr">
        <is>
          <t>Lista titoli Logos Edizioni 2026 (PVP)</t>
        </is>
      </c>
      <c r="O220" s="16">
        <f>IF(ISNUMBER(M220),ROUND(M220*(1-Condizioni!$B$2),2),"")</f>
        <v/>
      </c>
      <c r="P220" s="17" t="inlineStr">
        <is>
          <t>No</t>
        </is>
      </c>
    </row>
    <row r="221">
      <c r="A221" s="14" t="inlineStr">
        <is>
          <t>Logos</t>
        </is>
      </c>
      <c r="B221" s="14" t="inlineStr">
        <is>
          <t>Papà e le Pozzanghere</t>
        </is>
      </c>
      <c r="C221" s="14" t="inlineStr">
        <is>
          <t>Lawrence Schimel; ill. Israel Barrón</t>
        </is>
      </c>
      <c r="D221" s="14" t="inlineStr">
        <is>
          <t>Biblioteca Ciopi</t>
        </is>
      </c>
      <c r="E221" s="14" t="inlineStr">
        <is>
          <t>da 6 anni</t>
        </is>
      </c>
      <c r="F221" s="14" t="inlineStr">
        <is>
          <t>Prime letture (6-8)</t>
        </is>
      </c>
      <c r="G221" s="14" t="inlineStr">
        <is>
          <t>Narrativa</t>
        </is>
      </c>
      <c r="H221" s="14" t="inlineStr"/>
      <c r="I221" s="14" t="inlineStr">
        <is>
          <t>No</t>
        </is>
      </c>
      <c r="J221" s="14" t="inlineStr">
        <is>
          <t>Catalogo</t>
        </is>
      </c>
      <c r="K221" s="14" t="inlineStr">
        <is>
          <t>prime letture, narrativa</t>
        </is>
      </c>
      <c r="L221" s="14" t="inlineStr">
        <is>
          <t>https://www.libri.it/papa-e-le-pozzanghere</t>
        </is>
      </c>
      <c r="M221" s="16" t="n">
        <v>8</v>
      </c>
      <c r="N221" s="14" t="inlineStr">
        <is>
          <t>Lista titoli Logos Edizioni 2026 (PVP)</t>
        </is>
      </c>
      <c r="O221" s="16">
        <f>IF(ISNUMBER(M221),ROUND(M221*(1-Condizioni!$B$2),2),"")</f>
        <v/>
      </c>
      <c r="P221" s="17" t="inlineStr">
        <is>
          <t>No</t>
        </is>
      </c>
    </row>
    <row r="222">
      <c r="A222" s="14" t="inlineStr">
        <is>
          <t>Logos</t>
        </is>
      </c>
      <c r="B222" s="14" t="inlineStr">
        <is>
          <t>Patatrac!</t>
        </is>
      </c>
      <c r="C222" s="14" t="inlineStr">
        <is>
          <t>Guillaume Long</t>
        </is>
      </c>
      <c r="D222" s="14" t="inlineStr">
        <is>
          <t>Fumetto Ciopi</t>
        </is>
      </c>
      <c r="E222" s="14" t="inlineStr">
        <is>
          <t>da 6 anni</t>
        </is>
      </c>
      <c r="F222" s="14" t="inlineStr">
        <is>
          <t>Prime letture (6-8)</t>
        </is>
      </c>
      <c r="G222" s="14" t="inlineStr">
        <is>
          <t>Graphic novel/Fumetto</t>
        </is>
      </c>
      <c r="H222" s="14" t="inlineStr"/>
      <c r="I222" s="14" t="inlineStr">
        <is>
          <t>No</t>
        </is>
      </c>
      <c r="J222" s="14" t="inlineStr">
        <is>
          <t>Catalogo</t>
        </is>
      </c>
      <c r="K222" s="14" t="inlineStr">
        <is>
          <t>prime letture</t>
        </is>
      </c>
      <c r="L222" s="14" t="inlineStr">
        <is>
          <t>https://www.libri.it/patatrac</t>
        </is>
      </c>
      <c r="M222" s="16" t="n">
        <v>13</v>
      </c>
      <c r="N222" s="14" t="inlineStr">
        <is>
          <t>Lista titoli Logos Edizioni 2026 (PVP)</t>
        </is>
      </c>
      <c r="O222" s="16">
        <f>IF(ISNUMBER(M222),ROUND(M222*(1-Condizioni!$B$2),2),"")</f>
        <v/>
      </c>
      <c r="P222" s="17" t="inlineStr">
        <is>
          <t>No</t>
        </is>
      </c>
    </row>
    <row r="223">
      <c r="A223" s="14" t="inlineStr">
        <is>
          <t>Logos</t>
        </is>
      </c>
      <c r="B223" s="14" t="inlineStr">
        <is>
          <t>Piccole Storie di Natale</t>
        </is>
      </c>
      <c r="C223" s="14" t="inlineStr">
        <is>
          <t>S. Corinna Bille; ill. Anna Paolini</t>
        </is>
      </c>
      <c r="D223" s="14" t="inlineStr">
        <is>
          <t>Biblioteca Ciopi</t>
        </is>
      </c>
      <c r="E223" s="14" t="inlineStr">
        <is>
          <t>da 6 anni</t>
        </is>
      </c>
      <c r="F223" s="14" t="inlineStr">
        <is>
          <t>Prime letture (6-8)</t>
        </is>
      </c>
      <c r="G223" s="14" t="inlineStr">
        <is>
          <t>Narrativa</t>
        </is>
      </c>
      <c r="H223" s="14" t="inlineStr"/>
      <c r="I223" s="14" t="inlineStr">
        <is>
          <t>No</t>
        </is>
      </c>
      <c r="J223" s="14" t="inlineStr">
        <is>
          <t>Catalogo</t>
        </is>
      </c>
      <c r="K223" s="14" t="inlineStr">
        <is>
          <t>prime letture, narrativa</t>
        </is>
      </c>
      <c r="L223" s="14" t="inlineStr">
        <is>
          <t>https://www.libri.it/piccole-storie-di-natale</t>
        </is>
      </c>
      <c r="M223" s="16" t="n">
        <v>10</v>
      </c>
      <c r="N223" s="14" t="inlineStr">
        <is>
          <t>Lista titoli Logos Edizioni 2026 (PVP)</t>
        </is>
      </c>
      <c r="O223" s="16">
        <f>IF(ISNUMBER(M223),ROUND(M223*(1-Condizioni!$B$2),2),"")</f>
        <v/>
      </c>
      <c r="P223" s="17" t="inlineStr">
        <is>
          <t>No</t>
        </is>
      </c>
    </row>
    <row r="224">
      <c r="A224" s="14" t="inlineStr">
        <is>
          <t>Logos</t>
        </is>
      </c>
      <c r="B224" s="14" t="inlineStr">
        <is>
          <t>Pirata Novello!</t>
        </is>
      </c>
      <c r="C224" s="14" t="inlineStr">
        <is>
          <t>Lionel Richerand</t>
        </is>
      </c>
      <c r="D224" s="14" t="inlineStr">
        <is>
          <t>Fumetto Ciopi</t>
        </is>
      </c>
      <c r="E224" s="14" t="inlineStr">
        <is>
          <t>da 6 anni</t>
        </is>
      </c>
      <c r="F224" s="14" t="inlineStr">
        <is>
          <t>Prime letture (6-8)</t>
        </is>
      </c>
      <c r="G224" s="14" t="inlineStr">
        <is>
          <t>Graphic novel/Fumetto</t>
        </is>
      </c>
      <c r="H224" s="14" t="inlineStr"/>
      <c r="I224" s="14" t="inlineStr">
        <is>
          <t>No</t>
        </is>
      </c>
      <c r="J224" s="14" t="inlineStr">
        <is>
          <t>Catalogo</t>
        </is>
      </c>
      <c r="K224" s="14" t="inlineStr">
        <is>
          <t>prime letture</t>
        </is>
      </c>
      <c r="L224" s="14" t="inlineStr">
        <is>
          <t>https://www.libri.it/pirata-novello</t>
        </is>
      </c>
      <c r="M224" s="16" t="n">
        <v>12</v>
      </c>
      <c r="N224" s="14" t="inlineStr">
        <is>
          <t>Lista titoli Logos Edizioni 2026 (PVP)</t>
        </is>
      </c>
      <c r="O224" s="16">
        <f>IF(ISNUMBER(M224),ROUND(M224*(1-Condizioni!$B$2),2),"")</f>
        <v/>
      </c>
      <c r="P224" s="17" t="inlineStr">
        <is>
          <t>No</t>
        </is>
      </c>
    </row>
    <row r="225">
      <c r="A225" s="14" t="inlineStr">
        <is>
          <t>Logos</t>
        </is>
      </c>
      <c r="B225" s="14" t="inlineStr">
        <is>
          <t>Pirulì</t>
        </is>
      </c>
      <c r="C225" s="14" t="inlineStr">
        <is>
          <t>Isabel Córdova Rosas; ill. Alessandra Manfredi</t>
        </is>
      </c>
      <c r="D225" s="14" t="inlineStr">
        <is>
          <t>Biblioteca Ciopi</t>
        </is>
      </c>
      <c r="E225" s="14" t="inlineStr">
        <is>
          <t>da 6 anni</t>
        </is>
      </c>
      <c r="F225" s="14" t="inlineStr">
        <is>
          <t>Prime letture (6-8)</t>
        </is>
      </c>
      <c r="G225" s="14" t="inlineStr">
        <is>
          <t>Narrativa</t>
        </is>
      </c>
      <c r="H225" s="14" t="inlineStr"/>
      <c r="I225" s="14" t="inlineStr">
        <is>
          <t>No</t>
        </is>
      </c>
      <c r="J225" s="14" t="inlineStr">
        <is>
          <t>Catalogo</t>
        </is>
      </c>
      <c r="K225" s="14" t="inlineStr">
        <is>
          <t>prime letture, narrativa</t>
        </is>
      </c>
      <c r="L225" s="14" t="inlineStr">
        <is>
          <t>https://www.libri.it/piruli</t>
        </is>
      </c>
      <c r="M225" s="16" t="n">
        <v>8</v>
      </c>
      <c r="N225" s="14" t="inlineStr">
        <is>
          <t>Lista titoli Logos Edizioni 2026 (PVP)</t>
        </is>
      </c>
      <c r="O225" s="16">
        <f>IF(ISNUMBER(M225),ROUND(M225*(1-Condizioni!$B$2),2),"")</f>
        <v/>
      </c>
      <c r="P225" s="17" t="inlineStr">
        <is>
          <t>No</t>
        </is>
      </c>
    </row>
    <row r="226">
      <c r="A226" s="14" t="inlineStr">
        <is>
          <t>Logos</t>
        </is>
      </c>
      <c r="B226" s="14" t="inlineStr">
        <is>
          <t>Pizzicami</t>
        </is>
      </c>
      <c r="C226" s="14" t="inlineStr">
        <is>
          <t>Ellen Duthie; ill. Daniela Martagón</t>
        </is>
      </c>
      <c r="D226" s="14" t="inlineStr">
        <is>
          <t>Wonder Ponder</t>
        </is>
      </c>
      <c r="E226" s="14" t="inlineStr">
        <is>
          <t>da 6 anni</t>
        </is>
      </c>
      <c r="F226" s="14" t="inlineStr">
        <is>
          <t>Prime letture (6-8)</t>
        </is>
      </c>
      <c r="G226" s="14" t="inlineStr">
        <is>
          <t>Albo illustrato</t>
        </is>
      </c>
      <c r="H226" s="14" t="inlineStr"/>
      <c r="I226" s="14" t="inlineStr">
        <is>
          <t>No</t>
        </is>
      </c>
      <c r="J226" s="14" t="inlineStr">
        <is>
          <t>Catalogo</t>
        </is>
      </c>
      <c r="K226" s="14" t="inlineStr">
        <is>
          <t>prime letture</t>
        </is>
      </c>
      <c r="L226" s="14" t="inlineStr">
        <is>
          <t>https://www.libri.it/pizzicami</t>
        </is>
      </c>
      <c r="M226" s="16" t="n">
        <v>12</v>
      </c>
      <c r="N226" s="14" t="inlineStr">
        <is>
          <t>Lista titoli Logos Edizioni 2026 (PVP)</t>
        </is>
      </c>
      <c r="O226" s="16">
        <f>IF(ISNUMBER(M226),ROUND(M226*(1-Condizioni!$B$2),2),"")</f>
        <v/>
      </c>
      <c r="P226" s="17" t="inlineStr">
        <is>
          <t>No</t>
        </is>
      </c>
    </row>
    <row r="227">
      <c r="A227" s="14" t="inlineStr">
        <is>
          <t>Logos</t>
        </is>
      </c>
      <c r="B227" s="14" t="inlineStr">
        <is>
          <t>Pollicino</t>
        </is>
      </c>
      <c r="C227" s="14" t="inlineStr">
        <is>
          <t>Agnès Ledig; ill. Frédéric Pillot</t>
        </is>
      </c>
      <c r="D227" s="14" t="inlineStr">
        <is>
          <t>Albo Ciopi</t>
        </is>
      </c>
      <c r="E227" s="14" t="inlineStr">
        <is>
          <t>da 6 anni</t>
        </is>
      </c>
      <c r="F227" s="14" t="inlineStr">
        <is>
          <t>Prime letture (6-8)</t>
        </is>
      </c>
      <c r="G227" s="14" t="inlineStr">
        <is>
          <t>Albo illustrato</t>
        </is>
      </c>
      <c r="H227" s="14" t="inlineStr"/>
      <c r="I227" s="14" t="inlineStr">
        <is>
          <t>No</t>
        </is>
      </c>
      <c r="J227" s="14" t="inlineStr">
        <is>
          <t>Catalogo</t>
        </is>
      </c>
      <c r="K227" s="14" t="inlineStr">
        <is>
          <t>prime letture</t>
        </is>
      </c>
      <c r="L227" s="14" t="inlineStr">
        <is>
          <t>https://www.libri.it/pollicino</t>
        </is>
      </c>
      <c r="M227" s="16" t="n">
        <v>18</v>
      </c>
      <c r="N227" s="14" t="inlineStr">
        <is>
          <t>Lista titoli Logos Edizioni 2026 (PVP)</t>
        </is>
      </c>
      <c r="O227" s="16">
        <f>IF(ISNUMBER(M227),ROUND(M227*(1-Condizioni!$B$2),2),"")</f>
        <v/>
      </c>
      <c r="P227" s="17" t="inlineStr">
        <is>
          <t>No</t>
        </is>
      </c>
    </row>
    <row r="228">
      <c r="A228" s="14" t="inlineStr">
        <is>
          <t>Logos</t>
        </is>
      </c>
      <c r="B228" s="14" t="inlineStr">
        <is>
          <t>Quando Dormo la Notte</t>
        </is>
      </c>
      <c r="C228" s="14" t="inlineStr">
        <is>
          <t>Ronald Curchod</t>
        </is>
      </c>
      <c r="D228" s="14" t="inlineStr">
        <is>
          <t>Albo Ciopi</t>
        </is>
      </c>
      <c r="E228" s="14" t="inlineStr">
        <is>
          <t>da 6 anni</t>
        </is>
      </c>
      <c r="F228" s="14" t="inlineStr">
        <is>
          <t>Prime letture (6-8)</t>
        </is>
      </c>
      <c r="G228" s="14" t="inlineStr">
        <is>
          <t>Albo illustrato</t>
        </is>
      </c>
      <c r="H228" s="14" t="inlineStr"/>
      <c r="I228" s="14" t="inlineStr">
        <is>
          <t>No</t>
        </is>
      </c>
      <c r="J228" s="14" t="inlineStr">
        <is>
          <t>Catalogo</t>
        </is>
      </c>
      <c r="K228" s="14" t="inlineStr">
        <is>
          <t>prime letture</t>
        </is>
      </c>
      <c r="L228" s="14" t="inlineStr">
        <is>
          <t>https://www.libri.it/quando-dormo-la-notte</t>
        </is>
      </c>
      <c r="M228" s="16" t="n">
        <v>18</v>
      </c>
      <c r="N228" s="14" t="inlineStr">
        <is>
          <t>Lista titoli Logos Edizioni 2026 (PVP)</t>
        </is>
      </c>
      <c r="O228" s="16">
        <f>IF(ISNUMBER(M228),ROUND(M228*(1-Condizioni!$B$2),2),"")</f>
        <v/>
      </c>
      <c r="P228" s="17" t="inlineStr">
        <is>
          <t>No</t>
        </is>
      </c>
    </row>
    <row r="229">
      <c r="A229" s="14" t="inlineStr">
        <is>
          <t>Logos</t>
        </is>
      </c>
      <c r="B229" s="14" t="inlineStr">
        <is>
          <t>Quando le Galline Avranno i Denti</t>
        </is>
      </c>
      <c r="C229" s="14" t="inlineStr">
        <is>
          <t>André Bouchard</t>
        </is>
      </c>
      <c r="D229" s="14" t="inlineStr">
        <is>
          <t>Biblioteca Ciopi</t>
        </is>
      </c>
      <c r="E229" s="14" t="inlineStr">
        <is>
          <t>da 6 anni</t>
        </is>
      </c>
      <c r="F229" s="14" t="inlineStr">
        <is>
          <t>Prime letture (6-8)</t>
        </is>
      </c>
      <c r="G229" s="14" t="inlineStr">
        <is>
          <t>Narrativa</t>
        </is>
      </c>
      <c r="H229" s="14" t="inlineStr"/>
      <c r="I229" s="14" t="inlineStr">
        <is>
          <t>No</t>
        </is>
      </c>
      <c r="J229" s="14" t="inlineStr">
        <is>
          <t>Catalogo</t>
        </is>
      </c>
      <c r="K229" s="14" t="inlineStr">
        <is>
          <t>prime letture, narrativa</t>
        </is>
      </c>
      <c r="L229" s="14" t="inlineStr">
        <is>
          <t>https://www.libri.it/quando-le-galline-avranno-i-denti</t>
        </is>
      </c>
      <c r="M229" s="16" t="n">
        <v>10</v>
      </c>
      <c r="N229" s="14" t="inlineStr">
        <is>
          <t>Lista titoli Logos Edizioni 2026 (PVP)</t>
        </is>
      </c>
      <c r="O229" s="16">
        <f>IF(ISNUMBER(M229),ROUND(M229*(1-Condizioni!$B$2),2),"")</f>
        <v/>
      </c>
      <c r="P229" s="17" t="inlineStr">
        <is>
          <t>No</t>
        </is>
      </c>
    </row>
    <row r="230">
      <c r="A230" s="14" t="inlineStr">
        <is>
          <t>Logos</t>
        </is>
      </c>
      <c r="B230" s="14" t="inlineStr">
        <is>
          <t>Quello che Vuoi</t>
        </is>
      </c>
      <c r="C230" s="14" t="inlineStr">
        <is>
          <t>Ellen Duthie; ill. Daniela Martagón</t>
        </is>
      </c>
      <c r="D230" s="14" t="inlineStr">
        <is>
          <t>Wonder Ponder</t>
        </is>
      </c>
      <c r="E230" s="14" t="inlineStr">
        <is>
          <t>da 6 anni</t>
        </is>
      </c>
      <c r="F230" s="14" t="inlineStr">
        <is>
          <t>Prime letture (6-8)</t>
        </is>
      </c>
      <c r="G230" s="14" t="inlineStr">
        <is>
          <t>Albo illustrato</t>
        </is>
      </c>
      <c r="H230" s="14" t="inlineStr"/>
      <c r="I230" s="14" t="inlineStr">
        <is>
          <t>No</t>
        </is>
      </c>
      <c r="J230" s="14" t="inlineStr">
        <is>
          <t>Catalogo</t>
        </is>
      </c>
      <c r="K230" s="14" t="inlineStr">
        <is>
          <t>prime letture</t>
        </is>
      </c>
      <c r="L230" s="14" t="inlineStr">
        <is>
          <t>https://www.libri.it/quello-che-vuoi</t>
        </is>
      </c>
      <c r="M230" s="16" t="n">
        <v>12</v>
      </c>
      <c r="N230" s="14" t="inlineStr">
        <is>
          <t>Lista titoli Logos Edizioni 2026 (PVP)</t>
        </is>
      </c>
      <c r="O230" s="16">
        <f>IF(ISNUMBER(M230),ROUND(M230*(1-Condizioni!$B$2),2),"")</f>
        <v/>
      </c>
      <c r="P230" s="17" t="inlineStr">
        <is>
          <t>No</t>
        </is>
      </c>
    </row>
    <row r="231">
      <c r="A231" s="14" t="inlineStr">
        <is>
          <t>Logos</t>
        </is>
      </c>
      <c r="B231" s="14" t="inlineStr">
        <is>
          <t>Regalo di Natale</t>
        </is>
      </c>
      <c r="C231" s="14" t="inlineStr">
        <is>
          <t>Sofía Luminosa; ill. Israel Barrón</t>
        </is>
      </c>
      <c r="D231" s="14" t="inlineStr">
        <is>
          <t>Biblioteca Ciopi</t>
        </is>
      </c>
      <c r="E231" s="14" t="inlineStr">
        <is>
          <t>da 6 anni</t>
        </is>
      </c>
      <c r="F231" s="14" t="inlineStr">
        <is>
          <t>Prime letture (6-8)</t>
        </is>
      </c>
      <c r="G231" s="14" t="inlineStr">
        <is>
          <t>Narrativa</t>
        </is>
      </c>
      <c r="H231" s="14" t="inlineStr"/>
      <c r="I231" s="14" t="inlineStr">
        <is>
          <t>No</t>
        </is>
      </c>
      <c r="J231" s="14" t="inlineStr">
        <is>
          <t>Catalogo</t>
        </is>
      </c>
      <c r="K231" s="14" t="inlineStr">
        <is>
          <t>prime letture, narrativa</t>
        </is>
      </c>
      <c r="L231" s="14" t="inlineStr">
        <is>
          <t>https://www.libri.it/regalo-di-natale</t>
        </is>
      </c>
      <c r="M231" s="16" t="n">
        <v>8</v>
      </c>
      <c r="N231" s="14" t="inlineStr">
        <is>
          <t>Lista titoli Logos Edizioni 2026 (PVP)</t>
        </is>
      </c>
      <c r="O231" s="16">
        <f>IF(ISNUMBER(M231),ROUND(M231*(1-Condizioni!$B$2),2),"")</f>
        <v/>
      </c>
      <c r="P231" s="17" t="inlineStr">
        <is>
          <t>No</t>
        </is>
      </c>
    </row>
    <row r="232">
      <c r="A232" s="14" t="inlineStr">
        <is>
          <t>Logos</t>
        </is>
      </c>
      <c r="B232" s="14" t="inlineStr">
        <is>
          <t>Rosalie Sogna…</t>
        </is>
      </c>
      <c r="C232" s="14" t="inlineStr">
        <is>
          <t>Nikolaus Heidelbach; ill.  	Nikolaus Heidelbach</t>
        </is>
      </c>
      <c r="D232" s="14" t="inlineStr">
        <is>
          <t>Albo Ciopi</t>
        </is>
      </c>
      <c r="E232" s="14" t="inlineStr">
        <is>
          <t>da 6 anni</t>
        </is>
      </c>
      <c r="F232" s="14" t="inlineStr">
        <is>
          <t>Prime letture (6-8)</t>
        </is>
      </c>
      <c r="G232" s="14" t="inlineStr">
        <is>
          <t>Albo illustrato</t>
        </is>
      </c>
      <c r="H232" s="14" t="inlineStr"/>
      <c r="I232" s="14" t="inlineStr">
        <is>
          <t>No</t>
        </is>
      </c>
      <c r="J232" s="14" t="inlineStr">
        <is>
          <t>Catalogo</t>
        </is>
      </c>
      <c r="K232" s="14" t="inlineStr">
        <is>
          <t>prime letture</t>
        </is>
      </c>
      <c r="L232" s="14" t="inlineStr">
        <is>
          <t>https://www.libri.it/rosalie</t>
        </is>
      </c>
      <c r="M232" s="16" t="n">
        <v>18</v>
      </c>
      <c r="N232" s="14" t="inlineStr">
        <is>
          <t>Lista titoli Logos Edizioni 2026 (PVP)</t>
        </is>
      </c>
      <c r="O232" s="16">
        <f>IF(ISNUMBER(M232),ROUND(M232*(1-Condizioni!$B$2),2),"")</f>
        <v/>
      </c>
      <c r="P232" s="17" t="inlineStr">
        <is>
          <t>No</t>
        </is>
      </c>
    </row>
    <row r="233">
      <c r="A233" s="14" t="inlineStr">
        <is>
          <t>Logos</t>
        </is>
      </c>
      <c r="B233" s="14" t="inlineStr">
        <is>
          <t>Solletichino</t>
        </is>
      </c>
      <c r="C233" s="14" t="inlineStr">
        <is>
          <t>Graciela Beatriz Cabal; ill. Giulia Pintus</t>
        </is>
      </c>
      <c r="D233" s="14" t="inlineStr">
        <is>
          <t>Biblioteca Ciopi</t>
        </is>
      </c>
      <c r="E233" s="14" t="inlineStr">
        <is>
          <t>da 6 anni</t>
        </is>
      </c>
      <c r="F233" s="14" t="inlineStr">
        <is>
          <t>Prime letture (6-8)</t>
        </is>
      </c>
      <c r="G233" s="14" t="inlineStr">
        <is>
          <t>Narrativa</t>
        </is>
      </c>
      <c r="H233" s="14" t="inlineStr"/>
      <c r="I233" s="14" t="inlineStr">
        <is>
          <t>No</t>
        </is>
      </c>
      <c r="J233" s="14" t="inlineStr">
        <is>
          <t>Catalogo</t>
        </is>
      </c>
      <c r="K233" s="14" t="inlineStr">
        <is>
          <t>prime letture, narrativa</t>
        </is>
      </c>
      <c r="L233" s="14" t="inlineStr">
        <is>
          <t>https://www.libri.it/solletichino-ciopi</t>
        </is>
      </c>
      <c r="M233" s="16" t="n">
        <v>9</v>
      </c>
      <c r="N233" s="14" t="inlineStr">
        <is>
          <t>Lista titoli Logos Edizioni 2026 (PVP)</t>
        </is>
      </c>
      <c r="O233" s="16">
        <f>IF(ISNUMBER(M233),ROUND(M233*(1-Condizioni!$B$2),2),"")</f>
        <v/>
      </c>
      <c r="P233" s="17" t="inlineStr">
        <is>
          <t>No</t>
        </is>
      </c>
    </row>
    <row r="234">
      <c r="A234" s="14" t="inlineStr">
        <is>
          <t>Logos</t>
        </is>
      </c>
      <c r="B234" s="14" t="inlineStr">
        <is>
          <t>Swimming Pollo</t>
        </is>
      </c>
      <c r="C234" s="14" t="inlineStr">
        <is>
          <t>Guillaume Long</t>
        </is>
      </c>
      <c r="D234" s="14" t="inlineStr">
        <is>
          <t>Fumetto Ciopi</t>
        </is>
      </c>
      <c r="E234" s="14" t="inlineStr">
        <is>
          <t>da 6 anni</t>
        </is>
      </c>
      <c r="F234" s="14" t="inlineStr">
        <is>
          <t>Prime letture (6-8)</t>
        </is>
      </c>
      <c r="G234" s="14" t="inlineStr">
        <is>
          <t>Graphic novel/Fumetto</t>
        </is>
      </c>
      <c r="H234" s="14" t="inlineStr"/>
      <c r="I234" s="14" t="inlineStr">
        <is>
          <t>No</t>
        </is>
      </c>
      <c r="J234" s="14" t="inlineStr">
        <is>
          <t>Catalogo</t>
        </is>
      </c>
      <c r="K234" s="14" t="inlineStr">
        <is>
          <t>prime letture</t>
        </is>
      </c>
      <c r="L234" s="14" t="inlineStr">
        <is>
          <t>https://www.libri.it/swimming-pollo</t>
        </is>
      </c>
      <c r="M234" s="16" t="n">
        <v>12</v>
      </c>
      <c r="N234" s="14" t="inlineStr">
        <is>
          <t>Lista titoli Logos Edizioni 2026 (PVP)</t>
        </is>
      </c>
      <c r="O234" s="16">
        <f>IF(ISNUMBER(M234),ROUND(M234*(1-Condizioni!$B$2),2),"")</f>
        <v/>
      </c>
      <c r="P234" s="17" t="inlineStr">
        <is>
          <t>No</t>
        </is>
      </c>
    </row>
    <row r="235">
      <c r="A235" s="14" t="inlineStr">
        <is>
          <t>Logos</t>
        </is>
      </c>
      <c r="B235" s="14" t="inlineStr">
        <is>
          <t>Trucas</t>
        </is>
      </c>
      <c r="C235" s="14" t="inlineStr">
        <is>
          <t>Juan Gedovius</t>
        </is>
      </c>
      <c r="D235" s="14" t="inlineStr">
        <is>
          <t>Albo Ciopi</t>
        </is>
      </c>
      <c r="E235" s="14" t="inlineStr">
        <is>
          <t>da 6 anni</t>
        </is>
      </c>
      <c r="F235" s="14" t="inlineStr">
        <is>
          <t>Prime letture (6-8)</t>
        </is>
      </c>
      <c r="G235" s="14" t="inlineStr">
        <is>
          <t>Albo illustrato</t>
        </is>
      </c>
      <c r="H235" s="14" t="inlineStr"/>
      <c r="I235" s="14" t="inlineStr">
        <is>
          <t>No</t>
        </is>
      </c>
      <c r="J235" s="14" t="inlineStr">
        <is>
          <t>Catalogo</t>
        </is>
      </c>
      <c r="K235" s="14" t="inlineStr">
        <is>
          <t>prime letture</t>
        </is>
      </c>
      <c r="L235" s="14" t="inlineStr">
        <is>
          <t>https://www.libri.it/trucas</t>
        </is>
      </c>
      <c r="M235" s="16" t="n">
        <v>13.5</v>
      </c>
      <c r="N235" s="14" t="inlineStr">
        <is>
          <t>Lista titoli Logos Edizioni 2026 (PVP)</t>
        </is>
      </c>
      <c r="O235" s="16">
        <f>IF(ISNUMBER(M235),ROUND(M235*(1-Condizioni!$B$2),2),"")</f>
        <v/>
      </c>
      <c r="P235" s="17" t="inlineStr">
        <is>
          <t>No</t>
        </is>
      </c>
    </row>
    <row r="236">
      <c r="A236" s="14" t="inlineStr">
        <is>
          <t>Logos</t>
        </is>
      </c>
      <c r="B236" s="14" t="inlineStr">
        <is>
          <t>Tutti Uguali in Famiglia</t>
        </is>
      </c>
      <c r="C236" s="14" t="inlineStr">
        <is>
          <t>Lawrence Schimel; ill. Israel Barrón</t>
        </is>
      </c>
      <c r="D236" s="14" t="inlineStr">
        <is>
          <t>Biblioteca Ciopi</t>
        </is>
      </c>
      <c r="E236" s="14" t="inlineStr">
        <is>
          <t>da 6 anni</t>
        </is>
      </c>
      <c r="F236" s="14" t="inlineStr">
        <is>
          <t>Prime letture (6-8)</t>
        </is>
      </c>
      <c r="G236" s="14" t="inlineStr">
        <is>
          <t>Narrativa</t>
        </is>
      </c>
      <c r="H236" s="14" t="inlineStr"/>
      <c r="I236" s="14" t="inlineStr">
        <is>
          <t>No</t>
        </is>
      </c>
      <c r="J236" s="14" t="inlineStr">
        <is>
          <t>Catalogo</t>
        </is>
      </c>
      <c r="K236" s="14" t="inlineStr">
        <is>
          <t>prime letture, narrativa</t>
        </is>
      </c>
      <c r="L236" s="14" t="inlineStr">
        <is>
          <t>https://www.libri.it/tutti-uguali</t>
        </is>
      </c>
      <c r="M236" s="16" t="n">
        <v>10</v>
      </c>
      <c r="N236" s="14" t="inlineStr">
        <is>
          <t>Lista titoli Logos Edizioni 2026 (PVP)</t>
        </is>
      </c>
      <c r="O236" s="16">
        <f>IF(ISNUMBER(M236),ROUND(M236*(1-Condizioni!$B$2),2),"")</f>
        <v/>
      </c>
      <c r="P236" s="17" t="inlineStr">
        <is>
          <t>No</t>
        </is>
      </c>
    </row>
    <row r="237">
      <c r="A237" s="14" t="inlineStr">
        <is>
          <t>Logos</t>
        </is>
      </c>
      <c r="B237" s="14" t="inlineStr">
        <is>
          <t>Un Nuovo Amico</t>
        </is>
      </c>
      <c r="C237" s="14" t="inlineStr">
        <is>
          <t>Estelle Vonfeldt; ill. Giulia Pintus</t>
        </is>
      </c>
      <c r="D237" s="14" t="inlineStr">
        <is>
          <t>Biblioteca Ciopi</t>
        </is>
      </c>
      <c r="E237" s="14" t="inlineStr">
        <is>
          <t>da 6 anni</t>
        </is>
      </c>
      <c r="F237" s="14" t="inlineStr">
        <is>
          <t>Prime letture (6-8)</t>
        </is>
      </c>
      <c r="G237" s="14" t="inlineStr">
        <is>
          <t>Narrativa</t>
        </is>
      </c>
      <c r="H237" s="14" t="inlineStr"/>
      <c r="I237" s="14" t="inlineStr">
        <is>
          <t>No</t>
        </is>
      </c>
      <c r="J237" s="14" t="inlineStr">
        <is>
          <t>Catalogo</t>
        </is>
      </c>
      <c r="K237" s="14" t="inlineStr">
        <is>
          <t>prime letture, narrativa</t>
        </is>
      </c>
      <c r="L237" s="14" t="inlineStr">
        <is>
          <t>https://www.libri.it/un-nuovo-amico</t>
        </is>
      </c>
      <c r="M237" s="16" t="n">
        <v>10</v>
      </c>
      <c r="N237" s="14" t="inlineStr">
        <is>
          <t>Lista titoli Logos Edizioni 2026 (PVP)</t>
        </is>
      </c>
      <c r="O237" s="16">
        <f>IF(ISNUMBER(M237),ROUND(M237*(1-Condizioni!$B$2),2),"")</f>
        <v/>
      </c>
      <c r="P237" s="17" t="inlineStr">
        <is>
          <t>No</t>
        </is>
      </c>
    </row>
    <row r="238">
      <c r="A238" s="14" t="inlineStr">
        <is>
          <t>Logos</t>
        </is>
      </c>
      <c r="B238" s="14" t="inlineStr">
        <is>
          <t>Vacanze su Venere</t>
        </is>
      </c>
      <c r="C238" s="14" t="inlineStr">
        <is>
          <t>Germano Zullo; ill. Albertine</t>
        </is>
      </c>
      <c r="D238" s="14" t="inlineStr">
        <is>
          <t>Fumetto Ciopi</t>
        </is>
      </c>
      <c r="E238" s="14" t="inlineStr">
        <is>
          <t>da 6 anni</t>
        </is>
      </c>
      <c r="F238" s="14" t="inlineStr">
        <is>
          <t>Prime letture (6-8)</t>
        </is>
      </c>
      <c r="G238" s="14" t="inlineStr">
        <is>
          <t>Graphic novel/Fumetto</t>
        </is>
      </c>
      <c r="H238" s="14" t="inlineStr"/>
      <c r="I238" s="14" t="inlineStr">
        <is>
          <t>No</t>
        </is>
      </c>
      <c r="J238" s="14" t="inlineStr">
        <is>
          <t>Catalogo</t>
        </is>
      </c>
      <c r="K238" s="14" t="inlineStr">
        <is>
          <t>prime letture</t>
        </is>
      </c>
      <c r="L238" s="14" t="inlineStr">
        <is>
          <t>https://www.libri.it/vacanze-su-venere</t>
        </is>
      </c>
      <c r="M238" s="16" t="n">
        <v>12</v>
      </c>
      <c r="N238" s="14" t="inlineStr">
        <is>
          <t>Lista titoli Logos Edizioni 2026 (PVP)</t>
        </is>
      </c>
      <c r="O238" s="16">
        <f>IF(ISNUMBER(M238),ROUND(M238*(1-Condizioni!$B$2),2),"")</f>
        <v/>
      </c>
      <c r="P238" s="17" t="inlineStr">
        <is>
          <t>No</t>
        </is>
      </c>
    </row>
    <row r="239">
      <c r="A239" s="14" t="inlineStr">
        <is>
          <t>Logos</t>
        </is>
      </c>
      <c r="B239" s="14" t="inlineStr">
        <is>
          <t>Amici per la Pelle</t>
        </is>
      </c>
      <c r="C239" s="14" t="inlineStr">
        <is>
          <t>Roger Olmos</t>
        </is>
      </c>
      <c r="D239" s="14" t="inlineStr">
        <is>
          <t>Illustrati</t>
        </is>
      </c>
      <c r="E239" s="14" t="inlineStr">
        <is>
          <t>da 8 anni</t>
        </is>
      </c>
      <c r="F239" s="14" t="inlineStr">
        <is>
          <t>8+</t>
        </is>
      </c>
      <c r="G239" s="14" t="inlineStr">
        <is>
          <t>Albo illustrato</t>
        </is>
      </c>
      <c r="H239" s="14" t="inlineStr"/>
      <c r="I239" s="14" t="inlineStr">
        <is>
          <t>No</t>
        </is>
      </c>
      <c r="J239" s="14" t="inlineStr">
        <is>
          <t>Catalogo</t>
        </is>
      </c>
      <c r="K239" s="14" t="inlineStr">
        <is>
          <t>8+</t>
        </is>
      </c>
      <c r="L239" s="14" t="inlineStr">
        <is>
          <t>https://www.libri.it/amici-per-la-pelle</t>
        </is>
      </c>
      <c r="M239" s="16" t="n">
        <v>19</v>
      </c>
      <c r="N239" s="14" t="inlineStr">
        <is>
          <t>Lista titoli Logos Edizioni 2026 (PVP)</t>
        </is>
      </c>
      <c r="O239" s="16">
        <f>IF(ISNUMBER(M239),ROUND(M239*(1-Condizioni!$B$2),2),"")</f>
        <v/>
      </c>
      <c r="P239" s="17" t="inlineStr">
        <is>
          <t>No</t>
        </is>
      </c>
    </row>
    <row r="240">
      <c r="A240" s="14" t="inlineStr">
        <is>
          <t>Logos</t>
        </is>
      </c>
      <c r="B240" s="14" t="inlineStr">
        <is>
          <t>Amigos</t>
        </is>
      </c>
      <c r="C240" s="14" t="inlineStr">
        <is>
          <t>Roger Olmos</t>
        </is>
      </c>
      <c r="D240" s="14" t="inlineStr">
        <is>
          <t>Illustrati</t>
        </is>
      </c>
      <c r="E240" s="14" t="inlineStr">
        <is>
          <t>da 8 anni</t>
        </is>
      </c>
      <c r="F240" s="14" t="inlineStr">
        <is>
          <t>8+</t>
        </is>
      </c>
      <c r="G240" s="14" t="inlineStr">
        <is>
          <t>Albo illustrato</t>
        </is>
      </c>
      <c r="H240" s="14" t="inlineStr"/>
      <c r="I240" s="14" t="inlineStr">
        <is>
          <t>No</t>
        </is>
      </c>
      <c r="J240" s="14" t="inlineStr">
        <is>
          <t>Catalogo</t>
        </is>
      </c>
      <c r="K240" s="14" t="inlineStr">
        <is>
          <t>8+</t>
        </is>
      </c>
      <c r="L240" s="14" t="inlineStr">
        <is>
          <t>https://www.libri.it/amigos</t>
        </is>
      </c>
      <c r="M240" s="16" t="n">
        <v>17</v>
      </c>
      <c r="N240" s="14" t="inlineStr">
        <is>
          <t>Lista titoli Logos Edizioni 2026 (PVP)</t>
        </is>
      </c>
      <c r="O240" s="16">
        <f>IF(ISNUMBER(M240),ROUND(M240*(1-Condizioni!$B$2),2),"")</f>
        <v/>
      </c>
      <c r="P240" s="17" t="inlineStr">
        <is>
          <t>No</t>
        </is>
      </c>
    </row>
    <row r="241">
      <c r="A241" s="14" t="inlineStr">
        <is>
          <t>Logos</t>
        </is>
      </c>
      <c r="B241" s="14" t="inlineStr">
        <is>
          <t>Anna dei Miracoli</t>
        </is>
      </c>
      <c r="C241" s="14" t="inlineStr">
        <is>
          <t>Ana Juan</t>
        </is>
      </c>
      <c r="D241" s="14" t="inlineStr">
        <is>
          <t>Illustrati</t>
        </is>
      </c>
      <c r="E241" s="14" t="inlineStr">
        <is>
          <t>da 8 anni</t>
        </is>
      </c>
      <c r="F241" s="14" t="inlineStr">
        <is>
          <t>8+</t>
        </is>
      </c>
      <c r="G241" s="14" t="inlineStr">
        <is>
          <t>Albo illustrato</t>
        </is>
      </c>
      <c r="H241" s="14" t="inlineStr"/>
      <c r="I241" s="14" t="inlineStr">
        <is>
          <t>No</t>
        </is>
      </c>
      <c r="J241" s="14" t="inlineStr">
        <is>
          <t>Catalogo</t>
        </is>
      </c>
      <c r="K241" s="14" t="inlineStr">
        <is>
          <t>8+</t>
        </is>
      </c>
      <c r="L241" s="14" t="inlineStr">
        <is>
          <t>https://www.libri.it/anna-dei-miracoli</t>
        </is>
      </c>
      <c r="M241" s="16" t="n">
        <v>18</v>
      </c>
      <c r="N241" s="14" t="inlineStr">
        <is>
          <t>Lista titoli Logos Edizioni 2026 (PVP)</t>
        </is>
      </c>
      <c r="O241" s="16">
        <f>IF(ISNUMBER(M241),ROUND(M241*(1-Condizioni!$B$2),2),"")</f>
        <v/>
      </c>
      <c r="P241" s="17" t="inlineStr">
        <is>
          <t>No</t>
        </is>
      </c>
    </row>
    <row r="242">
      <c r="A242" s="14" t="inlineStr">
        <is>
          <t>Logos</t>
        </is>
      </c>
      <c r="B242" s="14" t="inlineStr">
        <is>
          <t>Aquarium (sea Shepherd)</t>
        </is>
      </c>
      <c r="C242" s="14" t="inlineStr">
        <is>
          <t>Geert Vons; ill. Roger Olmos</t>
        </is>
      </c>
      <c r="D242" s="14" t="inlineStr">
        <is>
          <t>Illustrati</t>
        </is>
      </c>
      <c r="E242" s="14" t="inlineStr">
        <is>
          <t>da 8 anni</t>
        </is>
      </c>
      <c r="F242" s="14" t="inlineStr">
        <is>
          <t>8+</t>
        </is>
      </c>
      <c r="G242" s="14" t="inlineStr">
        <is>
          <t>Albo illustrato</t>
        </is>
      </c>
      <c r="H242" s="14" t="inlineStr"/>
      <c r="I242" s="14" t="inlineStr">
        <is>
          <t>No</t>
        </is>
      </c>
      <c r="J242" s="14" t="inlineStr">
        <is>
          <t>Catalogo</t>
        </is>
      </c>
      <c r="K242" s="14" t="inlineStr">
        <is>
          <t>8+</t>
        </is>
      </c>
      <c r="L242" s="14" t="inlineStr">
        <is>
          <t>https://www.libri.it/aquarium</t>
        </is>
      </c>
      <c r="M242" s="16" t="n">
        <v>10</v>
      </c>
      <c r="N242" s="14" t="inlineStr">
        <is>
          <t>Lista titoli Logos Edizioni 2026 (PVP)</t>
        </is>
      </c>
      <c r="O242" s="16">
        <f>IF(ISNUMBER(M242),ROUND(M242*(1-Condizioni!$B$2),2),"")</f>
        <v/>
      </c>
      <c r="P242" s="17" t="inlineStr">
        <is>
          <t>No</t>
        </is>
      </c>
    </row>
    <row r="243">
      <c r="A243" s="14" t="inlineStr">
        <is>
          <t>Logos</t>
        </is>
      </c>
      <c r="B243" s="14" t="inlineStr">
        <is>
          <t>Attilio Nuova Edizione</t>
        </is>
      </c>
      <c r="C243" s="14" t="inlineStr">
        <is>
          <t>Giulia Pintus</t>
        </is>
      </c>
      <c r="D243" s="14" t="inlineStr">
        <is>
          <t>Illustrati</t>
        </is>
      </c>
      <c r="E243" s="14" t="inlineStr">
        <is>
          <t>da 8 anni</t>
        </is>
      </c>
      <c r="F243" s="14" t="inlineStr">
        <is>
          <t>8+</t>
        </is>
      </c>
      <c r="G243" s="14" t="inlineStr">
        <is>
          <t>Albo illustrato</t>
        </is>
      </c>
      <c r="H243" s="14" t="inlineStr"/>
      <c r="I243" s="14" t="inlineStr">
        <is>
          <t>No</t>
        </is>
      </c>
      <c r="J243" s="14" t="inlineStr">
        <is>
          <t>Catalogo</t>
        </is>
      </c>
      <c r="K243" s="14" t="inlineStr">
        <is>
          <t>8+</t>
        </is>
      </c>
      <c r="L243" s="14" t="inlineStr">
        <is>
          <t>https://www.libri.it/attilio-nuova-edizione</t>
        </is>
      </c>
      <c r="M243" s="16" t="n">
        <v>17</v>
      </c>
      <c r="N243" s="14" t="inlineStr">
        <is>
          <t>Lista titoli Logos Edizioni 2026 (PVP)</t>
        </is>
      </c>
      <c r="O243" s="16">
        <f>IF(ISNUMBER(M243),ROUND(M243*(1-Condizioni!$B$2),2),"")</f>
        <v/>
      </c>
      <c r="P243" s="17" t="inlineStr">
        <is>
          <t>No</t>
        </is>
      </c>
    </row>
    <row r="244">
      <c r="A244" s="14" t="inlineStr">
        <is>
          <t>Logos</t>
        </is>
      </c>
      <c r="B244" s="14" t="inlineStr">
        <is>
          <t>Azzurro (sea Shepherd)</t>
        </is>
      </c>
      <c r="C244" s="14" t="inlineStr">
        <is>
          <t>Alessandra Manfredi</t>
        </is>
      </c>
      <c r="D244" s="14" t="inlineStr">
        <is>
          <t>Illustrati</t>
        </is>
      </c>
      <c r="E244" s="14" t="inlineStr">
        <is>
          <t>da 8 anni</t>
        </is>
      </c>
      <c r="F244" s="14" t="inlineStr">
        <is>
          <t>8+</t>
        </is>
      </c>
      <c r="G244" s="14" t="inlineStr">
        <is>
          <t>Albo illustrato</t>
        </is>
      </c>
      <c r="H244" s="14" t="inlineStr"/>
      <c r="I244" s="14" t="inlineStr">
        <is>
          <t>No</t>
        </is>
      </c>
      <c r="J244" s="14" t="inlineStr">
        <is>
          <t>Catalogo</t>
        </is>
      </c>
      <c r="K244" s="14" t="inlineStr">
        <is>
          <t>8+</t>
        </is>
      </c>
      <c r="L244" s="14" t="inlineStr">
        <is>
          <t>https://www.libri.it/azzurro</t>
        </is>
      </c>
      <c r="M244" s="16" t="n">
        <v>10</v>
      </c>
      <c r="N244" s="14" t="inlineStr">
        <is>
          <t>Lista titoli Logos Edizioni 2026 (PVP)</t>
        </is>
      </c>
      <c r="O244" s="16">
        <f>IF(ISNUMBER(M244),ROUND(M244*(1-Condizioni!$B$2),2),"")</f>
        <v/>
      </c>
      <c r="P244" s="17" t="inlineStr">
        <is>
          <t>No</t>
        </is>
      </c>
    </row>
    <row r="245">
      <c r="A245" s="14" t="inlineStr">
        <is>
          <t>Logos</t>
        </is>
      </c>
      <c r="B245" s="14" t="inlineStr">
        <is>
          <t>Bella Bambina Dai Capelli Turchini</t>
        </is>
      </c>
      <c r="C245" s="14" t="inlineStr">
        <is>
          <t>Adolfo Córdova; ill. David Álvarez</t>
        </is>
      </c>
      <c r="D245" s="14" t="inlineStr">
        <is>
          <t>C'Era Una Volta Ancora</t>
        </is>
      </c>
      <c r="E245" s="14" t="inlineStr">
        <is>
          <t>da 8 anni</t>
        </is>
      </c>
      <c r="F245" s="14" t="inlineStr">
        <is>
          <t>8+</t>
        </is>
      </c>
      <c r="G245" s="14" t="inlineStr">
        <is>
          <t>Albo illustrato</t>
        </is>
      </c>
      <c r="H245" s="14" t="inlineStr"/>
      <c r="I245" s="14" t="inlineStr">
        <is>
          <t>No</t>
        </is>
      </c>
      <c r="J245" s="14" t="inlineStr">
        <is>
          <t>Catalogo</t>
        </is>
      </c>
      <c r="K245" s="14" t="inlineStr">
        <is>
          <t>8+</t>
        </is>
      </c>
      <c r="L245" s="14" t="inlineStr">
        <is>
          <t>https://www.libri.it/bambina-capelli-turchini</t>
        </is>
      </c>
      <c r="M245" s="16" t="n">
        <v>20</v>
      </c>
      <c r="N245" s="14" t="inlineStr">
        <is>
          <t>Lista titoli Logos Edizioni 2026 (PVP)</t>
        </is>
      </c>
      <c r="O245" s="16">
        <f>IF(ISNUMBER(M245),ROUND(M245*(1-Condizioni!$B$2),2),"")</f>
        <v/>
      </c>
      <c r="P245" s="17" t="inlineStr">
        <is>
          <t>Sì</t>
        </is>
      </c>
    </row>
    <row r="246">
      <c r="A246" s="14" t="inlineStr">
        <is>
          <t>Logos</t>
        </is>
      </c>
      <c r="B246" s="14" t="inlineStr">
        <is>
          <t>Bestiario</t>
        </is>
      </c>
      <c r="C246" s="14" t="inlineStr">
        <is>
          <t>Jean Fugère; ill. Stéphane Poulin</t>
        </is>
      </c>
      <c r="D246" s="14" t="inlineStr">
        <is>
          <t>Illustrati</t>
        </is>
      </c>
      <c r="E246" s="14" t="inlineStr">
        <is>
          <t>da 8 anni</t>
        </is>
      </c>
      <c r="F246" s="14" t="inlineStr">
        <is>
          <t>8+</t>
        </is>
      </c>
      <c r="G246" s="14" t="inlineStr">
        <is>
          <t>Albo illustrato</t>
        </is>
      </c>
      <c r="H246" s="14" t="inlineStr"/>
      <c r="I246" s="14" t="inlineStr">
        <is>
          <t>No</t>
        </is>
      </c>
      <c r="J246" s="14" t="inlineStr">
        <is>
          <t>Catalogo</t>
        </is>
      </c>
      <c r="K246" s="14" t="inlineStr">
        <is>
          <t>8+</t>
        </is>
      </c>
      <c r="L246" s="14" t="inlineStr">
        <is>
          <t>https://www.libri.it/bestiario</t>
        </is>
      </c>
      <c r="M246" s="16" t="n">
        <v>18</v>
      </c>
      <c r="N246" s="14" t="inlineStr">
        <is>
          <t>Lista titoli Logos Edizioni 2026 (PVP)</t>
        </is>
      </c>
      <c r="O246" s="16">
        <f>IF(ISNUMBER(M246),ROUND(M246*(1-Condizioni!$B$2),2),"")</f>
        <v/>
      </c>
      <c r="P246" s="17" t="inlineStr">
        <is>
          <t>No</t>
        </is>
      </c>
    </row>
    <row r="247">
      <c r="A247" s="14" t="inlineStr">
        <is>
          <t>Logos</t>
        </is>
      </c>
      <c r="B247" s="14" t="inlineStr">
        <is>
          <t>Bestiario Universale</t>
        </is>
      </c>
      <c r="C247" s="14" t="inlineStr">
        <is>
          <t>Miguel Murugarren; ill. Javier Sáez Castán</t>
        </is>
      </c>
      <c r="D247" s="14" t="inlineStr">
        <is>
          <t>Illustrati</t>
        </is>
      </c>
      <c r="E247" s="14" t="inlineStr">
        <is>
          <t>da 8 anni</t>
        </is>
      </c>
      <c r="F247" s="14" t="inlineStr">
        <is>
          <t>8+</t>
        </is>
      </c>
      <c r="G247" s="14" t="inlineStr">
        <is>
          <t>Albo illustrato</t>
        </is>
      </c>
      <c r="H247" s="14" t="inlineStr"/>
      <c r="I247" s="14" t="inlineStr">
        <is>
          <t>No</t>
        </is>
      </c>
      <c r="J247" s="14" t="inlineStr">
        <is>
          <t>Catalogo</t>
        </is>
      </c>
      <c r="K247" s="14" t="inlineStr">
        <is>
          <t>8+</t>
        </is>
      </c>
      <c r="L247" s="14" t="inlineStr">
        <is>
          <t>https://www.libri.it/bestiario-universale</t>
        </is>
      </c>
      <c r="M247" s="16" t="n">
        <v>14</v>
      </c>
      <c r="N247" s="14" t="inlineStr">
        <is>
          <t>Lista titoli Logos Edizioni 2026 (PVP)</t>
        </is>
      </c>
      <c r="O247" s="16">
        <f>IF(ISNUMBER(M247),ROUND(M247*(1-Condizioni!$B$2),2),"")</f>
        <v/>
      </c>
      <c r="P247" s="17" t="inlineStr">
        <is>
          <t>No</t>
        </is>
      </c>
    </row>
    <row r="248">
      <c r="A248" s="14" t="inlineStr">
        <is>
          <t>Logos</t>
        </is>
      </c>
      <c r="B248" s="14" t="inlineStr">
        <is>
          <t>Bestiario Verticale</t>
        </is>
      </c>
      <c r="C248" s="14" t="inlineStr">
        <is>
          <t>Miguel Murugarren; ill. Javier Sáez Castán</t>
        </is>
      </c>
      <c r="D248" s="14" t="inlineStr">
        <is>
          <t>Illustrati</t>
        </is>
      </c>
      <c r="E248" s="14" t="inlineStr">
        <is>
          <t>da 8 anni</t>
        </is>
      </c>
      <c r="F248" s="14" t="inlineStr">
        <is>
          <t>8+</t>
        </is>
      </c>
      <c r="G248" s="14" t="inlineStr">
        <is>
          <t>Albo illustrato</t>
        </is>
      </c>
      <c r="H248" s="14" t="inlineStr"/>
      <c r="I248" s="14" t="inlineStr">
        <is>
          <t>No</t>
        </is>
      </c>
      <c r="J248" s="14" t="inlineStr">
        <is>
          <t>Catalogo</t>
        </is>
      </c>
      <c r="K248" s="14" t="inlineStr">
        <is>
          <t>8+</t>
        </is>
      </c>
      <c r="L248" s="14" t="inlineStr">
        <is>
          <t>https://www.libri.it/bestiario-verticale</t>
        </is>
      </c>
      <c r="M248" s="16" t="n">
        <v>15</v>
      </c>
      <c r="N248" s="14" t="inlineStr">
        <is>
          <t>Lista titoli Logos Edizioni 2026 (PVP)</t>
        </is>
      </c>
      <c r="O248" s="16">
        <f>IF(ISNUMBER(M248),ROUND(M248*(1-Condizioni!$B$2),2),"")</f>
        <v/>
      </c>
      <c r="P248" s="17" t="inlineStr">
        <is>
          <t>No</t>
        </is>
      </c>
    </row>
    <row r="249">
      <c r="A249" s="14" t="inlineStr">
        <is>
          <t>Logos</t>
        </is>
      </c>
      <c r="B249" s="14" t="inlineStr">
        <is>
          <t>Bestiario delle Creature Fantastiche Messicane</t>
        </is>
      </c>
      <c r="C249" s="14" t="inlineStr">
        <is>
          <t>Norma Muñoz Ledo; ill. Israel Barrón</t>
        </is>
      </c>
      <c r="D249" s="14" t="inlineStr">
        <is>
          <t>Illustrati</t>
        </is>
      </c>
      <c r="E249" s="14" t="inlineStr">
        <is>
          <t>da 8 anni</t>
        </is>
      </c>
      <c r="F249" s="14" t="inlineStr">
        <is>
          <t>8+</t>
        </is>
      </c>
      <c r="G249" s="14" t="inlineStr">
        <is>
          <t>Albo illustrato</t>
        </is>
      </c>
      <c r="H249" s="14" t="inlineStr"/>
      <c r="I249" s="14" t="inlineStr">
        <is>
          <t>No</t>
        </is>
      </c>
      <c r="J249" s="14" t="inlineStr">
        <is>
          <t>Catalogo</t>
        </is>
      </c>
      <c r="K249" s="14" t="inlineStr">
        <is>
          <t>8+</t>
        </is>
      </c>
      <c r="L249" s="14" t="inlineStr">
        <is>
          <t>https://www.libri.it/bestiario-delle-creature-fantastiche-messicane</t>
        </is>
      </c>
      <c r="M249" s="16" t="n">
        <v>16</v>
      </c>
      <c r="N249" s="14" t="inlineStr">
        <is>
          <t>Lista titoli Logos Edizioni 2026 (PVP)</t>
        </is>
      </c>
      <c r="O249" s="16">
        <f>IF(ISNUMBER(M249),ROUND(M249*(1-Condizioni!$B$2),2),"")</f>
        <v/>
      </c>
      <c r="P249" s="17" t="inlineStr">
        <is>
          <t>No</t>
        </is>
      </c>
    </row>
    <row r="250">
      <c r="A250" s="14" t="inlineStr">
        <is>
          <t>Logos</t>
        </is>
      </c>
      <c r="B250" s="14" t="inlineStr">
        <is>
          <t>Circus</t>
        </is>
      </c>
      <c r="C250" s="14" t="inlineStr">
        <is>
          <t>Ana Juan</t>
        </is>
      </c>
      <c r="D250" s="14" t="inlineStr">
        <is>
          <t>Illustrati</t>
        </is>
      </c>
      <c r="E250" s="14" t="inlineStr">
        <is>
          <t>da 8 anni</t>
        </is>
      </c>
      <c r="F250" s="14" t="inlineStr">
        <is>
          <t>8+</t>
        </is>
      </c>
      <c r="G250" s="14" t="inlineStr">
        <is>
          <t>Albo illustrato</t>
        </is>
      </c>
      <c r="H250" s="14" t="inlineStr"/>
      <c r="I250" s="14" t="inlineStr">
        <is>
          <t>No</t>
        </is>
      </c>
      <c r="J250" s="14" t="inlineStr">
        <is>
          <t>Catalogo</t>
        </is>
      </c>
      <c r="K250" s="14" t="inlineStr">
        <is>
          <t>8+</t>
        </is>
      </c>
      <c r="L250" s="14" t="inlineStr">
        <is>
          <t>https://www.libri.it/circus</t>
        </is>
      </c>
      <c r="M250" s="16" t="n">
        <v>17</v>
      </c>
      <c r="N250" s="14" t="inlineStr">
        <is>
          <t>Lista titoli Logos Edizioni 2026 (PVP)</t>
        </is>
      </c>
      <c r="O250" s="16">
        <f>IF(ISNUMBER(M250),ROUND(M250*(1-Condizioni!$B$2),2),"")</f>
        <v/>
      </c>
      <c r="P250" s="17" t="inlineStr">
        <is>
          <t>No</t>
        </is>
      </c>
    </row>
    <row r="251">
      <c r="A251" s="14" t="inlineStr">
        <is>
          <t>Logos</t>
        </is>
      </c>
      <c r="B251" s="14" t="inlineStr">
        <is>
          <t>Cosimo</t>
        </is>
      </c>
      <c r="C251" s="14" t="inlineStr">
        <is>
          <t>Roger Olmos</t>
        </is>
      </c>
      <c r="D251" s="14" t="inlineStr">
        <is>
          <t>Illustrati</t>
        </is>
      </c>
      <c r="E251" s="14" t="inlineStr">
        <is>
          <t>da 8 anni</t>
        </is>
      </c>
      <c r="F251" s="14" t="inlineStr">
        <is>
          <t>8+</t>
        </is>
      </c>
      <c r="G251" s="14" t="inlineStr">
        <is>
          <t>Albo illustrato</t>
        </is>
      </c>
      <c r="H251" s="14" t="inlineStr"/>
      <c r="I251" s="14" t="inlineStr">
        <is>
          <t>No</t>
        </is>
      </c>
      <c r="J251" s="14" t="inlineStr">
        <is>
          <t>Catalogo</t>
        </is>
      </c>
      <c r="K251" s="14" t="inlineStr">
        <is>
          <t>8+</t>
        </is>
      </c>
      <c r="L251" s="14" t="inlineStr">
        <is>
          <t>https://www.libri.it/cosimo</t>
        </is>
      </c>
      <c r="M251" s="16" t="n">
        <v>20</v>
      </c>
      <c r="N251" s="14" t="inlineStr">
        <is>
          <t>Lista titoli Logos Edizioni 2026 (PVP)</t>
        </is>
      </c>
      <c r="O251" s="16">
        <f>IF(ISNUMBER(M251),ROUND(M251*(1-Condizioni!$B$2),2),"")</f>
        <v/>
      </c>
      <c r="P251" s="17" t="inlineStr">
        <is>
          <t>Sì</t>
        </is>
      </c>
    </row>
    <row r="252">
      <c r="A252" s="14" t="inlineStr">
        <is>
          <t>Logos</t>
        </is>
      </c>
      <c r="B252" s="14" t="inlineStr">
        <is>
          <t>El Árbol</t>
        </is>
      </c>
      <c r="C252" s="14" t="inlineStr">
        <is>
          <t>Nicolás Arispe</t>
        </is>
      </c>
      <c r="D252" s="14" t="inlineStr">
        <is>
          <t>Illustrati</t>
        </is>
      </c>
      <c r="E252" s="14" t="inlineStr">
        <is>
          <t>da 8 anni</t>
        </is>
      </c>
      <c r="F252" s="14" t="inlineStr">
        <is>
          <t>8+</t>
        </is>
      </c>
      <c r="G252" s="14" t="inlineStr">
        <is>
          <t>Albo illustrato</t>
        </is>
      </c>
      <c r="H252" s="14" t="inlineStr"/>
      <c r="I252" s="14" t="inlineStr">
        <is>
          <t>No</t>
        </is>
      </c>
      <c r="J252" s="14" t="inlineStr">
        <is>
          <t>Catalogo</t>
        </is>
      </c>
      <c r="K252" s="14" t="inlineStr">
        <is>
          <t>8+</t>
        </is>
      </c>
      <c r="L252" s="14" t="inlineStr">
        <is>
          <t>https://www.libri.it/el-arbol</t>
        </is>
      </c>
      <c r="M252" s="16" t="n">
        <v>20</v>
      </c>
      <c r="N252" s="14" t="inlineStr">
        <is>
          <t>Lista titoli Logos Edizioni 2026 (PVP)</t>
        </is>
      </c>
      <c r="O252" s="16">
        <f>IF(ISNUMBER(M252),ROUND(M252*(1-Condizioni!$B$2),2),"")</f>
        <v/>
      </c>
      <c r="P252" s="17" t="inlineStr">
        <is>
          <t>No</t>
        </is>
      </c>
    </row>
    <row r="253">
      <c r="A253" s="14" t="inlineStr">
        <is>
          <t>Logos</t>
        </is>
      </c>
      <c r="B253" s="14" t="inlineStr">
        <is>
          <t>Elizabeth &amp; Diego</t>
        </is>
      </c>
      <c r="C253" s="14" t="inlineStr">
        <is>
          <t>Swan Meralli; ill. Arthur Du Coteau</t>
        </is>
      </c>
      <c r="D253" s="14" t="inlineStr">
        <is>
          <t>Fumetto Ciopi</t>
        </is>
      </c>
      <c r="E253" s="14" t="inlineStr">
        <is>
          <t>da 8 anni</t>
        </is>
      </c>
      <c r="F253" s="14" t="inlineStr">
        <is>
          <t>8+</t>
        </is>
      </c>
      <c r="G253" s="14" t="inlineStr">
        <is>
          <t>Graphic novel/Fumetto</t>
        </is>
      </c>
      <c r="H253" s="14" t="inlineStr"/>
      <c r="I253" s="14" t="inlineStr">
        <is>
          <t>No</t>
        </is>
      </c>
      <c r="J253" s="14" t="inlineStr">
        <is>
          <t>Catalogo</t>
        </is>
      </c>
      <c r="K253" s="14" t="inlineStr">
        <is>
          <t>8+</t>
        </is>
      </c>
      <c r="L253" s="14" t="inlineStr">
        <is>
          <t>https://www.libri.it/elizabeth-diego</t>
        </is>
      </c>
      <c r="M253" s="16" t="n">
        <v>16</v>
      </c>
      <c r="N253" s="14" t="inlineStr">
        <is>
          <t>Lista titoli Logos Edizioni 2026 (PVP)</t>
        </is>
      </c>
      <c r="O253" s="16">
        <f>IF(ISNUMBER(M253),ROUND(M253*(1-Condizioni!$B$2),2),"")</f>
        <v/>
      </c>
      <c r="P253" s="17" t="inlineStr">
        <is>
          <t>No</t>
        </is>
      </c>
    </row>
    <row r="254">
      <c r="A254" s="14" t="inlineStr">
        <is>
          <t>Logos</t>
        </is>
      </c>
      <c r="B254" s="14" t="inlineStr">
        <is>
          <t>Frances Vol.1</t>
        </is>
      </c>
      <c r="C254" s="14" t="inlineStr">
        <is>
          <t>Joanna Hellgren</t>
        </is>
      </c>
      <c r="D254" s="14" t="inlineStr">
        <is>
          <t>Fumetto</t>
        </is>
      </c>
      <c r="E254" s="14" t="inlineStr">
        <is>
          <t>da 8 anni</t>
        </is>
      </c>
      <c r="F254" s="14" t="inlineStr">
        <is>
          <t>8+</t>
        </is>
      </c>
      <c r="G254" s="14" t="inlineStr">
        <is>
          <t>Graphic novel/Fumetto</t>
        </is>
      </c>
      <c r="H254" s="14" t="inlineStr"/>
      <c r="I254" s="14" t="inlineStr">
        <is>
          <t>No</t>
        </is>
      </c>
      <c r="J254" s="14" t="inlineStr">
        <is>
          <t>Catalogo</t>
        </is>
      </c>
      <c r="K254" s="14" t="inlineStr">
        <is>
          <t>8+</t>
        </is>
      </c>
      <c r="L254" s="14" t="inlineStr">
        <is>
          <t>https://www.libri.it/frances-1</t>
        </is>
      </c>
      <c r="M254" s="16" t="n">
        <v>17</v>
      </c>
      <c r="N254" s="14" t="inlineStr">
        <is>
          <t>Lista titoli Logos Edizioni 2026 (PVP)</t>
        </is>
      </c>
      <c r="O254" s="16">
        <f>IF(ISNUMBER(M254),ROUND(M254*(1-Condizioni!$B$2),2),"")</f>
        <v/>
      </c>
      <c r="P254" s="17" t="inlineStr">
        <is>
          <t>No</t>
        </is>
      </c>
    </row>
    <row r="255">
      <c r="A255" s="14" t="inlineStr">
        <is>
          <t>Logos</t>
        </is>
      </c>
      <c r="B255" s="14" t="inlineStr">
        <is>
          <t>Frances Vol.2</t>
        </is>
      </c>
      <c r="C255" s="14" t="inlineStr">
        <is>
          <t>Joanna Hellgren</t>
        </is>
      </c>
      <c r="D255" s="14" t="inlineStr">
        <is>
          <t>Fumetto</t>
        </is>
      </c>
      <c r="E255" s="14" t="inlineStr">
        <is>
          <t>da 8 anni</t>
        </is>
      </c>
      <c r="F255" s="14" t="inlineStr">
        <is>
          <t>8+</t>
        </is>
      </c>
      <c r="G255" s="14" t="inlineStr">
        <is>
          <t>Graphic novel/Fumetto</t>
        </is>
      </c>
      <c r="H255" s="14" t="inlineStr"/>
      <c r="I255" s="14" t="inlineStr">
        <is>
          <t>No</t>
        </is>
      </c>
      <c r="J255" s="14" t="inlineStr">
        <is>
          <t>Catalogo</t>
        </is>
      </c>
      <c r="K255" s="14" t="inlineStr">
        <is>
          <t>8+</t>
        </is>
      </c>
      <c r="L255" s="14" t="inlineStr">
        <is>
          <t>https://www.libri.it/frances-2</t>
        </is>
      </c>
      <c r="M255" s="16" t="n">
        <v>19</v>
      </c>
      <c r="N255" s="14" t="inlineStr">
        <is>
          <t>Lista titoli Logos Edizioni 2026 (PVP)</t>
        </is>
      </c>
      <c r="O255" s="16">
        <f>IF(ISNUMBER(M255),ROUND(M255*(1-Condizioni!$B$2),2),"")</f>
        <v/>
      </c>
      <c r="P255" s="17" t="inlineStr">
        <is>
          <t>No</t>
        </is>
      </c>
    </row>
    <row r="256">
      <c r="A256" s="14" t="inlineStr">
        <is>
          <t>Logos</t>
        </is>
      </c>
      <c r="B256" s="14" t="inlineStr">
        <is>
          <t>Frances Vol.3</t>
        </is>
      </c>
      <c r="C256" s="14" t="inlineStr">
        <is>
          <t>Joanna Hellgren</t>
        </is>
      </c>
      <c r="D256" s="14" t="inlineStr">
        <is>
          <t>Fumetto</t>
        </is>
      </c>
      <c r="E256" s="14" t="inlineStr">
        <is>
          <t>da 8 anni</t>
        </is>
      </c>
      <c r="F256" s="14" t="inlineStr">
        <is>
          <t>8+</t>
        </is>
      </c>
      <c r="G256" s="14" t="inlineStr">
        <is>
          <t>Graphic novel/Fumetto</t>
        </is>
      </c>
      <c r="H256" s="14" t="inlineStr"/>
      <c r="I256" s="14" t="inlineStr">
        <is>
          <t>No</t>
        </is>
      </c>
      <c r="J256" s="14" t="inlineStr">
        <is>
          <t>Catalogo</t>
        </is>
      </c>
      <c r="K256" s="14" t="inlineStr">
        <is>
          <t>8+</t>
        </is>
      </c>
      <c r="L256" s="14" t="inlineStr">
        <is>
          <t>https://www.libri.it/frances-3</t>
        </is>
      </c>
      <c r="M256" s="16" t="n">
        <v>21</v>
      </c>
      <c r="N256" s="14" t="inlineStr">
        <is>
          <t>Lista titoli Logos Edizioni 2026 (PVP)</t>
        </is>
      </c>
      <c r="O256" s="16">
        <f>IF(ISNUMBER(M256),ROUND(M256*(1-Condizioni!$B$2),2),"")</f>
        <v/>
      </c>
      <c r="P256" s="17" t="inlineStr">
        <is>
          <t>No</t>
        </is>
      </c>
    </row>
    <row r="257">
      <c r="A257" s="14" t="inlineStr">
        <is>
          <t>Logos</t>
        </is>
      </c>
      <c r="B257" s="14" t="inlineStr">
        <is>
          <t>Glimt</t>
        </is>
      </c>
      <c r="C257" s="14" t="inlineStr">
        <is>
          <t>Rikke Bakman</t>
        </is>
      </c>
      <c r="D257" s="14" t="inlineStr">
        <is>
          <t>Fumetto</t>
        </is>
      </c>
      <c r="E257" s="14" t="inlineStr">
        <is>
          <t>da 8 anni</t>
        </is>
      </c>
      <c r="F257" s="14" t="inlineStr">
        <is>
          <t>8+</t>
        </is>
      </c>
      <c r="G257" s="14" t="inlineStr">
        <is>
          <t>Graphic novel/Fumetto</t>
        </is>
      </c>
      <c r="H257" s="14" t="inlineStr"/>
      <c r="I257" s="14" t="inlineStr">
        <is>
          <t>No</t>
        </is>
      </c>
      <c r="J257" s="14" t="inlineStr">
        <is>
          <t>Catalogo</t>
        </is>
      </c>
      <c r="K257" s="14" t="inlineStr">
        <is>
          <t>8+</t>
        </is>
      </c>
      <c r="L257" s="14" t="inlineStr">
        <is>
          <t>https://www.libri.it/glimt</t>
        </is>
      </c>
      <c r="M257" s="16" t="n">
        <v>20</v>
      </c>
      <c r="N257" s="14" t="inlineStr">
        <is>
          <t>Lista titoli Logos Edizioni 2026 (PVP)</t>
        </is>
      </c>
      <c r="O257" s="16">
        <f>IF(ISNUMBER(M257),ROUND(M257*(1-Condizioni!$B$2),2),"")</f>
        <v/>
      </c>
      <c r="P257" s="17" t="inlineStr">
        <is>
          <t>No</t>
        </is>
      </c>
    </row>
    <row r="258">
      <c r="A258" s="14" t="inlineStr">
        <is>
          <t>Logos</t>
        </is>
      </c>
      <c r="B258" s="14" t="inlineStr">
        <is>
          <t>Grindadráp (sea Shepherd)</t>
        </is>
      </c>
      <c r="C258" s="14" t="inlineStr">
        <is>
          <t>Geert Vons; ill. Roger Olmos</t>
        </is>
      </c>
      <c r="D258" s="14" t="inlineStr">
        <is>
          <t>Illustrati</t>
        </is>
      </c>
      <c r="E258" s="14" t="inlineStr">
        <is>
          <t>da 8 anni</t>
        </is>
      </c>
      <c r="F258" s="14" t="inlineStr">
        <is>
          <t>8+</t>
        </is>
      </c>
      <c r="G258" s="14" t="inlineStr">
        <is>
          <t>Albo illustrato</t>
        </is>
      </c>
      <c r="H258" s="14" t="inlineStr"/>
      <c r="I258" s="14" t="inlineStr">
        <is>
          <t>No</t>
        </is>
      </c>
      <c r="J258" s="14" t="inlineStr">
        <is>
          <t>Catalogo</t>
        </is>
      </c>
      <c r="K258" s="14" t="inlineStr">
        <is>
          <t>8+</t>
        </is>
      </c>
      <c r="L258" s="14" t="inlineStr">
        <is>
          <t>https://www.libri.it/grindadrap</t>
        </is>
      </c>
      <c r="M258" s="16" t="n">
        <v>10</v>
      </c>
      <c r="N258" s="14" t="inlineStr">
        <is>
          <t>Lista titoli Logos Edizioni 2026 (PVP)</t>
        </is>
      </c>
      <c r="O258" s="16">
        <f>IF(ISNUMBER(M258),ROUND(M258*(1-Condizioni!$B$2),2),"")</f>
        <v/>
      </c>
      <c r="P258" s="17" t="inlineStr">
        <is>
          <t>No</t>
        </is>
      </c>
    </row>
    <row r="259">
      <c r="A259" s="14" t="inlineStr">
        <is>
          <t>Logos</t>
        </is>
      </c>
      <c r="B259" s="14" t="inlineStr">
        <is>
          <t>Happy Meat</t>
        </is>
      </c>
      <c r="C259" s="14" t="inlineStr">
        <is>
          <t>Roger Olmos</t>
        </is>
      </c>
      <c r="D259" s="14" t="inlineStr">
        <is>
          <t>Illustrati</t>
        </is>
      </c>
      <c r="E259" s="14" t="inlineStr">
        <is>
          <t>da 8 anni</t>
        </is>
      </c>
      <c r="F259" s="14" t="inlineStr">
        <is>
          <t>8+</t>
        </is>
      </c>
      <c r="G259" s="14" t="inlineStr">
        <is>
          <t>Albo illustrato</t>
        </is>
      </c>
      <c r="H259" s="14" t="inlineStr"/>
      <c r="I259" s="14" t="inlineStr">
        <is>
          <t>No</t>
        </is>
      </c>
      <c r="J259" s="14" t="inlineStr">
        <is>
          <t>Catalogo</t>
        </is>
      </c>
      <c r="K259" s="14" t="inlineStr">
        <is>
          <t>8+</t>
        </is>
      </c>
      <c r="L259" s="14" t="inlineStr">
        <is>
          <t>https://www.libri.it/happy-meat</t>
        </is>
      </c>
      <c r="M259" s="16" t="n">
        <v>20</v>
      </c>
      <c r="N259" s="14" t="inlineStr">
        <is>
          <t>Lista titoli Logos Edizioni 2026 (PVP)</t>
        </is>
      </c>
      <c r="O259" s="16">
        <f>IF(ISNUMBER(M259),ROUND(M259*(1-Condizioni!$B$2),2),"")</f>
        <v/>
      </c>
      <c r="P259" s="17" t="inlineStr">
        <is>
          <t>No</t>
        </is>
      </c>
    </row>
    <row r="260">
      <c r="A260" s="14" t="inlineStr">
        <is>
          <t>Logos</t>
        </is>
      </c>
      <c r="B260" s="14" t="inlineStr">
        <is>
          <t>Henrietta e le Stelle</t>
        </is>
      </c>
      <c r="C260" s="14" t="inlineStr">
        <is>
          <t>Anna Paolini</t>
        </is>
      </c>
      <c r="D260" s="14" t="inlineStr">
        <is>
          <t>Illustrati</t>
        </is>
      </c>
      <c r="E260" s="14" t="inlineStr">
        <is>
          <t>da 8 anni</t>
        </is>
      </c>
      <c r="F260" s="14" t="inlineStr">
        <is>
          <t>8+</t>
        </is>
      </c>
      <c r="G260" s="14" t="inlineStr">
        <is>
          <t>Albo illustrato</t>
        </is>
      </c>
      <c r="H260" s="14" t="inlineStr"/>
      <c r="I260" s="14" t="inlineStr">
        <is>
          <t>No</t>
        </is>
      </c>
      <c r="J260" s="14" t="inlineStr">
        <is>
          <t>Catalogo</t>
        </is>
      </c>
      <c r="K260" s="14" t="inlineStr">
        <is>
          <t>8+</t>
        </is>
      </c>
      <c r="L260" s="14" t="inlineStr">
        <is>
          <t>https://www.libri.it/henrietta-e-le-stelle</t>
        </is>
      </c>
      <c r="M260" s="16" t="n">
        <v>18</v>
      </c>
      <c r="N260" s="14" t="inlineStr">
        <is>
          <t>Lista titoli Logos Edizioni 2026 (PVP)</t>
        </is>
      </c>
      <c r="O260" s="16">
        <f>IF(ISNUMBER(M260),ROUND(M260*(1-Condizioni!$B$2),2),"")</f>
        <v/>
      </c>
      <c r="P260" s="17" t="inlineStr">
        <is>
          <t>No</t>
        </is>
      </c>
    </row>
    <row r="261">
      <c r="A261" s="14" t="inlineStr">
        <is>
          <t>Logos</t>
        </is>
      </c>
      <c r="B261" s="14" t="inlineStr">
        <is>
          <t>Il Cimitero delle Parole Dolci</t>
        </is>
      </c>
      <c r="C261" s="14" t="inlineStr">
        <is>
          <t>Agnès Ledig; ill. Frédéric Pillot</t>
        </is>
      </c>
      <c r="D261" s="14" t="inlineStr">
        <is>
          <t>Albo Ciopi</t>
        </is>
      </c>
      <c r="E261" s="14" t="inlineStr">
        <is>
          <t>da 8 anni</t>
        </is>
      </c>
      <c r="F261" s="14" t="inlineStr">
        <is>
          <t>8+</t>
        </is>
      </c>
      <c r="G261" s="14" t="inlineStr">
        <is>
          <t>Albo illustrato</t>
        </is>
      </c>
      <c r="H261" s="14" t="inlineStr"/>
      <c r="I261" s="14" t="inlineStr">
        <is>
          <t>No</t>
        </is>
      </c>
      <c r="J261" s="14" t="inlineStr">
        <is>
          <t>Catalogo</t>
        </is>
      </c>
      <c r="K261" s="14" t="inlineStr">
        <is>
          <t>8+</t>
        </is>
      </c>
      <c r="L261" s="14" t="inlineStr">
        <is>
          <t>https://www.libri.it/cimitero-parole-dolci</t>
        </is>
      </c>
      <c r="M261" s="16" t="n">
        <v>18</v>
      </c>
      <c r="N261" s="14" t="inlineStr">
        <is>
          <t>Lista titoli Logos Edizioni 2026 (PVP)</t>
        </is>
      </c>
      <c r="O261" s="16">
        <f>IF(ISNUMBER(M261),ROUND(M261*(1-Condizioni!$B$2),2),"")</f>
        <v/>
      </c>
      <c r="P261" s="17" t="inlineStr">
        <is>
          <t>No</t>
        </is>
      </c>
    </row>
    <row r="262">
      <c r="A262" s="14" t="inlineStr">
        <is>
          <t>Logos</t>
        </is>
      </c>
      <c r="B262" s="14" t="inlineStr">
        <is>
          <t>Il Fantasma del Circo d’Inverno</t>
        </is>
      </c>
      <c r="C262" s="14" t="inlineStr">
        <is>
          <t>Fred Bernard; ill. François Roca</t>
        </is>
      </c>
      <c r="D262" s="14" t="inlineStr">
        <is>
          <t>Albo Ciopi</t>
        </is>
      </c>
      <c r="E262" s="14" t="inlineStr">
        <is>
          <t>da 8 anni</t>
        </is>
      </c>
      <c r="F262" s="14" t="inlineStr">
        <is>
          <t>8+</t>
        </is>
      </c>
      <c r="G262" s="14" t="inlineStr">
        <is>
          <t>Albo illustrato</t>
        </is>
      </c>
      <c r="H262" s="14" t="inlineStr"/>
      <c r="I262" s="14" t="inlineStr">
        <is>
          <t>No</t>
        </is>
      </c>
      <c r="J262" s="14" t="inlineStr">
        <is>
          <t>Catalogo</t>
        </is>
      </c>
      <c r="K262" s="14" t="inlineStr">
        <is>
          <t>8+</t>
        </is>
      </c>
      <c r="L262" s="14" t="inlineStr">
        <is>
          <t>https://www.libri.it/fantasma-del-circo-d-inverno</t>
        </is>
      </c>
      <c r="M262" s="16" t="n">
        <v>18</v>
      </c>
      <c r="N262" s="14" t="inlineStr">
        <is>
          <t>Lista titoli Logos Edizioni 2026 (PVP)</t>
        </is>
      </c>
      <c r="O262" s="16">
        <f>IF(ISNUMBER(M262),ROUND(M262*(1-Condizioni!$B$2),2),"")</f>
        <v/>
      </c>
      <c r="P262" s="17" t="inlineStr">
        <is>
          <t>No</t>
        </is>
      </c>
    </row>
    <row r="263">
      <c r="A263" s="14" t="inlineStr">
        <is>
          <t>Logos</t>
        </is>
      </c>
      <c r="B263" s="14" t="inlineStr">
        <is>
          <t>Il Giardino Segreto Vol. 1</t>
        </is>
      </c>
      <c r="C263" s="14" t="inlineStr">
        <is>
          <t>Maud Begon</t>
        </is>
      </c>
      <c r="D263" s="14" t="inlineStr">
        <is>
          <t>Fumetto Ciopi</t>
        </is>
      </c>
      <c r="E263" s="14" t="inlineStr">
        <is>
          <t>da 8 anni</t>
        </is>
      </c>
      <c r="F263" s="14" t="inlineStr">
        <is>
          <t>8+</t>
        </is>
      </c>
      <c r="G263" s="14" t="inlineStr">
        <is>
          <t>Graphic novel/Fumetto</t>
        </is>
      </c>
      <c r="H263" s="14" t="inlineStr"/>
      <c r="I263" s="14" t="inlineStr">
        <is>
          <t>No</t>
        </is>
      </c>
      <c r="J263" s="14" t="inlineStr">
        <is>
          <t>Catalogo</t>
        </is>
      </c>
      <c r="K263" s="14" t="inlineStr">
        <is>
          <t>8+</t>
        </is>
      </c>
      <c r="L263" s="14" t="inlineStr">
        <is>
          <t>https://www.libri.it/il-giardino-segreto-1</t>
        </is>
      </c>
      <c r="M263" s="16" t="n">
        <v>20</v>
      </c>
      <c r="N263" s="14" t="inlineStr">
        <is>
          <t>Lista titoli Logos Edizioni 2026 (PVP)</t>
        </is>
      </c>
      <c r="O263" s="16">
        <f>IF(ISNUMBER(M263),ROUND(M263*(1-Condizioni!$B$2),2),"")</f>
        <v/>
      </c>
      <c r="P263" s="17" t="inlineStr">
        <is>
          <t>No</t>
        </is>
      </c>
    </row>
    <row r="264">
      <c r="A264" s="14" t="inlineStr">
        <is>
          <t>Logos</t>
        </is>
      </c>
      <c r="B264" s="14" t="inlineStr">
        <is>
          <t>Il Giardino Segreto Vol. 2</t>
        </is>
      </c>
      <c r="C264" s="14" t="inlineStr">
        <is>
          <t>Maud Begon</t>
        </is>
      </c>
      <c r="D264" s="14" t="inlineStr">
        <is>
          <t>Fumetto Ciopi</t>
        </is>
      </c>
      <c r="E264" s="14" t="inlineStr">
        <is>
          <t>da 8 anni</t>
        </is>
      </c>
      <c r="F264" s="14" t="inlineStr">
        <is>
          <t>8+</t>
        </is>
      </c>
      <c r="G264" s="14" t="inlineStr">
        <is>
          <t>Graphic novel/Fumetto</t>
        </is>
      </c>
      <c r="H264" s="14" t="inlineStr"/>
      <c r="I264" s="14" t="inlineStr">
        <is>
          <t>No</t>
        </is>
      </c>
      <c r="J264" s="14" t="inlineStr">
        <is>
          <t>Catalogo</t>
        </is>
      </c>
      <c r="K264" s="14" t="inlineStr">
        <is>
          <t>8+</t>
        </is>
      </c>
      <c r="L264" s="14" t="inlineStr">
        <is>
          <t>https://www.libri.it/il-giardino-segreto-2</t>
        </is>
      </c>
      <c r="M264" s="16" t="n">
        <v>20</v>
      </c>
      <c r="N264" s="14" t="inlineStr">
        <is>
          <t>Lista titoli Logos Edizioni 2026 (PVP)</t>
        </is>
      </c>
      <c r="O264" s="16">
        <f>IF(ISNUMBER(M264),ROUND(M264*(1-Condizioni!$B$2),2),"")</f>
        <v/>
      </c>
      <c r="P264" s="17" t="inlineStr">
        <is>
          <t>No</t>
        </is>
      </c>
    </row>
    <row r="265">
      <c r="A265" s="14" t="inlineStr">
        <is>
          <t>Logos</t>
        </is>
      </c>
      <c r="B265" s="14" t="inlineStr">
        <is>
          <t>Il Libro Sacro</t>
        </is>
      </c>
      <c r="C265" s="14" t="inlineStr">
        <is>
          <t>Nicolás Arispe</t>
        </is>
      </c>
      <c r="D265" s="14" t="inlineStr">
        <is>
          <t>Illustrati</t>
        </is>
      </c>
      <c r="E265" s="14" t="inlineStr">
        <is>
          <t>da 8 anni</t>
        </is>
      </c>
      <c r="F265" s="14" t="inlineStr">
        <is>
          <t>8+</t>
        </is>
      </c>
      <c r="G265" s="14" t="inlineStr">
        <is>
          <t>Albo illustrato</t>
        </is>
      </c>
      <c r="H265" s="14" t="inlineStr"/>
      <c r="I265" s="14" t="inlineStr">
        <is>
          <t>No</t>
        </is>
      </c>
      <c r="J265" s="14" t="inlineStr">
        <is>
          <t>Catalogo</t>
        </is>
      </c>
      <c r="K265" s="14" t="inlineStr">
        <is>
          <t>8+</t>
        </is>
      </c>
      <c r="L265" s="14" t="inlineStr">
        <is>
          <t>https://www.libri.it/il-libro-sacro</t>
        </is>
      </c>
      <c r="M265" s="16" t="n">
        <v>15</v>
      </c>
      <c r="N265" s="14" t="inlineStr">
        <is>
          <t>Lista titoli Logos Edizioni 2026 (PVP)</t>
        </is>
      </c>
      <c r="O265" s="16">
        <f>IF(ISNUMBER(M265),ROUND(M265*(1-Condizioni!$B$2),2),"")</f>
        <v/>
      </c>
      <c r="P265" s="17" t="inlineStr">
        <is>
          <t>No</t>
        </is>
      </c>
    </row>
    <row r="266">
      <c r="A266" s="14" t="inlineStr">
        <is>
          <t>Logos</t>
        </is>
      </c>
      <c r="B266" s="14" t="inlineStr">
        <is>
          <t>Il Libro della Flora Imprudente</t>
        </is>
      </c>
      <c r="C266" s="14" t="inlineStr">
        <is>
          <t>Claudio Romo</t>
        </is>
      </c>
      <c r="D266" s="14" t="inlineStr">
        <is>
          <t>Illustrati</t>
        </is>
      </c>
      <c r="E266" s="14" t="inlineStr">
        <is>
          <t>da 8 anni</t>
        </is>
      </c>
      <c r="F266" s="14" t="inlineStr">
        <is>
          <t>8+</t>
        </is>
      </c>
      <c r="G266" s="14" t="inlineStr">
        <is>
          <t>Albo illustrato</t>
        </is>
      </c>
      <c r="H266" s="14" t="inlineStr"/>
      <c r="I266" s="14" t="inlineStr">
        <is>
          <t>No</t>
        </is>
      </c>
      <c r="J266" s="14" t="inlineStr">
        <is>
          <t>Catalogo</t>
        </is>
      </c>
      <c r="K266" s="14" t="inlineStr">
        <is>
          <t>8+</t>
        </is>
      </c>
      <c r="L266" s="14" t="inlineStr">
        <is>
          <t>https://www.libri.it/flora-imprudente</t>
        </is>
      </c>
      <c r="M266" s="16" t="n">
        <v>18</v>
      </c>
      <c r="N266" s="14" t="inlineStr">
        <is>
          <t>Lista titoli Logos Edizioni 2026 (PVP)</t>
        </is>
      </c>
      <c r="O266" s="16">
        <f>IF(ISNUMBER(M266),ROUND(M266*(1-Condizioni!$B$2),2),"")</f>
        <v/>
      </c>
      <c r="P266" s="17" t="inlineStr">
        <is>
          <t>No</t>
        </is>
      </c>
    </row>
    <row r="267">
      <c r="A267" s="14" t="inlineStr">
        <is>
          <t>Logos</t>
        </is>
      </c>
      <c r="B267" s="14" t="inlineStr">
        <is>
          <t>Il Pompiere di Lilliputia</t>
        </is>
      </c>
      <c r="C267" s="14" t="inlineStr">
        <is>
          <t>Fred Bernard; ill. François Roca</t>
        </is>
      </c>
      <c r="D267" s="14" t="inlineStr">
        <is>
          <t>Albo Ciopi</t>
        </is>
      </c>
      <c r="E267" s="14" t="inlineStr">
        <is>
          <t>da 8 anni</t>
        </is>
      </c>
      <c r="F267" s="14" t="inlineStr">
        <is>
          <t>8+</t>
        </is>
      </c>
      <c r="G267" s="14" t="inlineStr">
        <is>
          <t>Albo illustrato</t>
        </is>
      </c>
      <c r="H267" s="14" t="inlineStr"/>
      <c r="I267" s="14" t="inlineStr">
        <is>
          <t>No</t>
        </is>
      </c>
      <c r="J267" s="14" t="inlineStr">
        <is>
          <t>Catalogo</t>
        </is>
      </c>
      <c r="K267" s="14" t="inlineStr">
        <is>
          <t>8+</t>
        </is>
      </c>
      <c r="L267" s="14" t="inlineStr">
        <is>
          <t>https://www.libri.it/il-pompiere-di-lilliputia</t>
        </is>
      </c>
      <c r="M267" s="16" t="n">
        <v>18</v>
      </c>
      <c r="N267" s="14" t="inlineStr">
        <is>
          <t>Lista titoli Logos Edizioni 2026 (PVP)</t>
        </is>
      </c>
      <c r="O267" s="16">
        <f>IF(ISNUMBER(M267),ROUND(M267*(1-Condizioni!$B$2),2),"")</f>
        <v/>
      </c>
      <c r="P267" s="17" t="inlineStr">
        <is>
          <t>No</t>
        </is>
      </c>
    </row>
    <row r="268">
      <c r="A268" s="14" t="inlineStr">
        <is>
          <t>Logos</t>
        </is>
      </c>
      <c r="B268" s="14" t="inlineStr">
        <is>
          <t>Il Pozzo dei Topi</t>
        </is>
      </c>
      <c r="C268" s="14" t="inlineStr">
        <is>
          <t>Pascuala Corona; ill. David Daniel Álvarez</t>
        </is>
      </c>
      <c r="D268" s="14" t="inlineStr">
        <is>
          <t>Albo Ciopi</t>
        </is>
      </c>
      <c r="E268" s="14" t="inlineStr">
        <is>
          <t>da 8 anni</t>
        </is>
      </c>
      <c r="F268" s="14" t="inlineStr">
        <is>
          <t>8+</t>
        </is>
      </c>
      <c r="G268" s="14" t="inlineStr">
        <is>
          <t>Albo illustrato</t>
        </is>
      </c>
      <c r="H268" s="14" t="inlineStr"/>
      <c r="I268" s="14" t="inlineStr">
        <is>
          <t>No</t>
        </is>
      </c>
      <c r="J268" s="14" t="inlineStr">
        <is>
          <t>Catalogo</t>
        </is>
      </c>
      <c r="K268" s="14" t="inlineStr">
        <is>
          <t>8+</t>
        </is>
      </c>
      <c r="L268" s="14" t="inlineStr">
        <is>
          <t>https://www.libri.it/il-pozzo-dei-topi</t>
        </is>
      </c>
      <c r="M268" s="16" t="n">
        <v>15</v>
      </c>
      <c r="N268" s="14" t="inlineStr">
        <is>
          <t>Lista titoli Logos Edizioni 2026 (PVP)</t>
        </is>
      </c>
      <c r="O268" s="16">
        <f>IF(ISNUMBER(M268),ROUND(M268*(1-Condizioni!$B$2),2),"")</f>
        <v/>
      </c>
      <c r="P268" s="17" t="inlineStr">
        <is>
          <t>No</t>
        </is>
      </c>
    </row>
    <row r="269">
      <c r="A269" s="14" t="inlineStr">
        <is>
          <t>Logos</t>
        </is>
      </c>
      <c r="B269" s="14" t="inlineStr">
        <is>
          <t>Il Quaderno degli Incubi</t>
        </is>
      </c>
      <c r="C269" s="14" t="inlineStr">
        <is>
          <t>Ricardo Chávez Castañeda; ill. Israel Barrón</t>
        </is>
      </c>
      <c r="D269" s="14" t="inlineStr">
        <is>
          <t>Albo Ciopi</t>
        </is>
      </c>
      <c r="E269" s="14" t="inlineStr">
        <is>
          <t>da 8 anni</t>
        </is>
      </c>
      <c r="F269" s="14" t="inlineStr">
        <is>
          <t>8+</t>
        </is>
      </c>
      <c r="G269" s="14" t="inlineStr">
        <is>
          <t>Albo illustrato</t>
        </is>
      </c>
      <c r="H269" s="14" t="inlineStr"/>
      <c r="I269" s="14" t="inlineStr">
        <is>
          <t>No</t>
        </is>
      </c>
      <c r="J269" s="14" t="inlineStr">
        <is>
          <t>Catalogo</t>
        </is>
      </c>
      <c r="K269" s="14" t="inlineStr">
        <is>
          <t>8+</t>
        </is>
      </c>
      <c r="L269" s="14" t="inlineStr">
        <is>
          <t>https://www.libri.it/il-quaderno-degli-incubi</t>
        </is>
      </c>
      <c r="M269" s="16" t="n">
        <v>15</v>
      </c>
      <c r="N269" s="14" t="inlineStr">
        <is>
          <t>Lista titoli Logos Edizioni 2026 (PVP)</t>
        </is>
      </c>
      <c r="O269" s="16">
        <f>IF(ISNUMBER(M269),ROUND(M269*(1-Condizioni!$B$2),2),"")</f>
        <v/>
      </c>
      <c r="P269" s="17" t="inlineStr">
        <is>
          <t>No</t>
        </is>
      </c>
    </row>
    <row r="270">
      <c r="A270" s="14" t="inlineStr">
        <is>
          <t>Logos</t>
        </is>
      </c>
      <c r="B270" s="14" t="inlineStr">
        <is>
          <t>Il Richiamo della Foresta</t>
        </is>
      </c>
      <c r="C270" s="14" t="inlineStr">
        <is>
          <t>Roger Olmos</t>
        </is>
      </c>
      <c r="D270" s="14" t="inlineStr">
        <is>
          <t>Classici Della Ciopi</t>
        </is>
      </c>
      <c r="E270" s="14" t="inlineStr">
        <is>
          <t>da 8 anni</t>
        </is>
      </c>
      <c r="F270" s="14" t="inlineStr">
        <is>
          <t>8+</t>
        </is>
      </c>
      <c r="G270" s="14" t="inlineStr">
        <is>
          <t>Albo illustrato</t>
        </is>
      </c>
      <c r="H270" s="14" t="inlineStr"/>
      <c r="I270" s="14" t="inlineStr">
        <is>
          <t>No</t>
        </is>
      </c>
      <c r="J270" s="14" t="inlineStr">
        <is>
          <t>Catalogo</t>
        </is>
      </c>
      <c r="K270" s="14" t="inlineStr">
        <is>
          <t>8+</t>
        </is>
      </c>
      <c r="L270" s="14" t="inlineStr">
        <is>
          <t>https://www.libri.it/il-richiamo-della-foresta-roger-olmos</t>
        </is>
      </c>
      <c r="M270" s="16" t="n">
        <v>14</v>
      </c>
      <c r="N270" s="14" t="inlineStr">
        <is>
          <t>Lista titoli Logos Edizioni 2026 (PVP)</t>
        </is>
      </c>
      <c r="O270" s="16">
        <f>IF(ISNUMBER(M270),ROUND(M270*(1-Condizioni!$B$2),2),"")</f>
        <v/>
      </c>
      <c r="P270" s="17" t="inlineStr">
        <is>
          <t>No</t>
        </is>
      </c>
    </row>
    <row r="271">
      <c r="A271" s="14" t="inlineStr">
        <is>
          <t>Logos</t>
        </is>
      </c>
      <c r="B271" s="14" t="inlineStr">
        <is>
          <t>Il Signor Coccodrillo Ha Molta Fame</t>
        </is>
      </c>
      <c r="C271" s="14" t="inlineStr">
        <is>
          <t>Joann Sfar</t>
        </is>
      </c>
      <c r="D271" s="14" t="inlineStr">
        <is>
          <t>Fumetto Ciopi</t>
        </is>
      </c>
      <c r="E271" s="14" t="inlineStr">
        <is>
          <t>da 8 anni</t>
        </is>
      </c>
      <c r="F271" s="14" t="inlineStr">
        <is>
          <t>8+</t>
        </is>
      </c>
      <c r="G271" s="14" t="inlineStr">
        <is>
          <t>Graphic novel/Fumetto</t>
        </is>
      </c>
      <c r="H271" s="14" t="inlineStr"/>
      <c r="I271" s="14" t="inlineStr">
        <is>
          <t>No</t>
        </is>
      </c>
      <c r="J271" s="14" t="inlineStr">
        <is>
          <t>Catalogo</t>
        </is>
      </c>
      <c r="K271" s="14" t="inlineStr">
        <is>
          <t>8+</t>
        </is>
      </c>
      <c r="L271" s="14" t="inlineStr">
        <is>
          <t>https://www.libri.it/il-signor-coccodrillo-ha-molta-fame</t>
        </is>
      </c>
      <c r="M271" s="16" t="n">
        <v>13</v>
      </c>
      <c r="N271" s="14" t="inlineStr">
        <is>
          <t>Lista titoli Logos Edizioni 2026 (PVP)</t>
        </is>
      </c>
      <c r="O271" s="16">
        <f>IF(ISNUMBER(M271),ROUND(M271*(1-Condizioni!$B$2),2),"")</f>
        <v/>
      </c>
      <c r="P271" s="17" t="inlineStr">
        <is>
          <t>No</t>
        </is>
      </c>
    </row>
    <row r="272">
      <c r="A272" s="14" t="inlineStr">
        <is>
          <t>Logos</t>
        </is>
      </c>
      <c r="B272" s="14" t="inlineStr">
        <is>
          <t>Immagina di Essere Qui Anche Tu</t>
        </is>
      </c>
      <c r="C272" s="14" t="inlineStr">
        <is>
          <t>Sara d'Angelo; ill. Alessandra Manfredi</t>
        </is>
      </c>
      <c r="D272" s="14" t="inlineStr">
        <is>
          <t>Illustrati</t>
        </is>
      </c>
      <c r="E272" s="14" t="inlineStr">
        <is>
          <t>da 8 anni</t>
        </is>
      </c>
      <c r="F272" s="14" t="inlineStr">
        <is>
          <t>8+</t>
        </is>
      </c>
      <c r="G272" s="14" t="inlineStr">
        <is>
          <t>Albo illustrato</t>
        </is>
      </c>
      <c r="H272" s="14" t="inlineStr"/>
      <c r="I272" s="14" t="inlineStr">
        <is>
          <t>No</t>
        </is>
      </c>
      <c r="J272" s="14" t="inlineStr">
        <is>
          <t>Catalogo</t>
        </is>
      </c>
      <c r="K272" s="14" t="inlineStr">
        <is>
          <t>8+</t>
        </is>
      </c>
      <c r="L272" s="14" t="inlineStr">
        <is>
          <t>https://www.libri.it/immagina-di-essere-qui-anche-tu</t>
        </is>
      </c>
      <c r="M272" s="16" t="n">
        <v>18</v>
      </c>
      <c r="N272" s="14" t="inlineStr">
        <is>
          <t>Lista titoli Logos Edizioni 2026 (PVP)</t>
        </is>
      </c>
      <c r="O272" s="16">
        <f>IF(ISNUMBER(M272),ROUND(M272*(1-Condizioni!$B$2),2),"")</f>
        <v/>
      </c>
      <c r="P272" s="17" t="inlineStr">
        <is>
          <t>No</t>
        </is>
      </c>
    </row>
    <row r="273">
      <c r="A273" s="14" t="inlineStr">
        <is>
          <t>Logos</t>
        </is>
      </c>
      <c r="B273" s="14" t="inlineStr">
        <is>
          <t>Jack London</t>
        </is>
      </c>
      <c r="C273" s="14" t="inlineStr">
        <is>
          <t>Nicolás Arispe</t>
        </is>
      </c>
      <c r="D273" s="14" t="inlineStr">
        <is>
          <t>Illustrati</t>
        </is>
      </c>
      <c r="E273" s="14" t="inlineStr">
        <is>
          <t>da 8 anni</t>
        </is>
      </c>
      <c r="F273" s="14" t="inlineStr">
        <is>
          <t>8+</t>
        </is>
      </c>
      <c r="G273" s="14" t="inlineStr">
        <is>
          <t>Albo illustrato</t>
        </is>
      </c>
      <c r="H273" s="14" t="inlineStr"/>
      <c r="I273" s="14" t="inlineStr">
        <is>
          <t>No</t>
        </is>
      </c>
      <c r="J273" s="14" t="inlineStr">
        <is>
          <t>Catalogo</t>
        </is>
      </c>
      <c r="K273" s="14" t="inlineStr">
        <is>
          <t>8+</t>
        </is>
      </c>
      <c r="L273" s="14" t="inlineStr">
        <is>
          <t>https://www.libri.it/jack-london</t>
        </is>
      </c>
      <c r="M273" s="16" t="n">
        <v>19</v>
      </c>
      <c r="N273" s="14" t="inlineStr">
        <is>
          <t>Lista titoli Logos Edizioni 2026 (PVP)</t>
        </is>
      </c>
      <c r="O273" s="16">
        <f>IF(ISNUMBER(M273),ROUND(M273*(1-Condizioni!$B$2),2),"")</f>
        <v/>
      </c>
      <c r="P273" s="17" t="inlineStr">
        <is>
          <t>No</t>
        </is>
      </c>
    </row>
    <row r="274">
      <c r="A274" s="14" t="inlineStr">
        <is>
          <t>Logos</t>
        </is>
      </c>
      <c r="B274" s="14" t="inlineStr">
        <is>
          <t>Jumanji</t>
        </is>
      </c>
      <c r="C274" s="14" t="inlineStr">
        <is>
          <t>Chris Van Allsburg</t>
        </is>
      </c>
      <c r="D274" s="14" t="inlineStr">
        <is>
          <t>Albo Ciopi</t>
        </is>
      </c>
      <c r="E274" s="14" t="inlineStr">
        <is>
          <t>da 8 anni</t>
        </is>
      </c>
      <c r="F274" s="14" t="inlineStr">
        <is>
          <t>8+</t>
        </is>
      </c>
      <c r="G274" s="14" t="inlineStr">
        <is>
          <t>Albo illustrato</t>
        </is>
      </c>
      <c r="H274" s="14" t="inlineStr"/>
      <c r="I274" s="14" t="inlineStr">
        <is>
          <t>No</t>
        </is>
      </c>
      <c r="J274" s="14" t="inlineStr">
        <is>
          <t>Catalogo</t>
        </is>
      </c>
      <c r="K274" s="14" t="inlineStr">
        <is>
          <t>8+</t>
        </is>
      </c>
      <c r="L274" s="14" t="inlineStr">
        <is>
          <t>https://www.libri.it/jumanji</t>
        </is>
      </c>
      <c r="M274" s="16" t="n">
        <v>16</v>
      </c>
      <c r="N274" s="14" t="inlineStr">
        <is>
          <t>Lista titoli Logos Edizioni 2026 (PVP)</t>
        </is>
      </c>
      <c r="O274" s="16">
        <f>IF(ISNUMBER(M274),ROUND(M274*(1-Condizioni!$B$2),2),"")</f>
        <v/>
      </c>
      <c r="P274" s="17" t="inlineStr">
        <is>
          <t>No</t>
        </is>
      </c>
    </row>
    <row r="275">
      <c r="A275" s="14" t="inlineStr">
        <is>
          <t>Logos</t>
        </is>
      </c>
      <c r="B275" s="14" t="inlineStr">
        <is>
          <t>King Kong</t>
        </is>
      </c>
      <c r="C275" s="14" t="inlineStr">
        <is>
          <t>Fred Bernard; ill. François Roca</t>
        </is>
      </c>
      <c r="D275" s="14" t="inlineStr">
        <is>
          <t>Albo Ciopi</t>
        </is>
      </c>
      <c r="E275" s="14" t="inlineStr">
        <is>
          <t>da 8 anni</t>
        </is>
      </c>
      <c r="F275" s="14" t="inlineStr">
        <is>
          <t>8+</t>
        </is>
      </c>
      <c r="G275" s="14" t="inlineStr">
        <is>
          <t>Albo illustrato</t>
        </is>
      </c>
      <c r="H275" s="14" t="inlineStr"/>
      <c r="I275" s="14" t="inlineStr">
        <is>
          <t>No</t>
        </is>
      </c>
      <c r="J275" s="14" t="inlineStr">
        <is>
          <t>Catalogo</t>
        </is>
      </c>
      <c r="K275" s="14" t="inlineStr">
        <is>
          <t>8+</t>
        </is>
      </c>
      <c r="L275" s="14" t="inlineStr">
        <is>
          <t>https://www.libri.it/king-kong</t>
        </is>
      </c>
      <c r="M275" s="16" t="n">
        <v>19.5</v>
      </c>
      <c r="N275" s="14" t="inlineStr">
        <is>
          <t>Lista titoli Logos Edizioni 2026 (PVP)</t>
        </is>
      </c>
      <c r="O275" s="16">
        <f>IF(ISNUMBER(M275),ROUND(M275*(1-Condizioni!$B$2),2),"")</f>
        <v/>
      </c>
      <c r="P275" s="17" t="inlineStr">
        <is>
          <t>No</t>
        </is>
      </c>
    </row>
    <row r="276">
      <c r="A276" s="14" t="inlineStr">
        <is>
          <t>Logos</t>
        </is>
      </c>
      <c r="B276" s="14" t="inlineStr">
        <is>
          <t>La Bianchina</t>
        </is>
      </c>
      <c r="C276" s="14" t="inlineStr">
        <is>
          <t>Nicolás Arispe</t>
        </is>
      </c>
      <c r="D276" s="14" t="inlineStr">
        <is>
          <t>Illustrati</t>
        </is>
      </c>
      <c r="E276" s="14" t="inlineStr">
        <is>
          <t>da 8 anni</t>
        </is>
      </c>
      <c r="F276" s="14" t="inlineStr">
        <is>
          <t>8+</t>
        </is>
      </c>
      <c r="G276" s="14" t="inlineStr">
        <is>
          <t>Albo illustrato</t>
        </is>
      </c>
      <c r="H276" s="14" t="inlineStr"/>
      <c r="I276" s="14" t="inlineStr">
        <is>
          <t>No</t>
        </is>
      </c>
      <c r="J276" s="14" t="inlineStr">
        <is>
          <t>Catalogo</t>
        </is>
      </c>
      <c r="K276" s="14" t="inlineStr">
        <is>
          <t>8+</t>
        </is>
      </c>
      <c r="L276" s="14" t="inlineStr">
        <is>
          <t>https://www.libri.it/la-bianchina</t>
        </is>
      </c>
      <c r="M276" s="16" t="n">
        <v>18</v>
      </c>
      <c r="N276" s="14" t="inlineStr">
        <is>
          <t>Lista titoli Logos Edizioni 2026 (PVP)</t>
        </is>
      </c>
      <c r="O276" s="16">
        <f>IF(ISNUMBER(M276),ROUND(M276*(1-Condizioni!$B$2),2),"")</f>
        <v/>
      </c>
      <c r="P276" s="17" t="inlineStr">
        <is>
          <t>No</t>
        </is>
      </c>
    </row>
    <row r="277">
      <c r="A277" s="14" t="inlineStr">
        <is>
          <t>Logos</t>
        </is>
      </c>
      <c r="B277" s="14" t="inlineStr">
        <is>
          <t>La Figlia del Samurai</t>
        </is>
      </c>
      <c r="C277" s="14" t="inlineStr">
        <is>
          <t>Fred Bernard; ill. François Roca</t>
        </is>
      </c>
      <c r="D277" s="14" t="inlineStr">
        <is>
          <t>Albo Ciopi</t>
        </is>
      </c>
      <c r="E277" s="14" t="inlineStr">
        <is>
          <t>da 8 anni</t>
        </is>
      </c>
      <c r="F277" s="14" t="inlineStr">
        <is>
          <t>8+</t>
        </is>
      </c>
      <c r="G277" s="14" t="inlineStr">
        <is>
          <t>Albo illustrato</t>
        </is>
      </c>
      <c r="H277" s="14" t="inlineStr"/>
      <c r="I277" s="14" t="inlineStr">
        <is>
          <t>No</t>
        </is>
      </c>
      <c r="J277" s="14" t="inlineStr">
        <is>
          <t>Catalogo</t>
        </is>
      </c>
      <c r="K277" s="14" t="inlineStr">
        <is>
          <t>8+</t>
        </is>
      </c>
      <c r="L277" s="14" t="inlineStr">
        <is>
          <t>https://www.libri.it/figlia-del-samurai</t>
        </is>
      </c>
      <c r="M277" s="16" t="n">
        <v>18</v>
      </c>
      <c r="N277" s="14" t="inlineStr">
        <is>
          <t>Lista titoli Logos Edizioni 2026 (PVP)</t>
        </is>
      </c>
      <c r="O277" s="16">
        <f>IF(ISNUMBER(M277),ROUND(M277*(1-Condizioni!$B$2),2),"")</f>
        <v/>
      </c>
      <c r="P277" s="17" t="inlineStr">
        <is>
          <t>No</t>
        </is>
      </c>
    </row>
    <row r="278">
      <c r="A278" s="14" t="inlineStr">
        <is>
          <t>Logos</t>
        </is>
      </c>
      <c r="B278" s="14" t="inlineStr">
        <is>
          <t>La Foca Bianca</t>
        </is>
      </c>
      <c r="C278" s="14" t="inlineStr">
        <is>
          <t>Rudyard Kipling; ill. Roger Olmos</t>
        </is>
      </c>
      <c r="D278" s="14" t="inlineStr">
        <is>
          <t>Classici Della Ciopi</t>
        </is>
      </c>
      <c r="E278" s="14" t="inlineStr">
        <is>
          <t>da 8 anni</t>
        </is>
      </c>
      <c r="F278" s="14" t="inlineStr">
        <is>
          <t>8+</t>
        </is>
      </c>
      <c r="G278" s="14" t="inlineStr">
        <is>
          <t>Albo illustrato</t>
        </is>
      </c>
      <c r="H278" s="14" t="inlineStr"/>
      <c r="I278" s="14" t="inlineStr">
        <is>
          <t>No</t>
        </is>
      </c>
      <c r="J278" s="14" t="inlineStr">
        <is>
          <t>Catalogo</t>
        </is>
      </c>
      <c r="K278" s="14" t="inlineStr">
        <is>
          <t>8+</t>
        </is>
      </c>
      <c r="L278" s="14" t="inlineStr">
        <is>
          <t>https://www.libri.it/la-foca-bianca</t>
        </is>
      </c>
      <c r="M278" s="16" t="n">
        <v>10</v>
      </c>
      <c r="N278" s="14" t="inlineStr">
        <is>
          <t>Lista titoli Logos Edizioni 2026 (PVP)</t>
        </is>
      </c>
      <c r="O278" s="16">
        <f>IF(ISNUMBER(M278),ROUND(M278*(1-Condizioni!$B$2),2),"")</f>
        <v/>
      </c>
      <c r="P278" s="17" t="inlineStr">
        <is>
          <t>No</t>
        </is>
      </c>
    </row>
    <row r="279">
      <c r="A279" s="14" t="inlineStr">
        <is>
          <t>Logos</t>
        </is>
      </c>
      <c r="B279" s="14" t="inlineStr">
        <is>
          <t>La Foca Bianca - Edizione Speciale</t>
        </is>
      </c>
      <c r="C279" s="14" t="inlineStr">
        <is>
          <t>Rudyard Kipling; ill. Roger Olmos</t>
        </is>
      </c>
      <c r="D279" s="14" t="inlineStr">
        <is>
          <t>Illustrati</t>
        </is>
      </c>
      <c r="E279" s="14" t="inlineStr">
        <is>
          <t>da 8 anni</t>
        </is>
      </c>
      <c r="F279" s="14" t="inlineStr">
        <is>
          <t>8+</t>
        </is>
      </c>
      <c r="G279" s="14" t="inlineStr">
        <is>
          <t>Albo illustrato</t>
        </is>
      </c>
      <c r="H279" s="14" t="inlineStr"/>
      <c r="I279" s="14" t="inlineStr">
        <is>
          <t>No</t>
        </is>
      </c>
      <c r="J279" s="14" t="inlineStr">
        <is>
          <t>Catalogo</t>
        </is>
      </c>
      <c r="K279" s="14" t="inlineStr">
        <is>
          <t>8+</t>
        </is>
      </c>
      <c r="L279" s="14" t="inlineStr">
        <is>
          <t>https://www.libri.it/la-foca-bianca-deluxe</t>
        </is>
      </c>
      <c r="M279" s="16" t="n">
        <v>20</v>
      </c>
      <c r="N279" s="14" t="inlineStr">
        <is>
          <t>Lista titoli Logos Edizioni 2026 (PVP)</t>
        </is>
      </c>
      <c r="O279" s="16">
        <f>IF(ISNUMBER(M279),ROUND(M279*(1-Condizioni!$B$2),2),"")</f>
        <v/>
      </c>
      <c r="P279" s="17" t="inlineStr">
        <is>
          <t>No</t>
        </is>
      </c>
    </row>
    <row r="280">
      <c r="A280" s="14" t="inlineStr">
        <is>
          <t>Logos</t>
        </is>
      </c>
      <c r="B280" s="14" t="inlineStr">
        <is>
          <t>La Maledizione dell’Anello d’Oro</t>
        </is>
      </c>
      <c r="C280" s="14" t="inlineStr">
        <is>
          <t>Fred Bernard; ill. François Roca</t>
        </is>
      </c>
      <c r="D280" s="14" t="inlineStr">
        <is>
          <t>Albo Ciopi</t>
        </is>
      </c>
      <c r="E280" s="14" t="inlineStr">
        <is>
          <t>da 8 anni</t>
        </is>
      </c>
      <c r="F280" s="14" t="inlineStr">
        <is>
          <t>8+</t>
        </is>
      </c>
      <c r="G280" s="14" t="inlineStr">
        <is>
          <t>Albo illustrato</t>
        </is>
      </c>
      <c r="H280" s="14" t="inlineStr"/>
      <c r="I280" s="14" t="inlineStr">
        <is>
          <t>No</t>
        </is>
      </c>
      <c r="J280" s="14" t="inlineStr">
        <is>
          <t>Catalogo</t>
        </is>
      </c>
      <c r="K280" s="14" t="inlineStr">
        <is>
          <t>8+</t>
        </is>
      </c>
      <c r="L280" s="14" t="inlineStr">
        <is>
          <t>https://www.libri.it/maledizione-anello-d-oro</t>
        </is>
      </c>
      <c r="M280" s="16" t="n">
        <v>18.5</v>
      </c>
      <c r="N280" s="14" t="inlineStr">
        <is>
          <t>Lista titoli Logos Edizioni 2026 (PVP)</t>
        </is>
      </c>
      <c r="O280" s="16">
        <f>IF(ISNUMBER(M280),ROUND(M280*(1-Condizioni!$B$2),2),"")</f>
        <v/>
      </c>
      <c r="P280" s="17" t="inlineStr">
        <is>
          <t>No</t>
        </is>
      </c>
    </row>
    <row r="281">
      <c r="A281" s="14" t="inlineStr">
        <is>
          <t>Logos</t>
        </is>
      </c>
      <c r="B281" s="14" t="inlineStr">
        <is>
          <t>La Signora Stirellina</t>
        </is>
      </c>
      <c r="C281" s="14" t="inlineStr">
        <is>
          <t>Graciela Beatriz Cabal; ill. Giulia Pintus</t>
        </is>
      </c>
      <c r="D281" s="14" t="inlineStr">
        <is>
          <t>Biblioteca Ciopi</t>
        </is>
      </c>
      <c r="E281" s="14" t="inlineStr">
        <is>
          <t>da 8 anni</t>
        </is>
      </c>
      <c r="F281" s="14" t="inlineStr">
        <is>
          <t>8+</t>
        </is>
      </c>
      <c r="G281" s="14" t="inlineStr">
        <is>
          <t>Narrativa</t>
        </is>
      </c>
      <c r="H281" s="14" t="inlineStr"/>
      <c r="I281" s="14" t="inlineStr">
        <is>
          <t>No</t>
        </is>
      </c>
      <c r="J281" s="14" t="inlineStr">
        <is>
          <t>Catalogo</t>
        </is>
      </c>
      <c r="K281" s="14" t="inlineStr">
        <is>
          <t>8+, narrativa</t>
        </is>
      </c>
      <c r="L281" s="14" t="inlineStr">
        <is>
          <t>https://www.libri.it/la-signora-stirellina</t>
        </is>
      </c>
      <c r="M281" s="16" t="n">
        <v>9</v>
      </c>
      <c r="N281" s="14" t="inlineStr">
        <is>
          <t>Lista titoli Logos Edizioni 2026 (PVP)</t>
        </is>
      </c>
      <c r="O281" s="16">
        <f>IF(ISNUMBER(M281),ROUND(M281*(1-Condizioni!$B$2),2),"")</f>
        <v/>
      </c>
      <c r="P281" s="17" t="inlineStr">
        <is>
          <t>No</t>
        </is>
      </c>
    </row>
    <row r="282">
      <c r="A282" s="14" t="inlineStr">
        <is>
          <t>Logos</t>
        </is>
      </c>
      <c r="B282" s="14" t="inlineStr">
        <is>
          <t>La Signorina Peppina</t>
        </is>
      </c>
      <c r="C282" s="14" t="inlineStr">
        <is>
          <t>Paloma Bordons; ill. Giulia Pintus</t>
        </is>
      </c>
      <c r="D282" s="14" t="inlineStr">
        <is>
          <t>Biblioteca Ciopi</t>
        </is>
      </c>
      <c r="E282" s="14" t="inlineStr">
        <is>
          <t>da 8 anni</t>
        </is>
      </c>
      <c r="F282" s="14" t="inlineStr">
        <is>
          <t>8+</t>
        </is>
      </c>
      <c r="G282" s="14" t="inlineStr">
        <is>
          <t>Narrativa</t>
        </is>
      </c>
      <c r="H282" s="14" t="inlineStr"/>
      <c r="I282" s="14" t="inlineStr">
        <is>
          <t>No</t>
        </is>
      </c>
      <c r="J282" s="14" t="inlineStr">
        <is>
          <t>Catalogo</t>
        </is>
      </c>
      <c r="K282" s="14" t="inlineStr">
        <is>
          <t>8+, narrativa</t>
        </is>
      </c>
      <c r="L282" s="14" t="inlineStr">
        <is>
          <t>https://www.libri.it/la-signorina-peppina</t>
        </is>
      </c>
      <c r="M282" s="16" t="n">
        <v>8</v>
      </c>
      <c r="N282" s="14" t="inlineStr">
        <is>
          <t>Lista titoli Logos Edizioni 2026 (PVP)</t>
        </is>
      </c>
      <c r="O282" s="16">
        <f>IF(ISNUMBER(M282),ROUND(M282*(1-Condizioni!$B$2),2),"")</f>
        <v/>
      </c>
      <c r="P282" s="17" t="inlineStr">
        <is>
          <t>No</t>
        </is>
      </c>
    </row>
    <row r="283">
      <c r="A283" s="14" t="inlineStr">
        <is>
          <t>Logos</t>
        </is>
      </c>
      <c r="B283" s="14" t="inlineStr">
        <is>
          <t>La Zanzara</t>
        </is>
      </c>
      <c r="C283" s="14" t="inlineStr">
        <is>
          <t>Margarita del Mazo; ill. Roger Olmos</t>
        </is>
      </c>
      <c r="D283" s="14" t="inlineStr">
        <is>
          <t>Albo Ciopi</t>
        </is>
      </c>
      <c r="E283" s="14" t="inlineStr">
        <is>
          <t>da 8 anni</t>
        </is>
      </c>
      <c r="F283" s="14" t="inlineStr">
        <is>
          <t>8+</t>
        </is>
      </c>
      <c r="G283" s="14" t="inlineStr">
        <is>
          <t>Albo illustrato</t>
        </is>
      </c>
      <c r="H283" s="14" t="inlineStr"/>
      <c r="I283" s="14" t="inlineStr">
        <is>
          <t>No</t>
        </is>
      </c>
      <c r="J283" s="14" t="inlineStr">
        <is>
          <t>Catalogo</t>
        </is>
      </c>
      <c r="K283" s="14" t="inlineStr">
        <is>
          <t>8+</t>
        </is>
      </c>
      <c r="L283" s="14" t="inlineStr">
        <is>
          <t>https://www.libri.it/zanzara</t>
        </is>
      </c>
      <c r="M283" s="16" t="n">
        <v>14.5</v>
      </c>
      <c r="N283" s="14" t="inlineStr">
        <is>
          <t>Lista titoli Logos Edizioni 2026 (PVP)</t>
        </is>
      </c>
      <c r="O283" s="16">
        <f>IF(ISNUMBER(M283),ROUND(M283*(1-Condizioni!$B$2),2),"")</f>
        <v/>
      </c>
      <c r="P283" s="17" t="inlineStr">
        <is>
          <t>No</t>
        </is>
      </c>
    </row>
    <row r="284">
      <c r="A284" s="14" t="inlineStr">
        <is>
          <t>Logos</t>
        </is>
      </c>
      <c r="B284" s="14" t="inlineStr">
        <is>
          <t>Lala</t>
        </is>
      </c>
      <c r="C284" s="14" t="inlineStr">
        <is>
          <t>Malika Fouchier</t>
        </is>
      </c>
      <c r="D284" s="14" t="inlineStr">
        <is>
          <t>Fumetto Ciopi</t>
        </is>
      </c>
      <c r="E284" s="14" t="inlineStr">
        <is>
          <t>da 8 anni</t>
        </is>
      </c>
      <c r="F284" s="14" t="inlineStr">
        <is>
          <t>8+</t>
        </is>
      </c>
      <c r="G284" s="14" t="inlineStr">
        <is>
          <t>Graphic novel/Fumetto</t>
        </is>
      </c>
      <c r="H284" s="14" t="inlineStr"/>
      <c r="I284" s="14" t="inlineStr">
        <is>
          <t>No</t>
        </is>
      </c>
      <c r="J284" s="14" t="inlineStr">
        <is>
          <t>Catalogo</t>
        </is>
      </c>
      <c r="K284" s="14" t="inlineStr">
        <is>
          <t>8+</t>
        </is>
      </c>
      <c r="L284" s="14" t="inlineStr">
        <is>
          <t>https://www.libri.it/lala</t>
        </is>
      </c>
      <c r="M284" s="16" t="n">
        <v>13</v>
      </c>
      <c r="N284" s="14" t="inlineStr">
        <is>
          <t>Lista titoli Logos Edizioni 2026 (PVP)</t>
        </is>
      </c>
      <c r="O284" s="16">
        <f>IF(ISNUMBER(M284),ROUND(M284*(1-Condizioni!$B$2),2),"")</f>
        <v/>
      </c>
      <c r="P284" s="17" t="inlineStr">
        <is>
          <t>No</t>
        </is>
      </c>
    </row>
    <row r="285">
      <c r="A285" s="14" t="inlineStr">
        <is>
          <t>Logos</t>
        </is>
      </c>
      <c r="B285" s="14" t="inlineStr">
        <is>
          <t>Le Fate Brillano al Buio</t>
        </is>
      </c>
      <c r="C285" s="14" t="inlineStr">
        <is>
          <t>Graciela Beatriz Cabal; ill. Giulia Pintus</t>
        </is>
      </c>
      <c r="D285" s="14" t="inlineStr">
        <is>
          <t>Biblioteca Ciopi</t>
        </is>
      </c>
      <c r="E285" s="14" t="inlineStr">
        <is>
          <t>da 8 anni</t>
        </is>
      </c>
      <c r="F285" s="14" t="inlineStr">
        <is>
          <t>8+</t>
        </is>
      </c>
      <c r="G285" s="14" t="inlineStr">
        <is>
          <t>Narrativa</t>
        </is>
      </c>
      <c r="H285" s="14" t="inlineStr"/>
      <c r="I285" s="14" t="inlineStr">
        <is>
          <t>No</t>
        </is>
      </c>
      <c r="J285" s="14" t="inlineStr">
        <is>
          <t>Catalogo</t>
        </is>
      </c>
      <c r="K285" s="14" t="inlineStr">
        <is>
          <t>8+, narrativa</t>
        </is>
      </c>
      <c r="L285" s="14" t="inlineStr">
        <is>
          <t>https://www.libri.it/le-fate-brillano-al-buio</t>
        </is>
      </c>
      <c r="M285" s="16" t="n">
        <v>10</v>
      </c>
      <c r="N285" s="14" t="inlineStr">
        <is>
          <t>Lista titoli Logos Edizioni 2026 (PVP)</t>
        </is>
      </c>
      <c r="O285" s="16">
        <f>IF(ISNUMBER(M285),ROUND(M285*(1-Condizioni!$B$2),2),"")</f>
        <v/>
      </c>
      <c r="P285" s="17" t="inlineStr">
        <is>
          <t>No</t>
        </is>
      </c>
    </row>
    <row r="286">
      <c r="A286" s="14" t="inlineStr">
        <is>
          <t>Logos</t>
        </is>
      </c>
      <c r="B286" s="14" t="inlineStr">
        <is>
          <t>Le Ricette di Nonna Irma</t>
        </is>
      </c>
      <c r="C286" s="14" t="inlineStr">
        <is>
          <t>Laura Bertelli; ill. Giulia Pintus</t>
        </is>
      </c>
      <c r="D286" s="14" t="inlineStr">
        <is>
          <t>Ciopilopini</t>
        </is>
      </c>
      <c r="E286" s="14" t="inlineStr">
        <is>
          <t>da 8 anni</t>
        </is>
      </c>
      <c r="F286" s="14" t="inlineStr">
        <is>
          <t>8+</t>
        </is>
      </c>
      <c r="G286" s="14" t="inlineStr">
        <is>
          <t>Albo illustrato</t>
        </is>
      </c>
      <c r="H286" s="14" t="inlineStr"/>
      <c r="I286" s="14" t="inlineStr">
        <is>
          <t>No</t>
        </is>
      </c>
      <c r="J286" s="14" t="inlineStr">
        <is>
          <t>Catalogo</t>
        </is>
      </c>
      <c r="K286" s="14" t="inlineStr">
        <is>
          <t>8+</t>
        </is>
      </c>
      <c r="L286" s="14" t="inlineStr">
        <is>
          <t>https://www.libri.it/le-ricette-di-nonna-irma</t>
        </is>
      </c>
      <c r="M286" s="16" t="n">
        <v>14</v>
      </c>
      <c r="N286" s="14" t="inlineStr">
        <is>
          <t>Lista titoli Logos Edizioni 2026 (PVP)</t>
        </is>
      </c>
      <c r="O286" s="16">
        <f>IF(ISNUMBER(M286),ROUND(M286*(1-Condizioni!$B$2),2),"")</f>
        <v/>
      </c>
      <c r="P286" s="17" t="inlineStr">
        <is>
          <t>No</t>
        </is>
      </c>
    </row>
    <row r="287">
      <c r="A287" s="14" t="inlineStr">
        <is>
          <t>Logos</t>
        </is>
      </c>
      <c r="B287" s="14" t="inlineStr">
        <is>
          <t>Le Streghe di Via delle Tempeste</t>
        </is>
      </c>
      <c r="C287" s="14" t="inlineStr">
        <is>
          <t>Marlène Jobert; ill. Frédéric Pillot</t>
        </is>
      </c>
      <c r="D287" s="14" t="inlineStr">
        <is>
          <t>Albo Ciopi</t>
        </is>
      </c>
      <c r="E287" s="14" t="inlineStr">
        <is>
          <t>da 8 anni</t>
        </is>
      </c>
      <c r="F287" s="14" t="inlineStr">
        <is>
          <t>8+</t>
        </is>
      </c>
      <c r="G287" s="14" t="inlineStr">
        <is>
          <t>Albo illustrato</t>
        </is>
      </c>
      <c r="H287" s="14" t="inlineStr"/>
      <c r="I287" s="14" t="inlineStr">
        <is>
          <t>No</t>
        </is>
      </c>
      <c r="J287" s="14" t="inlineStr">
        <is>
          <t>Catalogo</t>
        </is>
      </c>
      <c r="K287" s="14" t="inlineStr">
        <is>
          <t>8+</t>
        </is>
      </c>
      <c r="L287" s="14" t="inlineStr">
        <is>
          <t>https://www.libri.it/le-streghe-tempeste</t>
        </is>
      </c>
      <c r="M287" s="16" t="n">
        <v>20</v>
      </c>
      <c r="N287" s="14" t="inlineStr">
        <is>
          <t>Lista titoli Logos Edizioni 2026 (PVP)</t>
        </is>
      </c>
      <c r="O287" s="16">
        <f>IF(ISNUMBER(M287),ROUND(M287*(1-Condizioni!$B$2),2),"")</f>
        <v/>
      </c>
      <c r="P287" s="17" t="inlineStr">
        <is>
          <t>No</t>
        </is>
      </c>
    </row>
    <row r="288">
      <c r="A288" s="14" t="inlineStr">
        <is>
          <t>Logos</t>
        </is>
      </c>
      <c r="B288" s="14" t="inlineStr">
        <is>
          <t>L’Aggiustacuori</t>
        </is>
      </c>
      <c r="C288" s="14" t="inlineStr">
        <is>
          <t>Arturo Abad; ill. Gabriel Pacheco</t>
        </is>
      </c>
      <c r="D288" s="14" t="inlineStr">
        <is>
          <t>Illustrati</t>
        </is>
      </c>
      <c r="E288" s="14" t="inlineStr">
        <is>
          <t>da 8 anni</t>
        </is>
      </c>
      <c r="F288" s="14" t="inlineStr">
        <is>
          <t>8+</t>
        </is>
      </c>
      <c r="G288" s="14" t="inlineStr">
        <is>
          <t>Albo illustrato</t>
        </is>
      </c>
      <c r="H288" s="14" t="inlineStr"/>
      <c r="I288" s="14" t="inlineStr">
        <is>
          <t>No</t>
        </is>
      </c>
      <c r="J288" s="14" t="inlineStr">
        <is>
          <t>Catalogo</t>
        </is>
      </c>
      <c r="K288" s="14" t="inlineStr">
        <is>
          <t>8+</t>
        </is>
      </c>
      <c r="L288" s="14" t="inlineStr">
        <is>
          <t>https://www.libri.it/laggiustacuori</t>
        </is>
      </c>
      <c r="M288" s="16" t="n">
        <v>17</v>
      </c>
      <c r="N288" s="14" t="inlineStr">
        <is>
          <t>Lista titoli Logos Edizioni 2026 (PVP)</t>
        </is>
      </c>
      <c r="O288" s="16">
        <f>IF(ISNUMBER(M288),ROUND(M288*(1-Condizioni!$B$2),2),"")</f>
        <v/>
      </c>
      <c r="P288" s="17" t="inlineStr">
        <is>
          <t>No</t>
        </is>
      </c>
    </row>
    <row r="289">
      <c r="A289" s="14" t="inlineStr">
        <is>
          <t>Logos</t>
        </is>
      </c>
      <c r="B289" s="14" t="inlineStr">
        <is>
          <t>L’Anello Incantato</t>
        </is>
      </c>
      <c r="C289" s="14" t="inlineStr">
        <is>
          <t>María Teresa Andruetto; ill. Anna Forlati</t>
        </is>
      </c>
      <c r="D289" s="14" t="inlineStr">
        <is>
          <t>Biblioteca Ciopi</t>
        </is>
      </c>
      <c r="E289" s="14" t="inlineStr">
        <is>
          <t>da 8 anni</t>
        </is>
      </c>
      <c r="F289" s="14" t="inlineStr">
        <is>
          <t>8+</t>
        </is>
      </c>
      <c r="G289" s="14" t="inlineStr">
        <is>
          <t>Narrativa</t>
        </is>
      </c>
      <c r="H289" s="14" t="inlineStr"/>
      <c r="I289" s="14" t="inlineStr">
        <is>
          <t>No</t>
        </is>
      </c>
      <c r="J289" s="14" t="inlineStr">
        <is>
          <t>Catalogo</t>
        </is>
      </c>
      <c r="K289" s="14" t="inlineStr">
        <is>
          <t>8+, narrativa</t>
        </is>
      </c>
      <c r="L289" s="14" t="inlineStr">
        <is>
          <t>https://www.libri.it/anello-incantato</t>
        </is>
      </c>
      <c r="M289" s="16" t="n">
        <v>12</v>
      </c>
      <c r="N289" s="14" t="inlineStr">
        <is>
          <t>Lista titoli Logos Edizioni 2026 (PVP)</t>
        </is>
      </c>
      <c r="O289" s="16">
        <f>IF(ISNUMBER(M289),ROUND(M289*(1-Condizioni!$B$2),2),"")</f>
        <v/>
      </c>
      <c r="P289" s="17" t="inlineStr">
        <is>
          <t>No</t>
        </is>
      </c>
    </row>
    <row r="290">
      <c r="A290" s="14" t="inlineStr">
        <is>
          <t>Logos</t>
        </is>
      </c>
      <c r="B290" s="14" t="inlineStr">
        <is>
          <t>L’Anima di Tian</t>
        </is>
      </c>
      <c r="C290" s="14" t="inlineStr">
        <is>
          <t>Elena Bellei; ill. Anna Paolini</t>
        </is>
      </c>
      <c r="D290" s="14" t="inlineStr">
        <is>
          <t>Illustrati</t>
        </is>
      </c>
      <c r="E290" s="14" t="inlineStr">
        <is>
          <t>da 8 anni</t>
        </is>
      </c>
      <c r="F290" s="14" t="inlineStr">
        <is>
          <t>8+</t>
        </is>
      </c>
      <c r="G290" s="14" t="inlineStr">
        <is>
          <t>Albo illustrato</t>
        </is>
      </c>
      <c r="H290" s="14" t="inlineStr"/>
      <c r="I290" s="14" t="inlineStr">
        <is>
          <t>No</t>
        </is>
      </c>
      <c r="J290" s="14" t="inlineStr">
        <is>
          <t>Catalogo</t>
        </is>
      </c>
      <c r="K290" s="14" t="inlineStr">
        <is>
          <t>8+</t>
        </is>
      </c>
      <c r="L290" s="14" t="inlineStr">
        <is>
          <t>https://www.libri.it/l-anima-di-tian</t>
        </is>
      </c>
      <c r="M290" s="16" t="n">
        <v>19</v>
      </c>
      <c r="N290" s="14" t="inlineStr">
        <is>
          <t>Lista titoli Logos Edizioni 2026 (PVP)</t>
        </is>
      </c>
      <c r="O290" s="16">
        <f>IF(ISNUMBER(M290),ROUND(M290*(1-Condizioni!$B$2),2),"")</f>
        <v/>
      </c>
      <c r="P290" s="17" t="inlineStr">
        <is>
          <t>No</t>
        </is>
      </c>
    </row>
    <row r="291">
      <c r="A291" s="14" t="inlineStr">
        <is>
          <t>Logos</t>
        </is>
      </c>
      <c r="B291" s="14" t="inlineStr">
        <is>
          <t>L’Indiano della Torre Eiffel</t>
        </is>
      </c>
      <c r="C291" s="14" t="inlineStr">
        <is>
          <t>Fred Bernard; ill. François Roca</t>
        </is>
      </c>
      <c r="D291" s="14" t="inlineStr">
        <is>
          <t>Albo Ciopi</t>
        </is>
      </c>
      <c r="E291" s="14" t="inlineStr">
        <is>
          <t>da 8 anni</t>
        </is>
      </c>
      <c r="F291" s="14" t="inlineStr">
        <is>
          <t>8+</t>
        </is>
      </c>
      <c r="G291" s="14" t="inlineStr">
        <is>
          <t>Albo illustrato</t>
        </is>
      </c>
      <c r="H291" s="14" t="inlineStr"/>
      <c r="I291" s="14" t="inlineStr">
        <is>
          <t>No</t>
        </is>
      </c>
      <c r="J291" s="14" t="inlineStr">
        <is>
          <t>Catalogo</t>
        </is>
      </c>
      <c r="K291" s="14" t="inlineStr">
        <is>
          <t>8+</t>
        </is>
      </c>
      <c r="L291" s="14" t="inlineStr">
        <is>
          <t>https://www.libri.it/lindiano-della-torre-eiffel</t>
        </is>
      </c>
      <c r="M291" s="16" t="n">
        <v>17</v>
      </c>
      <c r="N291" s="14" t="inlineStr">
        <is>
          <t>Lista titoli Logos Edizioni 2026 (PVP)</t>
        </is>
      </c>
      <c r="O291" s="16">
        <f>IF(ISNUMBER(M291),ROUND(M291*(1-Condizioni!$B$2),2),"")</f>
        <v/>
      </c>
      <c r="P291" s="17" t="inlineStr">
        <is>
          <t>No</t>
        </is>
      </c>
    </row>
    <row r="292">
      <c r="A292" s="14" t="inlineStr">
        <is>
          <t>Logos</t>
        </is>
      </c>
      <c r="B292" s="14" t="inlineStr">
        <is>
          <t>L’Infernale Ottovolante</t>
        </is>
      </c>
      <c r="C292" s="14" t="inlineStr">
        <is>
          <t>Guillaume Long</t>
        </is>
      </c>
      <c r="D292" s="14" t="inlineStr">
        <is>
          <t>Fumetto Ciopi</t>
        </is>
      </c>
      <c r="E292" s="14" t="inlineStr">
        <is>
          <t>da 8 anni</t>
        </is>
      </c>
      <c r="F292" s="14" t="inlineStr">
        <is>
          <t>8+</t>
        </is>
      </c>
      <c r="G292" s="14" t="inlineStr">
        <is>
          <t>Graphic novel/Fumetto</t>
        </is>
      </c>
      <c r="H292" s="14" t="inlineStr"/>
      <c r="I292" s="14" t="inlineStr">
        <is>
          <t>No</t>
        </is>
      </c>
      <c r="J292" s="14" t="inlineStr">
        <is>
          <t>Catalogo</t>
        </is>
      </c>
      <c r="K292" s="14" t="inlineStr">
        <is>
          <t>8+</t>
        </is>
      </c>
      <c r="L292" s="14" t="inlineStr">
        <is>
          <t>https://www.libri.it/infernale-ottovolante</t>
        </is>
      </c>
      <c r="M292" s="16" t="n">
        <v>13</v>
      </c>
      <c r="N292" s="14" t="inlineStr">
        <is>
          <t>Lista titoli Logos Edizioni 2026 (PVP)</t>
        </is>
      </c>
      <c r="O292" s="16">
        <f>IF(ISNUMBER(M292),ROUND(M292*(1-Condizioni!$B$2),2),"")</f>
        <v/>
      </c>
      <c r="P292" s="17" t="inlineStr">
        <is>
          <t>No</t>
        </is>
      </c>
    </row>
    <row r="293">
      <c r="A293" s="14" t="inlineStr">
        <is>
          <t>Logos</t>
        </is>
      </c>
      <c r="B293" s="14" t="inlineStr">
        <is>
          <t>L’Isola del Tesoro</t>
        </is>
      </c>
      <c r="C293" s="14" t="inlineStr">
        <is>
          <t>R.L. Stevenson; ill. Roger Olmos</t>
        </is>
      </c>
      <c r="D293" s="14" t="inlineStr">
        <is>
          <t>Classici Della Ciopi</t>
        </is>
      </c>
      <c r="E293" s="14" t="inlineStr">
        <is>
          <t>da 8 anni</t>
        </is>
      </c>
      <c r="F293" s="14" t="inlineStr">
        <is>
          <t>8+</t>
        </is>
      </c>
      <c r="G293" s="14" t="inlineStr">
        <is>
          <t>Albo illustrato</t>
        </is>
      </c>
      <c r="H293" s="14" t="inlineStr"/>
      <c r="I293" s="14" t="inlineStr">
        <is>
          <t>No</t>
        </is>
      </c>
      <c r="J293" s="14" t="inlineStr">
        <is>
          <t>Catalogo</t>
        </is>
      </c>
      <c r="K293" s="14" t="inlineStr">
        <is>
          <t>8+</t>
        </is>
      </c>
      <c r="L293" s="14" t="inlineStr">
        <is>
          <t>https://www.libri.it/l-isola-del-tesoro</t>
        </is>
      </c>
      <c r="M293" s="16" t="n">
        <v>15</v>
      </c>
      <c r="N293" s="14" t="inlineStr">
        <is>
          <t>Lista titoli Logos Edizioni 2026 (PVP)</t>
        </is>
      </c>
      <c r="O293" s="16">
        <f>IF(ISNUMBER(M293),ROUND(M293*(1-Condizioni!$B$2),2),"")</f>
        <v/>
      </c>
      <c r="P293" s="17" t="inlineStr">
        <is>
          <t>No</t>
        </is>
      </c>
    </row>
    <row r="294">
      <c r="A294" s="14" t="inlineStr">
        <is>
          <t>Logos</t>
        </is>
      </c>
      <c r="B294" s="14" t="inlineStr">
        <is>
          <t>L’Isola del Tesoro Edizione Speciale</t>
        </is>
      </c>
      <c r="C294" s="14" t="inlineStr">
        <is>
          <t>R.L. Stevenson; ill. Roger Olmos</t>
        </is>
      </c>
      <c r="D294" s="14" t="inlineStr">
        <is>
          <t>Illustrati</t>
        </is>
      </c>
      <c r="E294" s="14" t="inlineStr">
        <is>
          <t>da 8 anni</t>
        </is>
      </c>
      <c r="F294" s="14" t="inlineStr">
        <is>
          <t>8+</t>
        </is>
      </c>
      <c r="G294" s="14" t="inlineStr">
        <is>
          <t>Albo illustrato</t>
        </is>
      </c>
      <c r="H294" s="14" t="inlineStr"/>
      <c r="I294" s="14" t="inlineStr">
        <is>
          <t>No</t>
        </is>
      </c>
      <c r="J294" s="14" t="inlineStr">
        <is>
          <t>Catalogo</t>
        </is>
      </c>
      <c r="K294" s="14" t="inlineStr">
        <is>
          <t>8+</t>
        </is>
      </c>
      <c r="L294" s="14" t="inlineStr">
        <is>
          <t>https://www.libri.it/l-isola-del-tesoro-edizione-speciale</t>
        </is>
      </c>
      <c r="M294" s="16" t="n">
        <v>30</v>
      </c>
      <c r="N294" s="14" t="inlineStr">
        <is>
          <t>Lista titoli Logos Edizioni 2026 (PVP)</t>
        </is>
      </c>
      <c r="O294" s="16">
        <f>IF(ISNUMBER(M294),ROUND(M294*(1-Condizioni!$B$2),2),"")</f>
        <v/>
      </c>
      <c r="P294" s="17" t="inlineStr">
        <is>
          <t>No</t>
        </is>
      </c>
    </row>
    <row r="295">
      <c r="A295" s="14" t="inlineStr">
        <is>
          <t>Logos</t>
        </is>
      </c>
      <c r="B295" s="14" t="inlineStr">
        <is>
          <t>L’Uomo Bonsai</t>
        </is>
      </c>
      <c r="C295" s="14" t="inlineStr">
        <is>
          <t>Fred Bernard; ill. François Roca</t>
        </is>
      </c>
      <c r="D295" s="14" t="inlineStr">
        <is>
          <t>Albo Ciopi</t>
        </is>
      </c>
      <c r="E295" s="14" t="inlineStr">
        <is>
          <t>da 8 anni</t>
        </is>
      </c>
      <c r="F295" s="14" t="inlineStr">
        <is>
          <t>8+</t>
        </is>
      </c>
      <c r="G295" s="14" t="inlineStr">
        <is>
          <t>Albo illustrato</t>
        </is>
      </c>
      <c r="H295" s="14" t="inlineStr"/>
      <c r="I295" s="14" t="inlineStr">
        <is>
          <t>No</t>
        </is>
      </c>
      <c r="J295" s="14" t="inlineStr">
        <is>
          <t>Catalogo</t>
        </is>
      </c>
      <c r="K295" s="14" t="inlineStr">
        <is>
          <t>8+</t>
        </is>
      </c>
      <c r="L295" s="14" t="inlineStr">
        <is>
          <t>https://www.libri.it/uomo-bonsai</t>
        </is>
      </c>
      <c r="M295" s="16" t="n">
        <v>18</v>
      </c>
      <c r="N295" s="14" t="inlineStr">
        <is>
          <t>Lista titoli Logos Edizioni 2026 (PVP)</t>
        </is>
      </c>
      <c r="O295" s="16">
        <f>IF(ISNUMBER(M295),ROUND(M295*(1-Condizioni!$B$2),2),"")</f>
        <v/>
      </c>
      <c r="P295" s="17" t="inlineStr">
        <is>
          <t>No</t>
        </is>
      </c>
    </row>
    <row r="296">
      <c r="A296" s="14" t="inlineStr">
        <is>
          <t>Logos</t>
        </is>
      </c>
      <c r="B296" s="14" t="inlineStr">
        <is>
          <t>Maria Sibylla Merian. la Magia della Crisalide</t>
        </is>
      </c>
      <c r="C296" s="14" t="inlineStr">
        <is>
          <t>Anna Paolini</t>
        </is>
      </c>
      <c r="D296" s="14" t="inlineStr">
        <is>
          <t>Illustrati</t>
        </is>
      </c>
      <c r="E296" s="14" t="inlineStr">
        <is>
          <t>da 8 anni</t>
        </is>
      </c>
      <c r="F296" s="14" t="inlineStr">
        <is>
          <t>8+</t>
        </is>
      </c>
      <c r="G296" s="14" t="inlineStr">
        <is>
          <t>Albo illustrato</t>
        </is>
      </c>
      <c r="H296" s="14" t="inlineStr"/>
      <c r="I296" s="14" t="inlineStr">
        <is>
          <t>No</t>
        </is>
      </c>
      <c r="J296" s="14" t="inlineStr">
        <is>
          <t>Catalogo</t>
        </is>
      </c>
      <c r="K296" s="14" t="inlineStr">
        <is>
          <t>8+</t>
        </is>
      </c>
      <c r="L296" s="14" t="inlineStr">
        <is>
          <t>https://www.libri.it/maria-sibylla-merian</t>
        </is>
      </c>
      <c r="M296" s="16" t="n">
        <v>18</v>
      </c>
      <c r="N296" s="14" t="inlineStr">
        <is>
          <t>Lista titoli Logos Edizioni 2026 (PVP)</t>
        </is>
      </c>
      <c r="O296" s="16">
        <f>IF(ISNUMBER(M296),ROUND(M296*(1-Condizioni!$B$2),2),"")</f>
        <v/>
      </c>
      <c r="P296" s="17" t="inlineStr">
        <is>
          <t>No</t>
        </is>
      </c>
    </row>
    <row r="297">
      <c r="A297" s="14" t="inlineStr">
        <is>
          <t>Logos</t>
        </is>
      </c>
      <c r="B297" s="14" t="inlineStr">
        <is>
          <t>Medardo</t>
        </is>
      </c>
      <c r="C297" s="14" t="inlineStr">
        <is>
          <t>Roger Olmos</t>
        </is>
      </c>
      <c r="D297" s="14" t="inlineStr">
        <is>
          <t>Illustrati</t>
        </is>
      </c>
      <c r="E297" s="14" t="inlineStr">
        <is>
          <t>da 8 anni</t>
        </is>
      </c>
      <c r="F297" s="14" t="inlineStr">
        <is>
          <t>8+</t>
        </is>
      </c>
      <c r="G297" s="14" t="inlineStr">
        <is>
          <t>Albo illustrato</t>
        </is>
      </c>
      <c r="H297" s="14" t="inlineStr"/>
      <c r="I297" s="14" t="inlineStr">
        <is>
          <t>No</t>
        </is>
      </c>
      <c r="J297" s="14" t="inlineStr">
        <is>
          <t>Catalogo</t>
        </is>
      </c>
      <c r="K297" s="14" t="inlineStr">
        <is>
          <t>8+</t>
        </is>
      </c>
      <c r="L297" s="14" t="inlineStr">
        <is>
          <t>https://www.libri.it/medardo</t>
        </is>
      </c>
      <c r="M297" s="16" t="n">
        <v>20</v>
      </c>
      <c r="N297" s="14" t="inlineStr">
        <is>
          <t>Lista titoli Logos Edizioni 2026 (PVP)</t>
        </is>
      </c>
      <c r="O297" s="16">
        <f>IF(ISNUMBER(M297),ROUND(M297*(1-Condizioni!$B$2),2),"")</f>
        <v/>
      </c>
      <c r="P297" s="17" t="inlineStr">
        <is>
          <t>No</t>
        </is>
      </c>
    </row>
    <row r="298">
      <c r="A298" s="14" t="inlineStr">
        <is>
          <t>Logos</t>
        </is>
      </c>
      <c r="B298" s="14" t="inlineStr">
        <is>
          <t>Merlino Contro Babbo Natale</t>
        </is>
      </c>
      <c r="C298" s="14" t="inlineStr">
        <is>
          <t>Joann Sfar; ill. José Luis Munuera</t>
        </is>
      </c>
      <c r="D298" s="14" t="inlineStr">
        <is>
          <t>Fumetto Ciopi</t>
        </is>
      </c>
      <c r="E298" s="14" t="inlineStr">
        <is>
          <t>da 8 anni</t>
        </is>
      </c>
      <c r="F298" s="14" t="inlineStr">
        <is>
          <t>8+</t>
        </is>
      </c>
      <c r="G298" s="14" t="inlineStr">
        <is>
          <t>Graphic novel/Fumetto</t>
        </is>
      </c>
      <c r="H298" s="14" t="inlineStr"/>
      <c r="I298" s="14" t="inlineStr">
        <is>
          <t>No</t>
        </is>
      </c>
      <c r="J298" s="14" t="inlineStr">
        <is>
          <t>Catalogo</t>
        </is>
      </c>
      <c r="K298" s="14" t="inlineStr">
        <is>
          <t>8+</t>
        </is>
      </c>
      <c r="L298" s="14" t="inlineStr">
        <is>
          <t>https://www.libri.it/merlino-contro-babbo-natale</t>
        </is>
      </c>
      <c r="M298" s="16" t="n">
        <v>11</v>
      </c>
      <c r="N298" s="14" t="inlineStr">
        <is>
          <t>Lista titoli Logos Edizioni 2026 (PVP)</t>
        </is>
      </c>
      <c r="O298" s="16">
        <f>IF(ISNUMBER(M298),ROUND(M298*(1-Condizioni!$B$2),2),"")</f>
        <v/>
      </c>
      <c r="P298" s="17" t="inlineStr">
        <is>
          <t>No</t>
        </is>
      </c>
    </row>
    <row r="299">
      <c r="A299" s="14" t="inlineStr">
        <is>
          <t>Logos</t>
        </is>
      </c>
      <c r="B299" s="14" t="inlineStr">
        <is>
          <t>Merlino Va al Mare</t>
        </is>
      </c>
      <c r="C299" s="14" t="inlineStr">
        <is>
          <t>Joann Sfar; ill. José Luis Munuera</t>
        </is>
      </c>
      <c r="D299" s="14" t="inlineStr">
        <is>
          <t>Fumetto Ciopi</t>
        </is>
      </c>
      <c r="E299" s="14" t="inlineStr">
        <is>
          <t>da 8 anni</t>
        </is>
      </c>
      <c r="F299" s="14" t="inlineStr">
        <is>
          <t>8+</t>
        </is>
      </c>
      <c r="G299" s="14" t="inlineStr">
        <is>
          <t>Graphic novel/Fumetto</t>
        </is>
      </c>
      <c r="H299" s="14" t="inlineStr"/>
      <c r="I299" s="14" t="inlineStr">
        <is>
          <t>No</t>
        </is>
      </c>
      <c r="J299" s="14" t="inlineStr">
        <is>
          <t>Catalogo</t>
        </is>
      </c>
      <c r="K299" s="14" t="inlineStr">
        <is>
          <t>8+</t>
        </is>
      </c>
      <c r="L299" s="14" t="inlineStr">
        <is>
          <t>https://www.libri.it/merlino-va-al-mare</t>
        </is>
      </c>
      <c r="M299" s="16" t="n">
        <v>11</v>
      </c>
      <c r="N299" s="14" t="inlineStr">
        <is>
          <t>Lista titoli Logos Edizioni 2026 (PVP)</t>
        </is>
      </c>
      <c r="O299" s="16">
        <f>IF(ISNUMBER(M299),ROUND(M299*(1-Condizioni!$B$2),2),"")</f>
        <v/>
      </c>
      <c r="P299" s="17" t="inlineStr">
        <is>
          <t>No</t>
        </is>
      </c>
    </row>
    <row r="300">
      <c r="A300" s="14" t="inlineStr">
        <is>
          <t>Logos</t>
        </is>
      </c>
      <c r="B300" s="14" t="inlineStr">
        <is>
          <t>Merlino e la Mamma di Renardo</t>
        </is>
      </c>
      <c r="C300" s="14" t="inlineStr">
        <is>
          <t>Joann Sfar; ill. José Luis Munuera</t>
        </is>
      </c>
      <c r="D300" s="14" t="inlineStr">
        <is>
          <t>Fumetto Ciopi</t>
        </is>
      </c>
      <c r="E300" s="14" t="inlineStr">
        <is>
          <t>da 8 anni</t>
        </is>
      </c>
      <c r="F300" s="14" t="inlineStr">
        <is>
          <t>8+</t>
        </is>
      </c>
      <c r="G300" s="14" t="inlineStr">
        <is>
          <t>Graphic novel/Fumetto</t>
        </is>
      </c>
      <c r="H300" s="14" t="inlineStr"/>
      <c r="I300" s="14" t="inlineStr">
        <is>
          <t>No</t>
        </is>
      </c>
      <c r="J300" s="14" t="inlineStr">
        <is>
          <t>Catalogo</t>
        </is>
      </c>
      <c r="K300" s="14" t="inlineStr">
        <is>
          <t>8+</t>
        </is>
      </c>
      <c r="L300" s="14" t="inlineStr">
        <is>
          <t>https://www.libri.it/merlino-e-la-mamma-di-renardo</t>
        </is>
      </c>
      <c r="M300" s="16" t="n">
        <v>12</v>
      </c>
      <c r="N300" s="14" t="inlineStr">
        <is>
          <t>Lista titoli Logos Edizioni 2026 (PVP)</t>
        </is>
      </c>
      <c r="O300" s="16">
        <f>IF(ISNUMBER(M300),ROUND(M300*(1-Condizioni!$B$2),2),"")</f>
        <v/>
      </c>
      <c r="P300" s="17" t="inlineStr">
        <is>
          <t>No</t>
        </is>
      </c>
    </row>
    <row r="301">
      <c r="A301" s="14" t="inlineStr">
        <is>
          <t>Logos</t>
        </is>
      </c>
      <c r="B301" s="14" t="inlineStr">
        <is>
          <t>Merlino, Salciccia e Tartina</t>
        </is>
      </c>
      <c r="C301" s="14" t="inlineStr">
        <is>
          <t>Joann Sfar; ill. José Luis Munuera</t>
        </is>
      </c>
      <c r="D301" s="14" t="inlineStr">
        <is>
          <t>Fumetto Ciopi</t>
        </is>
      </c>
      <c r="E301" s="14" t="inlineStr">
        <is>
          <t>da 8 anni</t>
        </is>
      </c>
      <c r="F301" s="14" t="inlineStr">
        <is>
          <t>8+</t>
        </is>
      </c>
      <c r="G301" s="14" t="inlineStr">
        <is>
          <t>Graphic novel/Fumetto</t>
        </is>
      </c>
      <c r="H301" s="14" t="inlineStr"/>
      <c r="I301" s="14" t="inlineStr">
        <is>
          <t>No</t>
        </is>
      </c>
      <c r="J301" s="14" t="inlineStr">
        <is>
          <t>Catalogo</t>
        </is>
      </c>
      <c r="K301" s="14" t="inlineStr">
        <is>
          <t>8+</t>
        </is>
      </c>
      <c r="L301" s="14" t="inlineStr">
        <is>
          <t>https://www.libri.it/merlino-salciccia-tartina</t>
        </is>
      </c>
      <c r="M301" s="16" t="n">
        <v>11</v>
      </c>
      <c r="N301" s="14" t="inlineStr">
        <is>
          <t>Lista titoli Logos Edizioni 2026 (PVP)</t>
        </is>
      </c>
      <c r="O301" s="16">
        <f>IF(ISNUMBER(M301),ROUND(M301*(1-Condizioni!$B$2),2),"")</f>
        <v/>
      </c>
      <c r="P301" s="17" t="inlineStr">
        <is>
          <t>No</t>
        </is>
      </c>
    </row>
    <row r="302">
      <c r="A302" s="14" t="inlineStr">
        <is>
          <t>Logos</t>
        </is>
      </c>
      <c r="B302" s="14" t="inlineStr">
        <is>
          <t>Mia Madre</t>
        </is>
      </c>
      <c r="C302" s="14" t="inlineStr">
        <is>
          <t>Stéphane Servant; ill. Emmanuelle Houdart</t>
        </is>
      </c>
      <c r="D302" s="14" t="inlineStr">
        <is>
          <t>Illustrati</t>
        </is>
      </c>
      <c r="E302" s="14" t="inlineStr">
        <is>
          <t>da 8 anni</t>
        </is>
      </c>
      <c r="F302" s="14" t="inlineStr">
        <is>
          <t>8+</t>
        </is>
      </c>
      <c r="G302" s="14" t="inlineStr">
        <is>
          <t>Albo illustrato</t>
        </is>
      </c>
      <c r="H302" s="14" t="inlineStr"/>
      <c r="I302" s="14" t="inlineStr">
        <is>
          <t>No</t>
        </is>
      </c>
      <c r="J302" s="14" t="inlineStr">
        <is>
          <t>Catalogo</t>
        </is>
      </c>
      <c r="K302" s="14" t="inlineStr">
        <is>
          <t>8+</t>
        </is>
      </c>
      <c r="L302" s="14" t="inlineStr">
        <is>
          <t>https://www.libri.it/mia-madre</t>
        </is>
      </c>
      <c r="M302" s="16" t="n">
        <v>15</v>
      </c>
      <c r="N302" s="14" t="inlineStr">
        <is>
          <t>Lista titoli Logos Edizioni 2026 (PVP)</t>
        </is>
      </c>
      <c r="O302" s="16">
        <f>IF(ISNUMBER(M302),ROUND(M302*(1-Condizioni!$B$2),2),"")</f>
        <v/>
      </c>
      <c r="P302" s="17" t="inlineStr">
        <is>
          <t>No</t>
        </is>
      </c>
    </row>
    <row r="303">
      <c r="A303" s="14" t="inlineStr">
        <is>
          <t>Logos</t>
        </is>
      </c>
      <c r="B303" s="14" t="inlineStr">
        <is>
          <t>Mio Fratello Notturno</t>
        </is>
      </c>
      <c r="C303" s="14" t="inlineStr">
        <is>
          <t>Joanna Hellgren</t>
        </is>
      </c>
      <c r="D303" s="14" t="inlineStr">
        <is>
          <t>Illustrati</t>
        </is>
      </c>
      <c r="E303" s="14" t="inlineStr">
        <is>
          <t>da 8 anni</t>
        </is>
      </c>
      <c r="F303" s="14" t="inlineStr">
        <is>
          <t>8+</t>
        </is>
      </c>
      <c r="G303" s="14" t="inlineStr">
        <is>
          <t>Albo illustrato</t>
        </is>
      </c>
      <c r="H303" s="14" t="inlineStr"/>
      <c r="I303" s="14" t="inlineStr">
        <is>
          <t>No</t>
        </is>
      </c>
      <c r="J303" s="14" t="inlineStr">
        <is>
          <t>Catalogo</t>
        </is>
      </c>
      <c r="K303" s="14" t="inlineStr">
        <is>
          <t>8+</t>
        </is>
      </c>
      <c r="L303" s="14" t="inlineStr">
        <is>
          <t>https://www.libri.it/mio-fratello-notturno</t>
        </is>
      </c>
      <c r="M303" s="16" t="n">
        <v>14</v>
      </c>
      <c r="N303" s="14" t="inlineStr">
        <is>
          <t>Lista titoli Logos Edizioni 2026 (PVP)</t>
        </is>
      </c>
      <c r="O303" s="16">
        <f>IF(ISNUMBER(M303),ROUND(M303*(1-Condizioni!$B$2),2),"")</f>
        <v/>
      </c>
      <c r="P303" s="17" t="inlineStr">
        <is>
          <t>No</t>
        </is>
      </c>
    </row>
    <row r="304">
      <c r="A304" s="14" t="inlineStr">
        <is>
          <t>Logos</t>
        </is>
      </c>
      <c r="B304" s="14" t="inlineStr">
        <is>
          <t>Mira</t>
        </is>
      </c>
      <c r="C304" s="14" t="inlineStr">
        <is>
          <t>Rocco Lombardi</t>
        </is>
      </c>
      <c r="D304" s="14" t="inlineStr">
        <is>
          <t>Illustrati</t>
        </is>
      </c>
      <c r="E304" s="14" t="inlineStr">
        <is>
          <t>da 8 anni</t>
        </is>
      </c>
      <c r="F304" s="14" t="inlineStr">
        <is>
          <t>8+</t>
        </is>
      </c>
      <c r="G304" s="14" t="inlineStr">
        <is>
          <t>Albo illustrato</t>
        </is>
      </c>
      <c r="H304" s="14" t="inlineStr"/>
      <c r="I304" s="14" t="inlineStr">
        <is>
          <t>No</t>
        </is>
      </c>
      <c r="J304" s="14" t="inlineStr">
        <is>
          <t>Catalogo</t>
        </is>
      </c>
      <c r="K304" s="14" t="inlineStr">
        <is>
          <t>8+</t>
        </is>
      </c>
      <c r="L304" s="14" t="inlineStr">
        <is>
          <t>https://www.libri.it/mira</t>
        </is>
      </c>
      <c r="M304" s="16" t="n">
        <v>20</v>
      </c>
      <c r="N304" s="14" t="inlineStr">
        <is>
          <t>Lista titoli Logos Edizioni 2026 (PVP)</t>
        </is>
      </c>
      <c r="O304" s="16">
        <f>IF(ISNUMBER(M304),ROUND(M304*(1-Condizioni!$B$2),2),"")</f>
        <v/>
      </c>
      <c r="P304" s="17" t="inlineStr">
        <is>
          <t>Sì</t>
        </is>
      </c>
    </row>
    <row r="305">
      <c r="A305" s="14" t="inlineStr">
        <is>
          <t>Logos</t>
        </is>
      </c>
      <c r="B305" s="14" t="inlineStr">
        <is>
          <t>Mortale</t>
        </is>
      </c>
      <c r="C305" s="14" t="inlineStr">
        <is>
          <t>Emmanuelle Houdart</t>
        </is>
      </c>
      <c r="D305" s="14" t="inlineStr">
        <is>
          <t>Illustrati</t>
        </is>
      </c>
      <c r="E305" s="14" t="inlineStr">
        <is>
          <t>da 8 anni</t>
        </is>
      </c>
      <c r="F305" s="14" t="inlineStr">
        <is>
          <t>8+</t>
        </is>
      </c>
      <c r="G305" s="14" t="inlineStr">
        <is>
          <t>Albo illustrato</t>
        </is>
      </c>
      <c r="H305" s="14" t="inlineStr"/>
      <c r="I305" s="14" t="inlineStr">
        <is>
          <t>No</t>
        </is>
      </c>
      <c r="J305" s="14" t="inlineStr">
        <is>
          <t>Catalogo</t>
        </is>
      </c>
      <c r="K305" s="14" t="inlineStr">
        <is>
          <t>8+</t>
        </is>
      </c>
      <c r="L305" s="14" t="inlineStr">
        <is>
          <t>https://www.libri.it/mortale</t>
        </is>
      </c>
      <c r="M305" s="16" t="n">
        <v>20</v>
      </c>
      <c r="N305" s="14" t="inlineStr">
        <is>
          <t>Lista titoli Logos Edizioni 2026 (PVP)</t>
        </is>
      </c>
      <c r="O305" s="16">
        <f>IF(ISNUMBER(M305),ROUND(M305*(1-Condizioni!$B$2),2),"")</f>
        <v/>
      </c>
      <c r="P305" s="17" t="inlineStr">
        <is>
          <t>No</t>
        </is>
      </c>
    </row>
    <row r="306">
      <c r="A306" s="14" t="inlineStr">
        <is>
          <t>Logos</t>
        </is>
      </c>
      <c r="B306" s="14" t="inlineStr">
        <is>
          <t>Piccolo Vampiro 2</t>
        </is>
      </c>
      <c r="C306" s="14" t="inlineStr">
        <is>
          <t>Joann Sfar; ill. Joann Sfar</t>
        </is>
      </c>
      <c r="D306" s="14" t="inlineStr">
        <is>
          <t>Fumetto Ciopi</t>
        </is>
      </c>
      <c r="E306" s="14" t="inlineStr">
        <is>
          <t>da 8 anni</t>
        </is>
      </c>
      <c r="F306" s="14" t="inlineStr">
        <is>
          <t>8+</t>
        </is>
      </c>
      <c r="G306" s="14" t="inlineStr">
        <is>
          <t>Graphic novel/Fumetto</t>
        </is>
      </c>
      <c r="H306" s="14" t="inlineStr"/>
      <c r="I306" s="14" t="inlineStr">
        <is>
          <t>No</t>
        </is>
      </c>
      <c r="J306" s="14" t="inlineStr">
        <is>
          <t>Catalogo</t>
        </is>
      </c>
      <c r="K306" s="14" t="inlineStr">
        <is>
          <t>8+</t>
        </is>
      </c>
      <c r="L306" s="14" t="inlineStr">
        <is>
          <t>https://www.libri.it/piccolo-vampiro-2</t>
        </is>
      </c>
      <c r="M306" s="16" t="n">
        <v>19</v>
      </c>
      <c r="N306" s="14" t="inlineStr">
        <is>
          <t>Lista titoli Logos Edizioni 2026 (PVP)</t>
        </is>
      </c>
      <c r="O306" s="16">
        <f>IF(ISNUMBER(M306),ROUND(M306*(1-Condizioni!$B$2),2),"")</f>
        <v/>
      </c>
      <c r="P306" s="17" t="inlineStr">
        <is>
          <t>No</t>
        </is>
      </c>
    </row>
    <row r="307">
      <c r="A307" s="14" t="inlineStr">
        <is>
          <t>Logos</t>
        </is>
      </c>
      <c r="B307" s="14" t="inlineStr">
        <is>
          <t>Piccolo Vampiro 3</t>
        </is>
      </c>
      <c r="C307" s="14" t="inlineStr">
        <is>
          <t>Joann Sfar; ill. Joann Sfar</t>
        </is>
      </c>
      <c r="D307" s="14" t="inlineStr">
        <is>
          <t>Fumetto Ciopi</t>
        </is>
      </c>
      <c r="E307" s="14" t="inlineStr">
        <is>
          <t>da 8 anni</t>
        </is>
      </c>
      <c r="F307" s="14" t="inlineStr">
        <is>
          <t>8+</t>
        </is>
      </c>
      <c r="G307" s="14" t="inlineStr">
        <is>
          <t>Graphic novel/Fumetto</t>
        </is>
      </c>
      <c r="H307" s="14" t="inlineStr"/>
      <c r="I307" s="14" t="inlineStr">
        <is>
          <t>No</t>
        </is>
      </c>
      <c r="J307" s="14" t="inlineStr">
        <is>
          <t>Catalogo</t>
        </is>
      </c>
      <c r="K307" s="14" t="inlineStr">
        <is>
          <t>8+</t>
        </is>
      </c>
      <c r="L307" s="14" t="inlineStr">
        <is>
          <t>https://www.libri.it/piccolo-vampiro-3</t>
        </is>
      </c>
      <c r="M307" s="16" t="n">
        <v>21</v>
      </c>
      <c r="N307" s="14" t="inlineStr">
        <is>
          <t>Lista titoli Logos Edizioni 2026 (PVP)</t>
        </is>
      </c>
      <c r="O307" s="16">
        <f>IF(ISNUMBER(M307),ROUND(M307*(1-Condizioni!$B$2),2),"")</f>
        <v/>
      </c>
      <c r="P307" s="17" t="inlineStr">
        <is>
          <t>No</t>
        </is>
      </c>
    </row>
    <row r="308">
      <c r="A308" s="14" t="inlineStr">
        <is>
          <t>Logos</t>
        </is>
      </c>
      <c r="B308" s="14" t="inlineStr">
        <is>
          <t>Probuditi!</t>
        </is>
      </c>
      <c r="C308" s="14" t="inlineStr">
        <is>
          <t>Chris Van Allsburg</t>
        </is>
      </c>
      <c r="D308" s="14" t="inlineStr">
        <is>
          <t>Albo Ciopi</t>
        </is>
      </c>
      <c r="E308" s="14" t="inlineStr">
        <is>
          <t>da 8 anni</t>
        </is>
      </c>
      <c r="F308" s="14" t="inlineStr">
        <is>
          <t>8+</t>
        </is>
      </c>
      <c r="G308" s="14" t="inlineStr">
        <is>
          <t>Albo illustrato</t>
        </is>
      </c>
      <c r="H308" s="14" t="inlineStr"/>
      <c r="I308" s="14" t="inlineStr">
        <is>
          <t>No</t>
        </is>
      </c>
      <c r="J308" s="14" t="inlineStr">
        <is>
          <t>Catalogo</t>
        </is>
      </c>
      <c r="K308" s="14" t="inlineStr">
        <is>
          <t>8+</t>
        </is>
      </c>
      <c r="L308" s="14" t="inlineStr">
        <is>
          <t>https://www.libri.it/probuditi</t>
        </is>
      </c>
      <c r="M308" s="16" t="n">
        <v>18.5</v>
      </c>
      <c r="N308" s="14" t="inlineStr">
        <is>
          <t>Lista titoli Logos Edizioni 2026 (PVP)</t>
        </is>
      </c>
      <c r="O308" s="16">
        <f>IF(ISNUMBER(M308),ROUND(M308*(1-Condizioni!$B$2),2),"")</f>
        <v/>
      </c>
      <c r="P308" s="17" t="inlineStr">
        <is>
          <t>No</t>
        </is>
      </c>
    </row>
    <row r="309">
      <c r="A309" s="14" t="inlineStr">
        <is>
          <t>Logos</t>
        </is>
      </c>
      <c r="B309" s="14" t="inlineStr">
        <is>
          <t>Raowl 2 Pelle d’Asino la Principessa Puzzolente</t>
        </is>
      </c>
      <c r="C309" s="14" t="inlineStr">
        <is>
          <t>Tebo</t>
        </is>
      </c>
      <c r="D309" s="14" t="inlineStr">
        <is>
          <t>Fumetto Ciopi</t>
        </is>
      </c>
      <c r="E309" s="14" t="inlineStr">
        <is>
          <t>da 8 anni</t>
        </is>
      </c>
      <c r="F309" s="14" t="inlineStr">
        <is>
          <t>8+</t>
        </is>
      </c>
      <c r="G309" s="14" t="inlineStr">
        <is>
          <t>Graphic novel/Fumetto</t>
        </is>
      </c>
      <c r="H309" s="14" t="inlineStr"/>
      <c r="I309" s="14" t="inlineStr">
        <is>
          <t>No</t>
        </is>
      </c>
      <c r="J309" s="14" t="inlineStr">
        <is>
          <t>Catalogo</t>
        </is>
      </c>
      <c r="K309" s="14" t="inlineStr">
        <is>
          <t>8+</t>
        </is>
      </c>
      <c r="L309" s="14" t="inlineStr">
        <is>
          <t>https://www.libri.it/raowl-2</t>
        </is>
      </c>
      <c r="M309" s="16" t="n">
        <v>16</v>
      </c>
      <c r="N309" s="14" t="inlineStr">
        <is>
          <t>Lista titoli Logos Edizioni 2026 (PVP)</t>
        </is>
      </c>
      <c r="O309" s="16">
        <f>IF(ISNUMBER(M309),ROUND(M309*(1-Condizioni!$B$2),2),"")</f>
        <v/>
      </c>
      <c r="P309" s="17" t="inlineStr">
        <is>
          <t>No</t>
        </is>
      </c>
    </row>
    <row r="310">
      <c r="A310" s="14" t="inlineStr">
        <is>
          <t>Logos</t>
        </is>
      </c>
      <c r="B310" s="14" t="inlineStr">
        <is>
          <t>Raowl. la Bella e il Bruto</t>
        </is>
      </c>
      <c r="C310" s="14" t="inlineStr">
        <is>
          <t>Tebo</t>
        </is>
      </c>
      <c r="D310" s="14" t="inlineStr">
        <is>
          <t>Fumetto Ciopi</t>
        </is>
      </c>
      <c r="E310" s="14" t="inlineStr">
        <is>
          <t>da 8 anni</t>
        </is>
      </c>
      <c r="F310" s="14" t="inlineStr">
        <is>
          <t>8+</t>
        </is>
      </c>
      <c r="G310" s="14" t="inlineStr">
        <is>
          <t>Graphic novel/Fumetto</t>
        </is>
      </c>
      <c r="H310" s="14" t="inlineStr"/>
      <c r="I310" s="14" t="inlineStr">
        <is>
          <t>No</t>
        </is>
      </c>
      <c r="J310" s="14" t="inlineStr">
        <is>
          <t>Catalogo</t>
        </is>
      </c>
      <c r="K310" s="14" t="inlineStr">
        <is>
          <t>8+</t>
        </is>
      </c>
      <c r="L310" s="14" t="inlineStr">
        <is>
          <t>https://www.libri.it/raowl-la-bella-e-il-bruto</t>
        </is>
      </c>
      <c r="M310" s="16" t="n">
        <v>16</v>
      </c>
      <c r="N310" s="14" t="inlineStr">
        <is>
          <t>Lista titoli Logos Edizioni 2026 (PVP)</t>
        </is>
      </c>
      <c r="O310" s="16">
        <f>IF(ISNUMBER(M310),ROUND(M310*(1-Condizioni!$B$2),2),"")</f>
        <v/>
      </c>
      <c r="P310" s="17" t="inlineStr">
        <is>
          <t>No</t>
        </is>
      </c>
    </row>
    <row r="311">
      <c r="A311" s="14" t="inlineStr">
        <is>
          <t>Logos</t>
        </is>
      </c>
      <c r="B311" s="14" t="inlineStr">
        <is>
          <t>Rompicapo</t>
        </is>
      </c>
      <c r="C311" s="14" t="inlineStr">
        <is>
          <t>Txabi Arnal, Manu Arnal; ill. Roger Olmos</t>
        </is>
      </c>
      <c r="D311" s="14" t="inlineStr">
        <is>
          <t>Albo Ciopi</t>
        </is>
      </c>
      <c r="E311" s="14" t="inlineStr">
        <is>
          <t>da 8 anni</t>
        </is>
      </c>
      <c r="F311" s="14" t="inlineStr">
        <is>
          <t>8+</t>
        </is>
      </c>
      <c r="G311" s="14" t="inlineStr">
        <is>
          <t>Albo illustrato</t>
        </is>
      </c>
      <c r="H311" s="14" t="inlineStr"/>
      <c r="I311" s="14" t="inlineStr">
        <is>
          <t>No</t>
        </is>
      </c>
      <c r="J311" s="14" t="inlineStr">
        <is>
          <t>Catalogo</t>
        </is>
      </c>
      <c r="K311" s="14" t="inlineStr">
        <is>
          <t>8+</t>
        </is>
      </c>
      <c r="L311" s="14" t="inlineStr">
        <is>
          <t>https://www.libri.it/il-rompicapo</t>
        </is>
      </c>
      <c r="M311" s="16" t="n">
        <v>17</v>
      </c>
      <c r="N311" s="14" t="inlineStr">
        <is>
          <t>Lista titoli Logos Edizioni 2026 (PVP)</t>
        </is>
      </c>
      <c r="O311" s="16">
        <f>IF(ISNUMBER(M311),ROUND(M311*(1-Condizioni!$B$2),2),"")</f>
        <v/>
      </c>
      <c r="P311" s="17" t="inlineStr">
        <is>
          <t>No</t>
        </is>
      </c>
    </row>
    <row r="312">
      <c r="A312" s="14" t="inlineStr">
        <is>
          <t>Logos</t>
        </is>
      </c>
      <c r="B312" s="14" t="inlineStr">
        <is>
          <t>Rose e l’Automa dell’Opera</t>
        </is>
      </c>
      <c r="C312" s="14" t="inlineStr">
        <is>
          <t>Fred Bernard; ill. François Roca</t>
        </is>
      </c>
      <c r="D312" s="14" t="inlineStr">
        <is>
          <t>Albo Ciopi</t>
        </is>
      </c>
      <c r="E312" s="14" t="inlineStr">
        <is>
          <t>da 8 anni</t>
        </is>
      </c>
      <c r="F312" s="14" t="inlineStr">
        <is>
          <t>8+</t>
        </is>
      </c>
      <c r="G312" s="14" t="inlineStr">
        <is>
          <t>Albo illustrato</t>
        </is>
      </c>
      <c r="H312" s="14" t="inlineStr"/>
      <c r="I312" s="14" t="inlineStr">
        <is>
          <t>No</t>
        </is>
      </c>
      <c r="J312" s="14" t="inlineStr">
        <is>
          <t>Catalogo</t>
        </is>
      </c>
      <c r="K312" s="14" t="inlineStr">
        <is>
          <t>8+</t>
        </is>
      </c>
      <c r="L312" s="14" t="inlineStr">
        <is>
          <t>https://www.libri.it/rose-e-automa-opera</t>
        </is>
      </c>
      <c r="M312" s="16" t="n">
        <v>18</v>
      </c>
      <c r="N312" s="14" t="inlineStr">
        <is>
          <t>Lista titoli Logos Edizioni 2026 (PVP)</t>
        </is>
      </c>
      <c r="O312" s="16">
        <f>IF(ISNUMBER(M312),ROUND(M312*(1-Condizioni!$B$2),2),"")</f>
        <v/>
      </c>
      <c r="P312" s="17" t="inlineStr">
        <is>
          <t>No</t>
        </is>
      </c>
    </row>
    <row r="313">
      <c r="A313" s="14" t="inlineStr">
        <is>
          <t>Logos</t>
        </is>
      </c>
      <c r="B313" s="14" t="inlineStr">
        <is>
          <t>Rosso</t>
        </is>
      </c>
      <c r="C313" s="14" t="inlineStr">
        <is>
          <t>Elena Bellei; ill. Anna Paolini</t>
        </is>
      </c>
      <c r="D313" s="14" t="inlineStr">
        <is>
          <t>Biblioteca Ciopi</t>
        </is>
      </c>
      <c r="E313" s="14" t="inlineStr">
        <is>
          <t>da 8 anni</t>
        </is>
      </c>
      <c r="F313" s="14" t="inlineStr">
        <is>
          <t>8+</t>
        </is>
      </c>
      <c r="G313" s="14" t="inlineStr">
        <is>
          <t>Narrativa</t>
        </is>
      </c>
      <c r="H313" s="14" t="inlineStr"/>
      <c r="I313" s="14" t="inlineStr">
        <is>
          <t>No</t>
        </is>
      </c>
      <c r="J313" s="14" t="inlineStr">
        <is>
          <t>Catalogo</t>
        </is>
      </c>
      <c r="K313" s="14" t="inlineStr">
        <is>
          <t>8+, narrativa</t>
        </is>
      </c>
      <c r="L313" s="14" t="inlineStr">
        <is>
          <t>https://www.libri.it/rosso-paolini</t>
        </is>
      </c>
      <c r="M313" s="16" t="n">
        <v>10</v>
      </c>
      <c r="N313" s="14" t="inlineStr">
        <is>
          <t>Lista titoli Logos Edizioni 2026 (PVP)</t>
        </is>
      </c>
      <c r="O313" s="16">
        <f>IF(ISNUMBER(M313),ROUND(M313*(1-Condizioni!$B$2),2),"")</f>
        <v/>
      </c>
      <c r="P313" s="17" t="inlineStr">
        <is>
          <t>No</t>
        </is>
      </c>
    </row>
    <row r="314">
      <c r="A314" s="14" t="inlineStr">
        <is>
          <t>Logos</t>
        </is>
      </c>
      <c r="B314" s="14" t="inlineStr">
        <is>
          <t>Saltimbanchi</t>
        </is>
      </c>
      <c r="C314" s="14" t="inlineStr">
        <is>
          <t>Marie Desplechin; ill. Emmanuelle Houdart</t>
        </is>
      </c>
      <c r="D314" s="14" t="inlineStr">
        <is>
          <t>Illustrati</t>
        </is>
      </c>
      <c r="E314" s="14" t="inlineStr">
        <is>
          <t>da 8 anni</t>
        </is>
      </c>
      <c r="F314" s="14" t="inlineStr">
        <is>
          <t>8+</t>
        </is>
      </c>
      <c r="G314" s="14" t="inlineStr">
        <is>
          <t>Albo illustrato</t>
        </is>
      </c>
      <c r="H314" s="14" t="inlineStr"/>
      <c r="I314" s="14" t="inlineStr">
        <is>
          <t>No</t>
        </is>
      </c>
      <c r="J314" s="14" t="inlineStr">
        <is>
          <t>Catalogo</t>
        </is>
      </c>
      <c r="K314" s="14" t="inlineStr">
        <is>
          <t>8+</t>
        </is>
      </c>
      <c r="L314" s="14" t="inlineStr">
        <is>
          <t>https://www.libri.it/saltimbanchi</t>
        </is>
      </c>
      <c r="M314" s="16" t="n">
        <v>25</v>
      </c>
      <c r="N314" s="14" t="inlineStr">
        <is>
          <t>Lista titoli Logos Edizioni 2026 (PVP)</t>
        </is>
      </c>
      <c r="O314" s="16">
        <f>IF(ISNUMBER(M314),ROUND(M314*(1-Condizioni!$B$2),2),"")</f>
        <v/>
      </c>
      <c r="P314" s="17" t="inlineStr">
        <is>
          <t>No</t>
        </is>
      </c>
    </row>
    <row r="315">
      <c r="A315" s="14" t="inlineStr">
        <is>
          <t>Logos</t>
        </is>
      </c>
      <c r="B315" s="14" t="inlineStr">
        <is>
          <t>Shark! (sea Shepherd)</t>
        </is>
      </c>
      <c r="C315" s="14" t="inlineStr">
        <is>
          <t>Geert Vons; ill. Roger Olmos</t>
        </is>
      </c>
      <c r="D315" s="14" t="inlineStr">
        <is>
          <t>Illustrati</t>
        </is>
      </c>
      <c r="E315" s="14" t="inlineStr">
        <is>
          <t>da 8 anni</t>
        </is>
      </c>
      <c r="F315" s="14" t="inlineStr">
        <is>
          <t>8+</t>
        </is>
      </c>
      <c r="G315" s="14" t="inlineStr">
        <is>
          <t>Albo illustrato</t>
        </is>
      </c>
      <c r="H315" s="14" t="inlineStr"/>
      <c r="I315" s="14" t="inlineStr">
        <is>
          <t>No</t>
        </is>
      </c>
      <c r="J315" s="14" t="inlineStr">
        <is>
          <t>Catalogo</t>
        </is>
      </c>
      <c r="K315" s="14" t="inlineStr">
        <is>
          <t>8+</t>
        </is>
      </c>
      <c r="L315" s="14" t="inlineStr">
        <is>
          <t>https://www.libri.it/shark</t>
        </is>
      </c>
      <c r="M315" s="16" t="n">
        <v>12</v>
      </c>
      <c r="N315" s="14" t="inlineStr">
        <is>
          <t>Lista titoli Logos Edizioni 2026 (PVP)</t>
        </is>
      </c>
      <c r="O315" s="16">
        <f>IF(ISNUMBER(M315),ROUND(M315*(1-Condizioni!$B$2),2),"")</f>
        <v/>
      </c>
      <c r="P315" s="17" t="inlineStr">
        <is>
          <t>No</t>
        </is>
      </c>
    </row>
    <row r="316">
      <c r="A316" s="14" t="inlineStr">
        <is>
          <t>Logos</t>
        </is>
      </c>
      <c r="B316" s="14" t="inlineStr">
        <is>
          <t>Signor Singhiozzo</t>
        </is>
      </c>
      <c r="C316" s="14" t="inlineStr">
        <is>
          <t>Graciela Beatriz Cabal; ill. Giulia Pintus</t>
        </is>
      </c>
      <c r="D316" s="14" t="inlineStr">
        <is>
          <t>Biblioteca Ciopi</t>
        </is>
      </c>
      <c r="E316" s="14" t="inlineStr">
        <is>
          <t>da 8 anni</t>
        </is>
      </c>
      <c r="F316" s="14" t="inlineStr">
        <is>
          <t>8+</t>
        </is>
      </c>
      <c r="G316" s="14" t="inlineStr">
        <is>
          <t>Narrativa</t>
        </is>
      </c>
      <c r="H316" s="14" t="inlineStr"/>
      <c r="I316" s="14" t="inlineStr">
        <is>
          <t>No</t>
        </is>
      </c>
      <c r="J316" s="14" t="inlineStr">
        <is>
          <t>Catalogo</t>
        </is>
      </c>
      <c r="K316" s="14" t="inlineStr">
        <is>
          <t>8+, narrativa</t>
        </is>
      </c>
      <c r="L316" s="14" t="inlineStr">
        <is>
          <t>https://www.libri.it/signor-singhiozzo</t>
        </is>
      </c>
      <c r="M316" s="16" t="n">
        <v>9</v>
      </c>
      <c r="N316" s="14" t="inlineStr">
        <is>
          <t>Lista titoli Logos Edizioni 2026 (PVP)</t>
        </is>
      </c>
      <c r="O316" s="16">
        <f>IF(ISNUMBER(M316),ROUND(M316*(1-Condizioni!$B$2),2),"")</f>
        <v/>
      </c>
      <c r="P316" s="17" t="inlineStr">
        <is>
          <t>No</t>
        </is>
      </c>
    </row>
    <row r="317">
      <c r="A317" s="14" t="inlineStr">
        <is>
          <t>Logos</t>
        </is>
      </c>
      <c r="B317" s="14" t="inlineStr">
        <is>
          <t>Solveig. una Vichinga nella Terra degli Irochesi</t>
        </is>
      </c>
      <c r="C317" s="14" t="inlineStr">
        <is>
          <t>Fred Bernard; ill. François Roca</t>
        </is>
      </c>
      <c r="D317" s="14" t="inlineStr">
        <is>
          <t>Albo Ciopi</t>
        </is>
      </c>
      <c r="E317" s="14" t="inlineStr">
        <is>
          <t>da 8 anni</t>
        </is>
      </c>
      <c r="F317" s="14" t="inlineStr">
        <is>
          <t>8+</t>
        </is>
      </c>
      <c r="G317" s="14" t="inlineStr">
        <is>
          <t>Albo illustrato</t>
        </is>
      </c>
      <c r="H317" s="14" t="inlineStr"/>
      <c r="I317" s="14" t="inlineStr">
        <is>
          <t>No</t>
        </is>
      </c>
      <c r="J317" s="14" t="inlineStr">
        <is>
          <t>Catalogo</t>
        </is>
      </c>
      <c r="K317" s="14" t="inlineStr">
        <is>
          <t>8+</t>
        </is>
      </c>
      <c r="L317" s="14" t="inlineStr">
        <is>
          <t>https://www.libri.it/solveig</t>
        </is>
      </c>
      <c r="M317" s="16" t="n">
        <v>18</v>
      </c>
      <c r="N317" s="14" t="inlineStr">
        <is>
          <t>Lista titoli Logos Edizioni 2026 (PVP)</t>
        </is>
      </c>
      <c r="O317" s="16">
        <f>IF(ISNUMBER(M317),ROUND(M317*(1-Condizioni!$B$2),2),"")</f>
        <v/>
      </c>
      <c r="P317" s="17" t="inlineStr">
        <is>
          <t>No</t>
        </is>
      </c>
    </row>
    <row r="318">
      <c r="A318" s="14" t="inlineStr">
        <is>
          <t>Logos</t>
        </is>
      </c>
      <c r="B318" s="14" t="inlineStr">
        <is>
          <t>Su Anasi. la Donna dell’Acqua</t>
        </is>
      </c>
      <c r="C318" s="14" t="inlineStr">
        <is>
          <t>Dilka Bear</t>
        </is>
      </c>
      <c r="D318" s="14" t="inlineStr">
        <is>
          <t>Illustrati</t>
        </is>
      </c>
      <c r="E318" s="14" t="inlineStr">
        <is>
          <t>da 8 anni</t>
        </is>
      </c>
      <c r="F318" s="14" t="inlineStr">
        <is>
          <t>8+</t>
        </is>
      </c>
      <c r="G318" s="14" t="inlineStr">
        <is>
          <t>Albo illustrato</t>
        </is>
      </c>
      <c r="H318" s="14" t="inlineStr"/>
      <c r="I318" s="14" t="inlineStr">
        <is>
          <t>No</t>
        </is>
      </c>
      <c r="J318" s="14" t="inlineStr">
        <is>
          <t>Catalogo</t>
        </is>
      </c>
      <c r="K318" s="14" t="inlineStr">
        <is>
          <t>8+</t>
        </is>
      </c>
      <c r="L318" s="14" t="inlineStr">
        <is>
          <t>https://www.libri.it/su-anasi</t>
        </is>
      </c>
      <c r="M318" s="16" t="n">
        <v>18</v>
      </c>
      <c r="N318" s="14" t="inlineStr">
        <is>
          <t>Lista titoli Logos Edizioni 2026 (PVP)</t>
        </is>
      </c>
      <c r="O318" s="16">
        <f>IF(ISNUMBER(M318),ROUND(M318*(1-Condizioni!$B$2),2),"")</f>
        <v/>
      </c>
      <c r="P318" s="17" t="inlineStr">
        <is>
          <t>No</t>
        </is>
      </c>
    </row>
    <row r="319">
      <c r="A319" s="14" t="inlineStr">
        <is>
          <t>Logos</t>
        </is>
      </c>
      <c r="B319" s="14" t="inlineStr">
        <is>
          <t>Taiji (sea Shepherd)</t>
        </is>
      </c>
      <c r="C319" s="14" t="inlineStr">
        <is>
          <t>Geert Vons; ill. Roger Olmos</t>
        </is>
      </c>
      <c r="D319" s="14" t="inlineStr">
        <is>
          <t>Illustrati</t>
        </is>
      </c>
      <c r="E319" s="14" t="inlineStr">
        <is>
          <t>da 8 anni</t>
        </is>
      </c>
      <c r="F319" s="14" t="inlineStr">
        <is>
          <t>8+</t>
        </is>
      </c>
      <c r="G319" s="14" t="inlineStr">
        <is>
          <t>Albo illustrato</t>
        </is>
      </c>
      <c r="H319" s="14" t="inlineStr"/>
      <c r="I319" s="14" t="inlineStr">
        <is>
          <t>No</t>
        </is>
      </c>
      <c r="J319" s="14" t="inlineStr">
        <is>
          <t>Catalogo</t>
        </is>
      </c>
      <c r="K319" s="14" t="inlineStr">
        <is>
          <t>8+</t>
        </is>
      </c>
      <c r="L319" s="14" t="inlineStr">
        <is>
          <t>https://www.libri.it/taiji</t>
        </is>
      </c>
      <c r="M319" s="16" t="n">
        <v>10</v>
      </c>
      <c r="N319" s="14" t="inlineStr">
        <is>
          <t>Lista titoli Logos Edizioni 2026 (PVP)</t>
        </is>
      </c>
      <c r="O319" s="16">
        <f>IF(ISNUMBER(M319),ROUND(M319*(1-Condizioni!$B$2),2),"")</f>
        <v/>
      </c>
      <c r="P319" s="17" t="inlineStr">
        <is>
          <t>No</t>
        </is>
      </c>
    </row>
    <row r="320">
      <c r="A320" s="14" t="inlineStr">
        <is>
          <t>Logos</t>
        </is>
      </c>
      <c r="B320" s="14" t="inlineStr">
        <is>
          <t>Toby</t>
        </is>
      </c>
      <c r="C320" s="14" t="inlineStr">
        <is>
          <t>Graciela Beatriz Cabal; ill. Israel Barrón</t>
        </is>
      </c>
      <c r="D320" s="14" t="inlineStr">
        <is>
          <t>Biblioteca Ciopi</t>
        </is>
      </c>
      <c r="E320" s="14" t="inlineStr">
        <is>
          <t>da 8 anni</t>
        </is>
      </c>
      <c r="F320" s="14" t="inlineStr">
        <is>
          <t>8+</t>
        </is>
      </c>
      <c r="G320" s="14" t="inlineStr">
        <is>
          <t>Narrativa</t>
        </is>
      </c>
      <c r="H320" s="14" t="inlineStr"/>
      <c r="I320" s="14" t="inlineStr">
        <is>
          <t>No</t>
        </is>
      </c>
      <c r="J320" s="14" t="inlineStr">
        <is>
          <t>Catalogo</t>
        </is>
      </c>
      <c r="K320" s="14" t="inlineStr">
        <is>
          <t>8+, narrativa</t>
        </is>
      </c>
      <c r="L320" s="14" t="inlineStr">
        <is>
          <t>https://www.libri.it/toby</t>
        </is>
      </c>
      <c r="M320" s="16" t="n">
        <v>9</v>
      </c>
      <c r="N320" s="14" t="inlineStr">
        <is>
          <t>Lista titoli Logos Edizioni 2026 (PVP)</t>
        </is>
      </c>
      <c r="O320" s="16">
        <f>IF(ISNUMBER(M320),ROUND(M320*(1-Condizioni!$B$2),2),"")</f>
        <v/>
      </c>
      <c r="P320" s="17" t="inlineStr">
        <is>
          <t>No</t>
        </is>
      </c>
    </row>
    <row r="321">
      <c r="A321" s="14" t="inlineStr">
        <is>
          <t>Logos</t>
        </is>
      </c>
      <c r="B321" s="14" t="inlineStr">
        <is>
          <t>Tutti Contenti</t>
        </is>
      </c>
      <c r="C321" s="14" t="inlineStr">
        <is>
          <t>Nicolás Arispe</t>
        </is>
      </c>
      <c r="D321" s="14" t="inlineStr">
        <is>
          <t>Illustrati</t>
        </is>
      </c>
      <c r="E321" s="14" t="inlineStr">
        <is>
          <t>da 8 anni</t>
        </is>
      </c>
      <c r="F321" s="14" t="inlineStr">
        <is>
          <t>8+</t>
        </is>
      </c>
      <c r="G321" s="14" t="inlineStr">
        <is>
          <t>Albo illustrato</t>
        </is>
      </c>
      <c r="H321" s="14" t="inlineStr"/>
      <c r="I321" s="14" t="inlineStr">
        <is>
          <t>No</t>
        </is>
      </c>
      <c r="J321" s="14" t="inlineStr">
        <is>
          <t>Catalogo</t>
        </is>
      </c>
      <c r="K321" s="14" t="inlineStr">
        <is>
          <t>8+</t>
        </is>
      </c>
      <c r="L321" s="14" t="inlineStr">
        <is>
          <t>https://www.libri.it/tutti-contenti</t>
        </is>
      </c>
      <c r="M321" s="16" t="n">
        <v>12</v>
      </c>
      <c r="N321" s="14" t="inlineStr">
        <is>
          <t>Lista titoli Logos Edizioni 2026 (PVP)</t>
        </is>
      </c>
      <c r="O321" s="16">
        <f>IF(ISNUMBER(M321),ROUND(M321*(1-Condizioni!$B$2),2),"")</f>
        <v/>
      </c>
      <c r="P321" s="17" t="inlineStr">
        <is>
          <t>No</t>
        </is>
      </c>
    </row>
    <row r="322">
      <c r="A322" s="14" t="inlineStr">
        <is>
          <t>Logos</t>
        </is>
      </c>
      <c r="B322" s="14" t="inlineStr">
        <is>
          <t>Un Cane</t>
        </is>
      </c>
      <c r="C322" s="14" t="inlineStr">
        <is>
          <t>Daniel Nesquens; ill. Alberto Gamón</t>
        </is>
      </c>
      <c r="D322" s="14" t="inlineStr">
        <is>
          <t>Illustrati</t>
        </is>
      </c>
      <c r="E322" s="14" t="inlineStr">
        <is>
          <t>da 8 anni</t>
        </is>
      </c>
      <c r="F322" s="14" t="inlineStr">
        <is>
          <t>8+</t>
        </is>
      </c>
      <c r="G322" s="14" t="inlineStr">
        <is>
          <t>Albo illustrato</t>
        </is>
      </c>
      <c r="H322" s="14" t="inlineStr"/>
      <c r="I322" s="14" t="inlineStr">
        <is>
          <t>No</t>
        </is>
      </c>
      <c r="J322" s="14" t="inlineStr">
        <is>
          <t>Catalogo</t>
        </is>
      </c>
      <c r="K322" s="14" t="inlineStr">
        <is>
          <t>8+</t>
        </is>
      </c>
      <c r="L322" s="14" t="inlineStr">
        <is>
          <t>https://www.libri.it/un-cane</t>
        </is>
      </c>
      <c r="M322" s="16" t="n">
        <v>13</v>
      </c>
      <c r="N322" s="14" t="inlineStr">
        <is>
          <t>Lista titoli Logos Edizioni 2026 (PVP)</t>
        </is>
      </c>
      <c r="O322" s="16">
        <f>IF(ISNUMBER(M322),ROUND(M322*(1-Condizioni!$B$2),2),"")</f>
        <v/>
      </c>
      <c r="P322" s="17" t="inlineStr">
        <is>
          <t>No</t>
        </is>
      </c>
    </row>
    <row r="323">
      <c r="A323" s="14" t="inlineStr">
        <is>
          <t>Logos</t>
        </is>
      </c>
      <c r="B323" s="14" t="inlineStr">
        <is>
          <t>Amore e Psiche</t>
        </is>
      </c>
      <c r="C323" s="14" t="inlineStr">
        <is>
          <t>Gabriel Pacheco</t>
        </is>
      </c>
      <c r="D323" s="14" t="inlineStr">
        <is>
          <t>Illustrati</t>
        </is>
      </c>
      <c r="E323" s="14" t="inlineStr">
        <is>
          <t>da 12 anni</t>
        </is>
      </c>
      <c r="F323" s="14" t="inlineStr">
        <is>
          <t>Scuola media (11-13)</t>
        </is>
      </c>
      <c r="G323" s="14" t="inlineStr">
        <is>
          <t>Albo illustrato</t>
        </is>
      </c>
      <c r="H323" s="14" t="inlineStr"/>
      <c r="I323" s="14" t="inlineStr">
        <is>
          <t>No</t>
        </is>
      </c>
      <c r="J323" s="14" t="inlineStr">
        <is>
          <t>Catalogo</t>
        </is>
      </c>
      <c r="K323" s="14" t="inlineStr">
        <is>
          <t>prima/seconda/terza media</t>
        </is>
      </c>
      <c r="L323" s="14" t="inlineStr">
        <is>
          <t>https://www.libri.it/amore_psiche</t>
        </is>
      </c>
      <c r="M323" s="16" t="n">
        <v>20</v>
      </c>
      <c r="N323" s="14" t="inlineStr">
        <is>
          <t>Lista titoli Logos Edizioni 2026 (PVP)</t>
        </is>
      </c>
      <c r="O323" s="16">
        <f>IF(ISNUMBER(M323),ROUND(M323*(1-Condizioni!$B$2),2),"")</f>
        <v/>
      </c>
      <c r="P323" s="17" t="inlineStr">
        <is>
          <t>No</t>
        </is>
      </c>
    </row>
    <row r="324">
      <c r="A324" s="14" t="inlineStr">
        <is>
          <t>Logos</t>
        </is>
      </c>
      <c r="B324" s="14" t="inlineStr">
        <is>
          <t>Barbablù</t>
        </is>
      </c>
      <c r="C324" s="14" t="inlineStr">
        <is>
          <t>Chiara Lossani; ill. Gabriel Pacheco</t>
        </is>
      </c>
      <c r="D324" s="14" t="inlineStr">
        <is>
          <t>Illustrati</t>
        </is>
      </c>
      <c r="E324" s="14" t="inlineStr">
        <is>
          <t>da 12 anni</t>
        </is>
      </c>
      <c r="F324" s="14" t="inlineStr">
        <is>
          <t>Scuola media (11-13)</t>
        </is>
      </c>
      <c r="G324" s="14" t="inlineStr">
        <is>
          <t>Albo illustrato</t>
        </is>
      </c>
      <c r="H324" s="14" t="inlineStr"/>
      <c r="I324" s="14" t="inlineStr">
        <is>
          <t>No</t>
        </is>
      </c>
      <c r="J324" s="14" t="inlineStr">
        <is>
          <t>Catalogo</t>
        </is>
      </c>
      <c r="K324" s="14" t="inlineStr">
        <is>
          <t>prima/seconda/terza media</t>
        </is>
      </c>
      <c r="L324" s="14" t="inlineStr">
        <is>
          <t>https://www.libri.it/barbablu</t>
        </is>
      </c>
      <c r="M324" s="16" t="n">
        <v>17</v>
      </c>
      <c r="N324" s="14" t="inlineStr">
        <is>
          <t>Lista titoli Logos Edizioni 2026 (PVP)</t>
        </is>
      </c>
      <c r="O324" s="16">
        <f>IF(ISNUMBER(M324),ROUND(M324*(1-Condizioni!$B$2),2),"")</f>
        <v/>
      </c>
      <c r="P324" s="17" t="inlineStr">
        <is>
          <t>Sì</t>
        </is>
      </c>
    </row>
    <row r="325">
      <c r="A325" s="14" t="inlineStr">
        <is>
          <t>Logos</t>
        </is>
      </c>
      <c r="B325" s="14" t="inlineStr">
        <is>
          <t>Cappuccettorosso</t>
        </is>
      </c>
      <c r="C325" s="14" t="inlineStr">
        <is>
          <t>Gabriel Pacheco</t>
        </is>
      </c>
      <c r="D325" s="14" t="inlineStr">
        <is>
          <t>Illustrati</t>
        </is>
      </c>
      <c r="E325" s="14" t="inlineStr">
        <is>
          <t>da 12 anni</t>
        </is>
      </c>
      <c r="F325" s="14" t="inlineStr">
        <is>
          <t>Scuola media (11-13)</t>
        </is>
      </c>
      <c r="G325" s="14" t="inlineStr">
        <is>
          <t>Albo illustrato</t>
        </is>
      </c>
      <c r="H325" s="14" t="inlineStr"/>
      <c r="I325" s="14" t="inlineStr">
        <is>
          <t>No</t>
        </is>
      </c>
      <c r="J325" s="14" t="inlineStr">
        <is>
          <t>Catalogo</t>
        </is>
      </c>
      <c r="K325" s="14" t="inlineStr">
        <is>
          <t>prima/seconda/terza media</t>
        </is>
      </c>
      <c r="L325" s="14" t="inlineStr">
        <is>
          <t>https://www.libri.it/cappuccetto-rosso-pacheco</t>
        </is>
      </c>
      <c r="M325" s="16" t="n">
        <v>18</v>
      </c>
      <c r="N325" s="14" t="inlineStr">
        <is>
          <t>Lista titoli Logos Edizioni 2026 (PVP)</t>
        </is>
      </c>
      <c r="O325" s="16">
        <f>IF(ISNUMBER(M325),ROUND(M325*(1-Condizioni!$B$2),2),"")</f>
        <v/>
      </c>
      <c r="P325" s="17" t="inlineStr">
        <is>
          <t>No</t>
        </is>
      </c>
    </row>
    <row r="326">
      <c r="A326" s="14" t="inlineStr">
        <is>
          <t>Logos</t>
        </is>
      </c>
      <c r="B326" s="14" t="inlineStr">
        <is>
          <t>Carmilla</t>
        </is>
      </c>
      <c r="C326" s="14" t="inlineStr">
        <is>
          <t>Joseph Thomas Sheridan Le Fanu; ill. Ana Juan</t>
        </is>
      </c>
      <c r="D326" s="14" t="inlineStr">
        <is>
          <t>Illustrati</t>
        </is>
      </c>
      <c r="E326" s="14" t="inlineStr">
        <is>
          <t>da 12 anni</t>
        </is>
      </c>
      <c r="F326" s="14" t="inlineStr">
        <is>
          <t>Scuola media (11-13)</t>
        </is>
      </c>
      <c r="G326" s="14" t="inlineStr">
        <is>
          <t>Albo illustrato</t>
        </is>
      </c>
      <c r="H326" s="14" t="inlineStr"/>
      <c r="I326" s="14" t="inlineStr">
        <is>
          <t>No</t>
        </is>
      </c>
      <c r="J326" s="14" t="inlineStr">
        <is>
          <t>Catalogo</t>
        </is>
      </c>
      <c r="K326" s="14" t="inlineStr">
        <is>
          <t>prima/seconda/terza media</t>
        </is>
      </c>
      <c r="L326" s="14" t="inlineStr">
        <is>
          <t>https://www.libri.it/carmilla</t>
        </is>
      </c>
      <c r="M326" s="16" t="n">
        <v>20</v>
      </c>
      <c r="N326" s="14" t="inlineStr">
        <is>
          <t>Lista titoli Logos Edizioni 2026 (PVP)</t>
        </is>
      </c>
      <c r="O326" s="16">
        <f>IF(ISNUMBER(M326),ROUND(M326*(1-Condizioni!$B$2),2),"")</f>
        <v/>
      </c>
      <c r="P326" s="17" t="inlineStr">
        <is>
          <t>No</t>
        </is>
      </c>
    </row>
    <row r="327">
      <c r="A327" s="14" t="inlineStr">
        <is>
          <t>Logos</t>
        </is>
      </c>
      <c r="B327" s="14" t="inlineStr">
        <is>
          <t>Cinema Panopticum</t>
        </is>
      </c>
      <c r="C327" s="14" t="inlineStr">
        <is>
          <t>Thomas Ott</t>
        </is>
      </c>
      <c r="D327" s="14" t="inlineStr">
        <is>
          <t>Illustrati</t>
        </is>
      </c>
      <c r="E327" s="14" t="inlineStr">
        <is>
          <t>da 12 anni</t>
        </is>
      </c>
      <c r="F327" s="14" t="inlineStr">
        <is>
          <t>Scuola media (11-13)</t>
        </is>
      </c>
      <c r="G327" s="14" t="inlineStr">
        <is>
          <t>Albo illustrato</t>
        </is>
      </c>
      <c r="H327" s="14" t="inlineStr"/>
      <c r="I327" s="14" t="inlineStr">
        <is>
          <t>No</t>
        </is>
      </c>
      <c r="J327" s="14" t="inlineStr">
        <is>
          <t>Catalogo</t>
        </is>
      </c>
      <c r="K327" s="14" t="inlineStr">
        <is>
          <t>prima/seconda/terza media</t>
        </is>
      </c>
      <c r="L327" s="14" t="inlineStr">
        <is>
          <t>https://www.libri.it/cinema-panopticum</t>
        </is>
      </c>
      <c r="M327" s="16" t="n">
        <v>17</v>
      </c>
      <c r="N327" s="14" t="inlineStr">
        <is>
          <t>Lista titoli Logos Edizioni 2026 (PVP)</t>
        </is>
      </c>
      <c r="O327" s="16">
        <f>IF(ISNUMBER(M327),ROUND(M327*(1-Condizioni!$B$2),2),"")</f>
        <v/>
      </c>
      <c r="P327" s="17" t="inlineStr">
        <is>
          <t>No</t>
        </is>
      </c>
    </row>
    <row r="328">
      <c r="A328" s="14" t="inlineStr">
        <is>
          <t>Logos</t>
        </is>
      </c>
      <c r="B328" s="14" t="inlineStr">
        <is>
          <t>C’Era la Taiga, c’Era un Incendio</t>
        </is>
      </c>
      <c r="C328" s="14" t="inlineStr">
        <is>
          <t>Matteo Meschiari; ill. Rocco Lombardi</t>
        </is>
      </c>
      <c r="D328" s="14" t="inlineStr">
        <is>
          <t>Capsula Del Tempo</t>
        </is>
      </c>
      <c r="E328" s="14" t="inlineStr">
        <is>
          <t>da 12 anni</t>
        </is>
      </c>
      <c r="F328" s="14" t="inlineStr">
        <is>
          <t>Scuola media (11-13)</t>
        </is>
      </c>
      <c r="G328" s="14" t="inlineStr">
        <is>
          <t>Albo illustrato</t>
        </is>
      </c>
      <c r="H328" s="14" t="inlineStr"/>
      <c r="I328" s="14" t="inlineStr">
        <is>
          <t>No</t>
        </is>
      </c>
      <c r="J328" s="14" t="inlineStr">
        <is>
          <t>Catalogo</t>
        </is>
      </c>
      <c r="K328" s="14" t="inlineStr">
        <is>
          <t>prima/seconda/terza media</t>
        </is>
      </c>
      <c r="L328" s="14" t="inlineStr">
        <is>
          <t>https://www.libri.it/c-era-la-taiga-c-era-un-incendio</t>
        </is>
      </c>
      <c r="M328" s="16" t="n">
        <v>19</v>
      </c>
      <c r="N328" s="14" t="inlineStr">
        <is>
          <t>Lista titoli Logos Edizioni 2026 (PVP)</t>
        </is>
      </c>
      <c r="O328" s="16">
        <f>IF(ISNUMBER(M328),ROUND(M328*(1-Condizioni!$B$2),2),"")</f>
        <v/>
      </c>
      <c r="P328" s="17" t="inlineStr">
        <is>
          <t>No</t>
        </is>
      </c>
    </row>
    <row r="329">
      <c r="A329" s="14" t="inlineStr">
        <is>
          <t>Logos</t>
        </is>
      </c>
      <c r="B329" s="14" t="inlineStr">
        <is>
          <t>C’È Qualcuno Laggiù</t>
        </is>
      </c>
      <c r="C329" s="14" t="inlineStr">
        <is>
          <t>Ellen Duthie; ill. Studio Patten</t>
        </is>
      </c>
      <c r="D329" s="14" t="inlineStr">
        <is>
          <t>Wonder Ponder</t>
        </is>
      </c>
      <c r="E329" s="14" t="inlineStr">
        <is>
          <t>da 12 anni</t>
        </is>
      </c>
      <c r="F329" s="14" t="inlineStr">
        <is>
          <t>Scuola media (11-13)</t>
        </is>
      </c>
      <c r="G329" s="14" t="inlineStr">
        <is>
          <t>Albo illustrato</t>
        </is>
      </c>
      <c r="H329" s="14" t="inlineStr"/>
      <c r="I329" s="14" t="inlineStr">
        <is>
          <t>No</t>
        </is>
      </c>
      <c r="J329" s="14" t="inlineStr">
        <is>
          <t>Catalogo</t>
        </is>
      </c>
      <c r="K329" s="14" t="inlineStr">
        <is>
          <t>prima/seconda/terza media</t>
        </is>
      </c>
      <c r="L329" s="14" t="inlineStr">
        <is>
          <t>https://www.libri.it/c-e-qualcuno-laggiu</t>
        </is>
      </c>
      <c r="M329" s="16" t="n">
        <v>16</v>
      </c>
      <c r="N329" s="14" t="inlineStr">
        <is>
          <t>Lista titoli Logos Edizioni 2026 (PVP)</t>
        </is>
      </c>
      <c r="O329" s="16">
        <f>IF(ISNUMBER(M329),ROUND(M329*(1-Condizioni!$B$2),2),"")</f>
        <v/>
      </c>
      <c r="P329" s="17" t="inlineStr">
        <is>
          <t>No</t>
        </is>
      </c>
    </row>
    <row r="330">
      <c r="A330" s="14" t="inlineStr">
        <is>
          <t>Logos</t>
        </is>
      </c>
      <c r="B330" s="14" t="inlineStr">
        <is>
          <t>Demeter. Diario di Bordo</t>
        </is>
      </c>
      <c r="C330" s="14" t="inlineStr">
        <is>
          <t>Ana Juan</t>
        </is>
      </c>
      <c r="D330" s="14" t="inlineStr">
        <is>
          <t>Illustrati</t>
        </is>
      </c>
      <c r="E330" s="14" t="inlineStr">
        <is>
          <t>da 12 anni</t>
        </is>
      </c>
      <c r="F330" s="14" t="inlineStr">
        <is>
          <t>Scuola media (11-13)</t>
        </is>
      </c>
      <c r="G330" s="14" t="inlineStr">
        <is>
          <t>Albo illustrato</t>
        </is>
      </c>
      <c r="H330" s="14" t="inlineStr"/>
      <c r="I330" s="14" t="inlineStr">
        <is>
          <t>No</t>
        </is>
      </c>
      <c r="J330" s="14" t="inlineStr">
        <is>
          <t>Catalogo</t>
        </is>
      </c>
      <c r="K330" s="14" t="inlineStr">
        <is>
          <t>prima/seconda/terza media</t>
        </is>
      </c>
      <c r="L330" s="14" t="inlineStr">
        <is>
          <t>https://www.libri.it/demeter</t>
        </is>
      </c>
      <c r="M330" s="16" t="n">
        <v>27</v>
      </c>
      <c r="N330" s="14" t="inlineStr">
        <is>
          <t>Lista titoli Logos Edizioni 2026 (PVP)</t>
        </is>
      </c>
      <c r="O330" s="16">
        <f>IF(ISNUMBER(M330),ROUND(M330*(1-Condizioni!$B$2),2),"")</f>
        <v/>
      </c>
      <c r="P330" s="17" t="inlineStr">
        <is>
          <t>No</t>
        </is>
      </c>
    </row>
    <row r="331">
      <c r="A331" s="14" t="inlineStr">
        <is>
          <t>Logos</t>
        </is>
      </c>
      <c r="B331" s="14" t="inlineStr">
        <is>
          <t>Diventare Grande</t>
        </is>
      </c>
      <c r="C331" s="14" t="inlineStr">
        <is>
          <t>Laetitia Bourget; ill. Emmanuelle Houdart</t>
        </is>
      </c>
      <c r="D331" s="14" t="inlineStr">
        <is>
          <t>Illustrati</t>
        </is>
      </c>
      <c r="E331" s="14" t="inlineStr">
        <is>
          <t>da 12 anni</t>
        </is>
      </c>
      <c r="F331" s="14" t="inlineStr">
        <is>
          <t>Scuola media (11-13)</t>
        </is>
      </c>
      <c r="G331" s="14" t="inlineStr">
        <is>
          <t>Albo illustrato</t>
        </is>
      </c>
      <c r="H331" s="14" t="inlineStr"/>
      <c r="I331" s="14" t="inlineStr">
        <is>
          <t>No</t>
        </is>
      </c>
      <c r="J331" s="14" t="inlineStr">
        <is>
          <t>Catalogo</t>
        </is>
      </c>
      <c r="K331" s="14" t="inlineStr">
        <is>
          <t>prima/seconda/terza media</t>
        </is>
      </c>
      <c r="L331" s="14" t="inlineStr">
        <is>
          <t>https://www.libri.it/diventare-grande</t>
        </is>
      </c>
      <c r="M331" s="16" t="n">
        <v>18</v>
      </c>
      <c r="N331" s="14" t="inlineStr">
        <is>
          <t>Lista titoli Logos Edizioni 2026 (PVP)</t>
        </is>
      </c>
      <c r="O331" s="16">
        <f>IF(ISNUMBER(M331),ROUND(M331*(1-Condizioni!$B$2),2),"")</f>
        <v/>
      </c>
      <c r="P331" s="17" t="inlineStr">
        <is>
          <t>No</t>
        </is>
      </c>
    </row>
    <row r="332">
      <c r="A332" s="14" t="inlineStr">
        <is>
          <t>Logos</t>
        </is>
      </c>
      <c r="B332" s="14" t="inlineStr">
        <is>
          <t>Essere Madre</t>
        </is>
      </c>
      <c r="C332" s="14" t="inlineStr">
        <is>
          <t>Anna Paolini</t>
        </is>
      </c>
      <c r="D332" s="14" t="inlineStr">
        <is>
          <t>Illustrati</t>
        </is>
      </c>
      <c r="E332" s="14" t="inlineStr">
        <is>
          <t>da 12 anni</t>
        </is>
      </c>
      <c r="F332" s="14" t="inlineStr">
        <is>
          <t>Scuola media (11-13)</t>
        </is>
      </c>
      <c r="G332" s="14" t="inlineStr">
        <is>
          <t>Albo illustrato</t>
        </is>
      </c>
      <c r="H332" s="14" t="inlineStr"/>
      <c r="I332" s="14" t="inlineStr">
        <is>
          <t>No</t>
        </is>
      </c>
      <c r="J332" s="14" t="inlineStr">
        <is>
          <t>Catalogo</t>
        </is>
      </c>
      <c r="K332" s="14" t="inlineStr">
        <is>
          <t>prima/seconda/terza media</t>
        </is>
      </c>
      <c r="L332" s="14" t="inlineStr">
        <is>
          <t>https://www.libri.it/essere-madre</t>
        </is>
      </c>
      <c r="M332" s="16" t="n">
        <v>20</v>
      </c>
      <c r="N332" s="14" t="inlineStr">
        <is>
          <t>Lista titoli Logos Edizioni 2026 (PVP)</t>
        </is>
      </c>
      <c r="O332" s="16">
        <f>IF(ISNUMBER(M332),ROUND(M332*(1-Condizioni!$B$2),2),"")</f>
        <v/>
      </c>
      <c r="P332" s="17" t="inlineStr">
        <is>
          <t>No</t>
        </is>
      </c>
    </row>
    <row r="333">
      <c r="A333" s="14" t="inlineStr">
        <is>
          <t>Logos</t>
        </is>
      </c>
      <c r="B333" s="14" t="inlineStr">
        <is>
          <t>Estinzioni</t>
        </is>
      </c>
      <c r="C333" s="14" t="inlineStr">
        <is>
          <t>Jean-Baptiste de Panafieu; ill.  Alexandre Franc</t>
        </is>
      </c>
      <c r="D333" s="14" t="inlineStr">
        <is>
          <t>Fumetto Ciopi</t>
        </is>
      </c>
      <c r="E333" s="14" t="inlineStr">
        <is>
          <t>da 12 anni</t>
        </is>
      </c>
      <c r="F333" s="14" t="inlineStr">
        <is>
          <t>Scuola media (11-13)</t>
        </is>
      </c>
      <c r="G333" s="14" t="inlineStr">
        <is>
          <t>Graphic novel/Fumetto</t>
        </is>
      </c>
      <c r="H333" s="14" t="inlineStr"/>
      <c r="I333" s="14" t="inlineStr">
        <is>
          <t>No</t>
        </is>
      </c>
      <c r="J333" s="14" t="inlineStr">
        <is>
          <t>Catalogo</t>
        </is>
      </c>
      <c r="K333" s="14" t="inlineStr">
        <is>
          <t>prima/seconda/terza media</t>
        </is>
      </c>
      <c r="L333" s="14" t="inlineStr">
        <is>
          <t>https://www.libri.it/estinzioni</t>
        </is>
      </c>
      <c r="M333" s="16" t="n">
        <v>22</v>
      </c>
      <c r="N333" s="14" t="inlineStr">
        <is>
          <t>Lista titoli Logos Edizioni 2026 (PVP)</t>
        </is>
      </c>
      <c r="O333" s="16">
        <f>IF(ISNUMBER(M333),ROUND(M333*(1-Condizioni!$B$2),2),"")</f>
        <v/>
      </c>
      <c r="P333" s="17" t="inlineStr">
        <is>
          <t>No</t>
        </is>
      </c>
    </row>
    <row r="334">
      <c r="A334" s="14" t="inlineStr">
        <is>
          <t>Logos</t>
        </is>
      </c>
      <c r="B334" s="14" t="inlineStr">
        <is>
          <t>Ghirlanda</t>
        </is>
      </c>
      <c r="C334" s="14" t="inlineStr">
        <is>
          <t>Jerry Kramsky; ill. Lorenzo Mattotti</t>
        </is>
      </c>
      <c r="D334" s="14" t="inlineStr">
        <is>
          <t>Fumetto</t>
        </is>
      </c>
      <c r="E334" s="14" t="inlineStr">
        <is>
          <t>da 12 anni</t>
        </is>
      </c>
      <c r="F334" s="14" t="inlineStr">
        <is>
          <t>Scuola media (11-13)</t>
        </is>
      </c>
      <c r="G334" s="14" t="inlineStr">
        <is>
          <t>Graphic novel/Fumetto</t>
        </is>
      </c>
      <c r="H334" s="14" t="inlineStr"/>
      <c r="I334" s="14" t="inlineStr">
        <is>
          <t>No</t>
        </is>
      </c>
      <c r="J334" s="14" t="inlineStr">
        <is>
          <t>Catalogo</t>
        </is>
      </c>
      <c r="K334" s="14" t="inlineStr">
        <is>
          <t>prima/seconda/terza media</t>
        </is>
      </c>
      <c r="L334" s="14" t="inlineStr">
        <is>
          <t>https://www.libri.it/ghirlanda</t>
        </is>
      </c>
      <c r="M334" s="16" t="n">
        <v>35</v>
      </c>
      <c r="N334" s="14" t="inlineStr">
        <is>
          <t>Lista titoli Logos Edizioni 2026 (PVP)</t>
        </is>
      </c>
      <c r="O334" s="16">
        <f>IF(ISNUMBER(M334),ROUND(M334*(1-Condizioni!$B$2),2),"")</f>
        <v/>
      </c>
      <c r="P334" s="17" t="inlineStr">
        <is>
          <t>No</t>
        </is>
      </c>
    </row>
    <row r="335">
      <c r="A335" s="14" t="inlineStr">
        <is>
          <t>Logos</t>
        </is>
      </c>
      <c r="B335" s="14" t="inlineStr">
        <is>
          <t>Giovanni Senza Terra</t>
        </is>
      </c>
      <c r="C335" s="14" t="inlineStr">
        <is>
          <t>Nicolás Arispe</t>
        </is>
      </c>
      <c r="D335" s="14" t="inlineStr">
        <is>
          <t>Fumetto</t>
        </is>
      </c>
      <c r="E335" s="14" t="inlineStr">
        <is>
          <t>da 12 anni</t>
        </is>
      </c>
      <c r="F335" s="14" t="inlineStr">
        <is>
          <t>Scuola media (11-13)</t>
        </is>
      </c>
      <c r="G335" s="14" t="inlineStr">
        <is>
          <t>Graphic novel/Fumetto</t>
        </is>
      </c>
      <c r="H335" s="14" t="inlineStr"/>
      <c r="I335" s="14" t="inlineStr">
        <is>
          <t>No</t>
        </is>
      </c>
      <c r="J335" s="14" t="inlineStr">
        <is>
          <t>Catalogo</t>
        </is>
      </c>
      <c r="K335" s="14" t="inlineStr">
        <is>
          <t>prima/seconda/terza media</t>
        </is>
      </c>
      <c r="L335" s="14" t="inlineStr">
        <is>
          <t>https://www.libri.it/giovanni-senza-terra</t>
        </is>
      </c>
      <c r="M335" s="16" t="n">
        <v>17</v>
      </c>
      <c r="N335" s="14" t="inlineStr">
        <is>
          <t>Lista titoli Logos Edizioni 2026 (PVP)</t>
        </is>
      </c>
      <c r="O335" s="16">
        <f>IF(ISNUMBER(M335),ROUND(M335*(1-Condizioni!$B$2),2),"")</f>
        <v/>
      </c>
      <c r="P335" s="17" t="inlineStr">
        <is>
          <t>No</t>
        </is>
      </c>
    </row>
    <row r="336">
      <c r="A336" s="14" t="inlineStr">
        <is>
          <t>Logos</t>
        </is>
      </c>
      <c r="B336" s="14" t="inlineStr">
        <is>
          <t>Gran Vampiro Vol.1</t>
        </is>
      </c>
      <c r="C336" s="14" t="inlineStr">
        <is>
          <t>Joann Sfar</t>
        </is>
      </c>
      <c r="D336" s="14" t="inlineStr">
        <is>
          <t>Fumetto</t>
        </is>
      </c>
      <c r="E336" s="14" t="inlineStr">
        <is>
          <t>da 12 anni</t>
        </is>
      </c>
      <c r="F336" s="14" t="inlineStr">
        <is>
          <t>Scuola media (11-13)</t>
        </is>
      </c>
      <c r="G336" s="14" t="inlineStr">
        <is>
          <t>Graphic novel/Fumetto</t>
        </is>
      </c>
      <c r="H336" s="14" t="inlineStr"/>
      <c r="I336" s="14" t="inlineStr">
        <is>
          <t>No</t>
        </is>
      </c>
      <c r="J336" s="14" t="inlineStr">
        <is>
          <t>Catalogo</t>
        </is>
      </c>
      <c r="K336" s="14" t="inlineStr">
        <is>
          <t>prima/seconda/terza media</t>
        </is>
      </c>
      <c r="L336" s="14" t="inlineStr">
        <is>
          <t>https://www.libri.it/gran-vampiro-uno</t>
        </is>
      </c>
      <c r="M336" s="16" t="n">
        <v>20</v>
      </c>
      <c r="N336" s="14" t="inlineStr">
        <is>
          <t>Lista titoli Logos Edizioni 2026 (PVP)</t>
        </is>
      </c>
      <c r="O336" s="16">
        <f>IF(ISNUMBER(M336),ROUND(M336*(1-Condizioni!$B$2),2),"")</f>
        <v/>
      </c>
      <c r="P336" s="17" t="inlineStr">
        <is>
          <t>No</t>
        </is>
      </c>
    </row>
    <row r="337">
      <c r="A337" s="14" t="inlineStr">
        <is>
          <t>Logos</t>
        </is>
      </c>
      <c r="B337" s="14" t="inlineStr">
        <is>
          <t>Gran Vampiro Vol.2</t>
        </is>
      </c>
      <c r="C337" s="14" t="inlineStr">
        <is>
          <t>Joann Sfar</t>
        </is>
      </c>
      <c r="D337" s="14" t="inlineStr">
        <is>
          <t>Fumetto</t>
        </is>
      </c>
      <c r="E337" s="14" t="inlineStr">
        <is>
          <t>da 12 anni</t>
        </is>
      </c>
      <c r="F337" s="14" t="inlineStr">
        <is>
          <t>Scuola media (11-13)</t>
        </is>
      </c>
      <c r="G337" s="14" t="inlineStr">
        <is>
          <t>Graphic novel/Fumetto</t>
        </is>
      </c>
      <c r="H337" s="14" t="inlineStr"/>
      <c r="I337" s="14" t="inlineStr">
        <is>
          <t>No</t>
        </is>
      </c>
      <c r="J337" s="14" t="inlineStr">
        <is>
          <t>Catalogo</t>
        </is>
      </c>
      <c r="K337" s="14" t="inlineStr">
        <is>
          <t>prima/seconda/terza media</t>
        </is>
      </c>
      <c r="L337" s="14" t="inlineStr">
        <is>
          <t>https://www.libri.it/gran-vampiro-due</t>
        </is>
      </c>
      <c r="M337" s="16" t="n">
        <v>21</v>
      </c>
      <c r="N337" s="14" t="inlineStr">
        <is>
          <t>Lista titoli Logos Edizioni 2026 (PVP)</t>
        </is>
      </c>
      <c r="O337" s="16">
        <f>IF(ISNUMBER(M337),ROUND(M337*(1-Condizioni!$B$2),2),"")</f>
        <v/>
      </c>
      <c r="P337" s="17" t="inlineStr">
        <is>
          <t>No</t>
        </is>
      </c>
    </row>
    <row r="338">
      <c r="A338" s="14" t="inlineStr">
        <is>
          <t>Logos</t>
        </is>
      </c>
      <c r="B338" s="14" t="inlineStr">
        <is>
          <t>Gran Vampiro Vol.3 l’Eta della Nostra Morte</t>
        </is>
      </c>
      <c r="C338" s="14" t="inlineStr">
        <is>
          <t>Joann Sfar</t>
        </is>
      </c>
      <c r="D338" s="14" t="inlineStr">
        <is>
          <t>Fumetto</t>
        </is>
      </c>
      <c r="E338" s="14" t="inlineStr">
        <is>
          <t>da 12 anni</t>
        </is>
      </c>
      <c r="F338" s="14" t="inlineStr">
        <is>
          <t>Scuola media (11-13)</t>
        </is>
      </c>
      <c r="G338" s="14" t="inlineStr">
        <is>
          <t>Graphic novel/Fumetto</t>
        </is>
      </c>
      <c r="H338" s="14" t="inlineStr"/>
      <c r="I338" s="14" t="inlineStr">
        <is>
          <t>No</t>
        </is>
      </c>
      <c r="J338" s="14" t="inlineStr">
        <is>
          <t>Catalogo</t>
        </is>
      </c>
      <c r="K338" s="14" t="inlineStr">
        <is>
          <t>prima/seconda/terza media</t>
        </is>
      </c>
      <c r="L338" s="14" t="inlineStr">
        <is>
          <t>https://www.libri.it/gran-vampiro-tre</t>
        </is>
      </c>
      <c r="M338" s="16" t="n">
        <v>20</v>
      </c>
      <c r="N338" s="14" t="inlineStr">
        <is>
          <t>Lista titoli Logos Edizioni 2026 (PVP)</t>
        </is>
      </c>
      <c r="O338" s="16">
        <f>IF(ISNUMBER(M338),ROUND(M338*(1-Condizioni!$B$2),2),"")</f>
        <v/>
      </c>
      <c r="P338" s="17" t="inlineStr">
        <is>
          <t>No</t>
        </is>
      </c>
    </row>
    <row r="339">
      <c r="A339" s="14" t="inlineStr">
        <is>
          <t>Logos</t>
        </is>
      </c>
      <c r="B339" s="14" t="inlineStr">
        <is>
          <t>I Prodigiosi Umanimali del Signor Larsen</t>
        </is>
      </c>
      <c r="C339" s="14" t="inlineStr">
        <is>
          <t>Daniel Monedero; ill. Aitana Carrasco Inglés</t>
        </is>
      </c>
      <c r="D339" s="14" t="inlineStr">
        <is>
          <t>Illustrati</t>
        </is>
      </c>
      <c r="E339" s="14" t="inlineStr">
        <is>
          <t>da 12 anni</t>
        </is>
      </c>
      <c r="F339" s="14" t="inlineStr">
        <is>
          <t>Scuola media (11-13)</t>
        </is>
      </c>
      <c r="G339" s="14" t="inlineStr">
        <is>
          <t>Albo illustrato</t>
        </is>
      </c>
      <c r="H339" s="14" t="inlineStr"/>
      <c r="I339" s="14" t="inlineStr">
        <is>
          <t>No</t>
        </is>
      </c>
      <c r="J339" s="14" t="inlineStr">
        <is>
          <t>Catalogo</t>
        </is>
      </c>
      <c r="K339" s="14" t="inlineStr">
        <is>
          <t>prima/seconda/terza media</t>
        </is>
      </c>
      <c r="L339" s="14" t="inlineStr">
        <is>
          <t>https://www.libri.it/i-prodigiosi-umanimali-del-signor-larsen</t>
        </is>
      </c>
      <c r="M339" s="16" t="n">
        <v>15</v>
      </c>
      <c r="N339" s="14" t="inlineStr">
        <is>
          <t>Lista titoli Logos Edizioni 2026 (PVP)</t>
        </is>
      </c>
      <c r="O339" s="16">
        <f>IF(ISNUMBER(M339),ROUND(M339*(1-Condizioni!$B$2),2),"")</f>
        <v/>
      </c>
      <c r="P339" s="17" t="inlineStr">
        <is>
          <t>No</t>
        </is>
      </c>
    </row>
    <row r="340">
      <c r="A340" s="14" t="inlineStr">
        <is>
          <t>Logos</t>
        </is>
      </c>
      <c r="B340" s="14" t="inlineStr">
        <is>
          <t>Il Bambino Smarrito</t>
        </is>
      </c>
      <c r="C340" s="14" t="inlineStr">
        <is>
          <t>Nicolás Arispe</t>
        </is>
      </c>
      <c r="D340" s="14" t="inlineStr">
        <is>
          <t>Illustrati</t>
        </is>
      </c>
      <c r="E340" s="14" t="inlineStr">
        <is>
          <t>da 12 anni</t>
        </is>
      </c>
      <c r="F340" s="14" t="inlineStr">
        <is>
          <t>Scuola media (11-13)</t>
        </is>
      </c>
      <c r="G340" s="14" t="inlineStr">
        <is>
          <t>Albo illustrato</t>
        </is>
      </c>
      <c r="H340" s="14" t="inlineStr"/>
      <c r="I340" s="14" t="inlineStr">
        <is>
          <t>No</t>
        </is>
      </c>
      <c r="J340" s="14" t="inlineStr">
        <is>
          <t>Catalogo</t>
        </is>
      </c>
      <c r="K340" s="14" t="inlineStr">
        <is>
          <t>prima/seconda/terza media</t>
        </is>
      </c>
      <c r="L340" s="14" t="inlineStr">
        <is>
          <t>https://www.libri.it/bambino-smarrito</t>
        </is>
      </c>
      <c r="M340" s="16" t="n">
        <v>18</v>
      </c>
      <c r="N340" s="14" t="inlineStr">
        <is>
          <t>Lista titoli Logos Edizioni 2026 (PVP)</t>
        </is>
      </c>
      <c r="O340" s="16">
        <f>IF(ISNUMBER(M340),ROUND(M340*(1-Condizioni!$B$2),2),"")</f>
        <v/>
      </c>
      <c r="P340" s="17" t="inlineStr">
        <is>
          <t>No</t>
        </is>
      </c>
    </row>
    <row r="341">
      <c r="A341" s="14" t="inlineStr">
        <is>
          <t>Logos</t>
        </is>
      </c>
      <c r="B341" s="14" t="inlineStr">
        <is>
          <t>Il Lago dei Cigni</t>
        </is>
      </c>
      <c r="C341" s="14" t="inlineStr">
        <is>
          <t>Gabriel Pacheco</t>
        </is>
      </c>
      <c r="D341" s="14" t="inlineStr">
        <is>
          <t>Illustrati</t>
        </is>
      </c>
      <c r="E341" s="14" t="inlineStr">
        <is>
          <t>da 12 anni</t>
        </is>
      </c>
      <c r="F341" s="14" t="inlineStr">
        <is>
          <t>Scuola media (11-13)</t>
        </is>
      </c>
      <c r="G341" s="14" t="inlineStr">
        <is>
          <t>Albo illustrato</t>
        </is>
      </c>
      <c r="H341" s="14" t="inlineStr"/>
      <c r="I341" s="14" t="inlineStr">
        <is>
          <t>No</t>
        </is>
      </c>
      <c r="J341" s="14" t="inlineStr">
        <is>
          <t>Catalogo</t>
        </is>
      </c>
      <c r="K341" s="14" t="inlineStr">
        <is>
          <t>prima/seconda/terza media</t>
        </is>
      </c>
      <c r="L341" s="14" t="inlineStr">
        <is>
          <t>https://www.libri.it/il-lago-dei-cigni</t>
        </is>
      </c>
      <c r="M341" s="16" t="n">
        <v>17</v>
      </c>
      <c r="N341" s="14" t="inlineStr">
        <is>
          <t>Lista titoli Logos Edizioni 2026 (PVP)</t>
        </is>
      </c>
      <c r="O341" s="16">
        <f>IF(ISNUMBER(M341),ROUND(M341*(1-Condizioni!$B$2),2),"")</f>
        <v/>
      </c>
      <c r="P341" s="17" t="inlineStr">
        <is>
          <t>No</t>
        </is>
      </c>
    </row>
    <row r="342">
      <c r="A342" s="14" t="inlineStr">
        <is>
          <t>Logos</t>
        </is>
      </c>
      <c r="B342" s="14" t="inlineStr">
        <is>
          <t>Il Vangelo di Giuda</t>
        </is>
      </c>
      <c r="C342" s="14" t="inlineStr">
        <is>
          <t>Alberto Vázquez</t>
        </is>
      </c>
      <c r="D342" s="14" t="inlineStr">
        <is>
          <t>Fumetto</t>
        </is>
      </c>
      <c r="E342" s="14" t="inlineStr">
        <is>
          <t>da 12 anni</t>
        </is>
      </c>
      <c r="F342" s="14" t="inlineStr">
        <is>
          <t>Scuola media (11-13)</t>
        </is>
      </c>
      <c r="G342" s="14" t="inlineStr">
        <is>
          <t>Graphic novel/Fumetto</t>
        </is>
      </c>
      <c r="H342" s="14" t="inlineStr"/>
      <c r="I342" s="14" t="inlineStr">
        <is>
          <t>No</t>
        </is>
      </c>
      <c r="J342" s="14" t="inlineStr">
        <is>
          <t>Catalogo</t>
        </is>
      </c>
      <c r="K342" s="14" t="inlineStr">
        <is>
          <t>prima/seconda/terza media</t>
        </is>
      </c>
      <c r="L342" s="14" t="inlineStr">
        <is>
          <t>https://www.libri.it/il-vangelo-di-giuda</t>
        </is>
      </c>
      <c r="M342" s="16" t="n">
        <v>14</v>
      </c>
      <c r="N342" s="14" t="inlineStr">
        <is>
          <t>Lista titoli Logos Edizioni 2026 (PVP)</t>
        </is>
      </c>
      <c r="O342" s="16">
        <f>IF(ISNUMBER(M342),ROUND(M342*(1-Condizioni!$B$2),2),"")</f>
        <v/>
      </c>
      <c r="P342" s="17" t="inlineStr">
        <is>
          <t>No</t>
        </is>
      </c>
    </row>
    <row r="343">
      <c r="A343" s="14" t="inlineStr">
        <is>
          <t>Logos</t>
        </is>
      </c>
      <c r="B343" s="14" t="inlineStr">
        <is>
          <t>Julia Pastrana</t>
        </is>
      </c>
      <c r="C343" s="14" t="inlineStr">
        <is>
          <t>Ivan Cenzi; ill. Marco Palena</t>
        </is>
      </c>
      <c r="D343" s="14" t="inlineStr">
        <is>
          <t>Illustrati</t>
        </is>
      </c>
      <c r="E343" s="14" t="inlineStr">
        <is>
          <t>da 12 anni</t>
        </is>
      </c>
      <c r="F343" s="14" t="inlineStr">
        <is>
          <t>Scuola media (11-13)</t>
        </is>
      </c>
      <c r="G343" s="14" t="inlineStr">
        <is>
          <t>Albo illustrato</t>
        </is>
      </c>
      <c r="H343" s="14" t="inlineStr"/>
      <c r="I343" s="14" t="inlineStr">
        <is>
          <t>No</t>
        </is>
      </c>
      <c r="J343" s="14" t="inlineStr">
        <is>
          <t>Catalogo</t>
        </is>
      </c>
      <c r="K343" s="14" t="inlineStr">
        <is>
          <t>prima/seconda/terza media</t>
        </is>
      </c>
      <c r="L343" s="14" t="inlineStr">
        <is>
          <t>https://www.libri.it/julia-pastrana</t>
        </is>
      </c>
      <c r="M343" s="16" t="n">
        <v>19</v>
      </c>
      <c r="N343" s="14" t="inlineStr">
        <is>
          <t>Lista titoli Logos Edizioni 2026 (PVP)</t>
        </is>
      </c>
      <c r="O343" s="16">
        <f>IF(ISNUMBER(M343),ROUND(M343*(1-Condizioni!$B$2),2),"")</f>
        <v/>
      </c>
      <c r="P343" s="17" t="inlineStr">
        <is>
          <t>No</t>
        </is>
      </c>
    </row>
    <row r="344">
      <c r="A344" s="14" t="inlineStr">
        <is>
          <t>Logos</t>
        </is>
      </c>
      <c r="B344" s="14" t="inlineStr">
        <is>
          <t>Jésus Betz</t>
        </is>
      </c>
      <c r="C344" s="14" t="inlineStr">
        <is>
          <t>Fred Bernard; ill. François Roca</t>
        </is>
      </c>
      <c r="D344" s="14" t="inlineStr">
        <is>
          <t>Albo Ciopi</t>
        </is>
      </c>
      <c r="E344" s="14" t="inlineStr">
        <is>
          <t>da 12 anni</t>
        </is>
      </c>
      <c r="F344" s="14" t="inlineStr">
        <is>
          <t>Scuola media (11-13)</t>
        </is>
      </c>
      <c r="G344" s="14" t="inlineStr">
        <is>
          <t>Albo illustrato</t>
        </is>
      </c>
      <c r="H344" s="14" t="inlineStr"/>
      <c r="I344" s="14" t="inlineStr">
        <is>
          <t>No</t>
        </is>
      </c>
      <c r="J344" s="14" t="inlineStr">
        <is>
          <t>Catalogo</t>
        </is>
      </c>
      <c r="K344" s="14" t="inlineStr">
        <is>
          <t>prima/seconda/terza media</t>
        </is>
      </c>
      <c r="L344" s="14" t="inlineStr">
        <is>
          <t>https://www.libri.it/jesus-betz</t>
        </is>
      </c>
      <c r="M344" s="16" t="n">
        <v>18</v>
      </c>
      <c r="N344" s="14" t="inlineStr">
        <is>
          <t>Lista titoli Logos Edizioni 2026 (PVP)</t>
        </is>
      </c>
      <c r="O344" s="16">
        <f>IF(ISNUMBER(M344),ROUND(M344*(1-Condizioni!$B$2),2),"")</f>
        <v/>
      </c>
      <c r="P344" s="17" t="inlineStr">
        <is>
          <t>No</t>
        </is>
      </c>
    </row>
    <row r="345">
      <c r="A345" s="14" t="inlineStr">
        <is>
          <t>Logos</t>
        </is>
      </c>
      <c r="B345" s="14" t="inlineStr">
        <is>
          <t>Kosmos</t>
        </is>
      </c>
      <c r="C345" s="14" t="inlineStr">
        <is>
          <t>Matteo Meschiari; ill. Roger Olmos</t>
        </is>
      </c>
      <c r="D345" s="14" t="inlineStr">
        <is>
          <t>Capsula Del Tempo</t>
        </is>
      </c>
      <c r="E345" s="14" t="inlineStr">
        <is>
          <t>da 12 anni</t>
        </is>
      </c>
      <c r="F345" s="14" t="inlineStr">
        <is>
          <t>Scuola media (11-13)</t>
        </is>
      </c>
      <c r="G345" s="14" t="inlineStr">
        <is>
          <t>Albo illustrato</t>
        </is>
      </c>
      <c r="H345" s="14" t="inlineStr"/>
      <c r="I345" s="14" t="inlineStr">
        <is>
          <t>No</t>
        </is>
      </c>
      <c r="J345" s="14" t="inlineStr">
        <is>
          <t>Catalogo</t>
        </is>
      </c>
      <c r="K345" s="14" t="inlineStr">
        <is>
          <t>prima/seconda/terza media</t>
        </is>
      </c>
      <c r="L345" s="14" t="inlineStr">
        <is>
          <t>https://www.libri.it/kosmos</t>
        </is>
      </c>
      <c r="M345" s="16" t="n">
        <v>17</v>
      </c>
      <c r="N345" s="14" t="inlineStr">
        <is>
          <t>Lista titoli Logos Edizioni 2026 (PVP)</t>
        </is>
      </c>
      <c r="O345" s="16">
        <f>IF(ISNUMBER(M345),ROUND(M345*(1-Condizioni!$B$2),2),"")</f>
        <v/>
      </c>
      <c r="P345" s="17" t="inlineStr">
        <is>
          <t>No</t>
        </is>
      </c>
    </row>
    <row r="346">
      <c r="A346" s="14" t="inlineStr">
        <is>
          <t>Logos</t>
        </is>
      </c>
      <c r="B346" s="14" t="inlineStr">
        <is>
          <t>La Balena Biblioteca</t>
        </is>
      </c>
      <c r="C346" s="14" t="inlineStr">
        <is>
          <t>Zidrou; ill. Judith Vanistendael</t>
        </is>
      </c>
      <c r="D346" s="14" t="inlineStr">
        <is>
          <t>Fumetto</t>
        </is>
      </c>
      <c r="E346" s="14" t="inlineStr">
        <is>
          <t>da 12 anni</t>
        </is>
      </c>
      <c r="F346" s="14" t="inlineStr">
        <is>
          <t>Scuola media (11-13)</t>
        </is>
      </c>
      <c r="G346" s="14" t="inlineStr">
        <is>
          <t>Graphic novel/Fumetto</t>
        </is>
      </c>
      <c r="H346" s="14" t="inlineStr"/>
      <c r="I346" s="14" t="inlineStr">
        <is>
          <t>No</t>
        </is>
      </c>
      <c r="J346" s="14" t="inlineStr">
        <is>
          <t>Catalogo</t>
        </is>
      </c>
      <c r="K346" s="14" t="inlineStr">
        <is>
          <t>prima/seconda/terza media</t>
        </is>
      </c>
      <c r="L346" s="14" t="inlineStr">
        <is>
          <t>https://www.libri.it/la-balena-biblioteca</t>
        </is>
      </c>
      <c r="M346" s="16" t="n">
        <v>18</v>
      </c>
      <c r="N346" s="14" t="inlineStr">
        <is>
          <t>Lista titoli Logos Edizioni 2026 (PVP)</t>
        </is>
      </c>
      <c r="O346" s="16">
        <f>IF(ISNUMBER(M346),ROUND(M346*(1-Condizioni!$B$2),2),"")</f>
        <v/>
      </c>
      <c r="P346" s="17" t="inlineStr">
        <is>
          <t>No</t>
        </is>
      </c>
    </row>
    <row r="347">
      <c r="A347" s="14" t="inlineStr">
        <is>
          <t>Logos</t>
        </is>
      </c>
      <c r="B347" s="14" t="inlineStr">
        <is>
          <t>La Bella e la Bestia</t>
        </is>
      </c>
      <c r="C347" s="14" t="inlineStr">
        <is>
          <t>Jean-Marie Leprince De Beaumont; ill. Gabriel Pacheco</t>
        </is>
      </c>
      <c r="D347" s="14" t="inlineStr">
        <is>
          <t>Illustrati</t>
        </is>
      </c>
      <c r="E347" s="14" t="inlineStr">
        <is>
          <t>da 12 anni</t>
        </is>
      </c>
      <c r="F347" s="14" t="inlineStr">
        <is>
          <t>Scuola media (11-13)</t>
        </is>
      </c>
      <c r="G347" s="14" t="inlineStr">
        <is>
          <t>Albo illustrato</t>
        </is>
      </c>
      <c r="H347" s="14" t="inlineStr"/>
      <c r="I347" s="14" t="inlineStr">
        <is>
          <t>No</t>
        </is>
      </c>
      <c r="J347" s="14" t="inlineStr">
        <is>
          <t>Catalogo</t>
        </is>
      </c>
      <c r="K347" s="14" t="inlineStr">
        <is>
          <t>prima/seconda/terza media</t>
        </is>
      </c>
      <c r="L347" s="14" t="inlineStr">
        <is>
          <t>https://www.libri.it/la-bella-e-la-bestia</t>
        </is>
      </c>
      <c r="M347" s="16" t="n">
        <v>17</v>
      </c>
      <c r="N347" s="14" t="inlineStr">
        <is>
          <t>Lista titoli Logos Edizioni 2026 (PVP)</t>
        </is>
      </c>
      <c r="O347" s="16">
        <f>IF(ISNUMBER(M347),ROUND(M347*(1-Condizioni!$B$2),2),"")</f>
        <v/>
      </c>
      <c r="P347" s="17" t="inlineStr">
        <is>
          <t>No</t>
        </is>
      </c>
    </row>
    <row r="348">
      <c r="A348" s="14" t="inlineStr">
        <is>
          <t>Logos</t>
        </is>
      </c>
      <c r="B348" s="14" t="inlineStr">
        <is>
          <t>La Caccia</t>
        </is>
      </c>
      <c r="C348" s="14" t="inlineStr">
        <is>
          <t>Alberto Vázquez</t>
        </is>
      </c>
      <c r="D348" s="14" t="inlineStr">
        <is>
          <t>Fumetto</t>
        </is>
      </c>
      <c r="E348" s="14" t="inlineStr">
        <is>
          <t>da 12 anni</t>
        </is>
      </c>
      <c r="F348" s="14" t="inlineStr">
        <is>
          <t>Scuola media (11-13)</t>
        </is>
      </c>
      <c r="G348" s="14" t="inlineStr">
        <is>
          <t>Graphic novel/Fumetto</t>
        </is>
      </c>
      <c r="H348" s="14" t="inlineStr"/>
      <c r="I348" s="14" t="inlineStr">
        <is>
          <t>No</t>
        </is>
      </c>
      <c r="J348" s="14" t="inlineStr">
        <is>
          <t>Catalogo</t>
        </is>
      </c>
      <c r="K348" s="14" t="inlineStr">
        <is>
          <t>prima/seconda/terza media</t>
        </is>
      </c>
      <c r="L348" s="14" t="inlineStr">
        <is>
          <t>https://www.libri.it/la-caccia</t>
        </is>
      </c>
      <c r="M348" s="16" t="n">
        <v>18</v>
      </c>
      <c r="N348" s="14" t="inlineStr">
        <is>
          <t>Lista titoli Logos Edizioni 2026 (PVP)</t>
        </is>
      </c>
      <c r="O348" s="16">
        <f>IF(ISNUMBER(M348),ROUND(M348*(1-Condizioni!$B$2),2),"")</f>
        <v/>
      </c>
      <c r="P348" s="17" t="inlineStr">
        <is>
          <t>No</t>
        </is>
      </c>
    </row>
    <row r="349">
      <c r="A349" s="14" t="inlineStr">
        <is>
          <t>Logos</t>
        </is>
      </c>
      <c r="B349" s="14" t="inlineStr">
        <is>
          <t>La Donna Uccello</t>
        </is>
      </c>
      <c r="C349" s="14" t="inlineStr">
        <is>
          <t>Ethel Batista; ill. David Álvarez</t>
        </is>
      </c>
      <c r="D349" s="14" t="inlineStr">
        <is>
          <t>Illustrati</t>
        </is>
      </c>
      <c r="E349" s="14" t="inlineStr">
        <is>
          <t>da 12 anni</t>
        </is>
      </c>
      <c r="F349" s="14" t="inlineStr">
        <is>
          <t>Scuola media (11-13)</t>
        </is>
      </c>
      <c r="G349" s="14" t="inlineStr">
        <is>
          <t>Albo illustrato</t>
        </is>
      </c>
      <c r="H349" s="14" t="inlineStr"/>
      <c r="I349" s="14" t="inlineStr">
        <is>
          <t>No</t>
        </is>
      </c>
      <c r="J349" s="14" t="inlineStr">
        <is>
          <t>Catalogo</t>
        </is>
      </c>
      <c r="K349" s="14" t="inlineStr">
        <is>
          <t>prima/seconda/terza media</t>
        </is>
      </c>
      <c r="L349" s="14" t="inlineStr">
        <is>
          <t>https://www.libri.it/la-donna-uccello</t>
        </is>
      </c>
      <c r="M349" s="16" t="n">
        <v>17</v>
      </c>
      <c r="N349" s="14" t="inlineStr">
        <is>
          <t>Lista titoli Logos Edizioni 2026 (PVP)</t>
        </is>
      </c>
      <c r="O349" s="16">
        <f>IF(ISNUMBER(M349),ROUND(M349*(1-Condizioni!$B$2),2),"")</f>
        <v/>
      </c>
      <c r="P349" s="17" t="inlineStr">
        <is>
          <t>No</t>
        </is>
      </c>
    </row>
    <row r="350">
      <c r="A350" s="14" t="inlineStr">
        <is>
          <t>Logos</t>
        </is>
      </c>
      <c r="B350" s="14" t="inlineStr">
        <is>
          <t>La Falesia</t>
        </is>
      </c>
      <c r="C350" s="14" t="inlineStr">
        <is>
          <t>Manon Debaye</t>
        </is>
      </c>
      <c r="D350" s="14" t="inlineStr">
        <is>
          <t>Fumetto</t>
        </is>
      </c>
      <c r="E350" s="14" t="inlineStr">
        <is>
          <t>da 12 anni</t>
        </is>
      </c>
      <c r="F350" s="14" t="inlineStr">
        <is>
          <t>Scuola media (11-13)</t>
        </is>
      </c>
      <c r="G350" s="14" t="inlineStr">
        <is>
          <t>Graphic novel/Fumetto</t>
        </is>
      </c>
      <c r="H350" s="14" t="inlineStr"/>
      <c r="I350" s="14" t="inlineStr">
        <is>
          <t>No</t>
        </is>
      </c>
      <c r="J350" s="14" t="inlineStr">
        <is>
          <t>Catalogo</t>
        </is>
      </c>
      <c r="K350" s="14" t="inlineStr">
        <is>
          <t>prima/seconda/terza media</t>
        </is>
      </c>
      <c r="L350" s="14" t="inlineStr">
        <is>
          <t>https://www.libri.it/la-falesia</t>
        </is>
      </c>
      <c r="M350" s="16" t="n">
        <v>24</v>
      </c>
      <c r="N350" s="14" t="inlineStr">
        <is>
          <t>Lista titoli Logos Edizioni 2026 (PVP)</t>
        </is>
      </c>
      <c r="O350" s="16">
        <f>IF(ISNUMBER(M350),ROUND(M350*(1-Condizioni!$B$2),2),"")</f>
        <v/>
      </c>
      <c r="P350" s="17" t="inlineStr">
        <is>
          <t>No</t>
        </is>
      </c>
    </row>
    <row r="351">
      <c r="A351" s="14" t="inlineStr">
        <is>
          <t>Logos</t>
        </is>
      </c>
      <c r="B351" s="14" t="inlineStr">
        <is>
          <t>La Famiglia Addams. una Storia Diabolica</t>
        </is>
      </c>
      <c r="C351" s="14" t="inlineStr">
        <is>
          <t>Kevin Miserocchi; ill. Charles Addams</t>
        </is>
      </c>
      <c r="D351" s="14" t="inlineStr">
        <is>
          <t>Illustrati</t>
        </is>
      </c>
      <c r="E351" s="14" t="inlineStr">
        <is>
          <t>da 12 anni</t>
        </is>
      </c>
      <c r="F351" s="14" t="inlineStr">
        <is>
          <t>Scuola media (11-13)</t>
        </is>
      </c>
      <c r="G351" s="14" t="inlineStr">
        <is>
          <t>Albo illustrato</t>
        </is>
      </c>
      <c r="H351" s="14" t="inlineStr"/>
      <c r="I351" s="14" t="inlineStr">
        <is>
          <t>No</t>
        </is>
      </c>
      <c r="J351" s="14" t="inlineStr">
        <is>
          <t>Catalogo</t>
        </is>
      </c>
      <c r="K351" s="14" t="inlineStr">
        <is>
          <t>prima/seconda/terza media</t>
        </is>
      </c>
      <c r="L351" s="14" t="inlineStr">
        <is>
          <t>https://www.libri.it/la-famiglia-addams</t>
        </is>
      </c>
      <c r="M351" s="16" t="n">
        <v>35</v>
      </c>
      <c r="N351" s="14" t="inlineStr">
        <is>
          <t>Lista titoli Logos Edizioni 2026 (PVP)</t>
        </is>
      </c>
      <c r="O351" s="16">
        <f>IF(ISNUMBER(M351),ROUND(M351*(1-Condizioni!$B$2),2),"")</f>
        <v/>
      </c>
      <c r="P351" s="17" t="inlineStr">
        <is>
          <t>No</t>
        </is>
      </c>
    </row>
    <row r="352">
      <c r="A352" s="14" t="inlineStr">
        <is>
          <t>Logos</t>
        </is>
      </c>
      <c r="B352" s="14" t="inlineStr">
        <is>
          <t>La Forza dei Forti</t>
        </is>
      </c>
      <c r="C352" s="14" t="inlineStr">
        <is>
          <t>Jack London; ill. Roger Olmos</t>
        </is>
      </c>
      <c r="D352" s="14" t="inlineStr">
        <is>
          <t>Capsula Del Tempo</t>
        </is>
      </c>
      <c r="E352" s="14" t="inlineStr">
        <is>
          <t>da 12 anni</t>
        </is>
      </c>
      <c r="F352" s="14" t="inlineStr">
        <is>
          <t>Scuola media (11-13)</t>
        </is>
      </c>
      <c r="G352" s="14" t="inlineStr">
        <is>
          <t>Albo illustrato</t>
        </is>
      </c>
      <c r="H352" s="14" t="inlineStr"/>
      <c r="I352" s="14" t="inlineStr">
        <is>
          <t>No</t>
        </is>
      </c>
      <c r="J352" s="14" t="inlineStr">
        <is>
          <t>Catalogo</t>
        </is>
      </c>
      <c r="K352" s="14" t="inlineStr">
        <is>
          <t>prima/seconda/terza media</t>
        </is>
      </c>
      <c r="L352" s="14" t="inlineStr">
        <is>
          <t>https://www.libri.it/forza-dei-forti</t>
        </is>
      </c>
      <c r="M352" s="16" t="n">
        <v>20</v>
      </c>
      <c r="N352" s="14" t="inlineStr">
        <is>
          <t>Lista titoli Logos Edizioni 2026 (PVP)</t>
        </is>
      </c>
      <c r="O352" s="16">
        <f>IF(ISNUMBER(M352),ROUND(M352*(1-Condizioni!$B$2),2),"")</f>
        <v/>
      </c>
      <c r="P352" s="17" t="inlineStr">
        <is>
          <t>No</t>
        </is>
      </c>
    </row>
    <row r="353">
      <c r="A353" s="14" t="inlineStr">
        <is>
          <t>Logos</t>
        </is>
      </c>
      <c r="B353" s="14" t="inlineStr">
        <is>
          <t>La Madre e la Morte/ la Perdita</t>
        </is>
      </c>
      <c r="C353" s="14" t="inlineStr">
        <is>
          <t>Alberto Chimal, Alberto Laiseca; ill. Nicolás Arispe</t>
        </is>
      </c>
      <c r="D353" s="14" t="inlineStr">
        <is>
          <t>Illustrati</t>
        </is>
      </c>
      <c r="E353" s="14" t="inlineStr">
        <is>
          <t>da 12 anni</t>
        </is>
      </c>
      <c r="F353" s="14" t="inlineStr">
        <is>
          <t>Scuola media (11-13)</t>
        </is>
      </c>
      <c r="G353" s="14" t="inlineStr">
        <is>
          <t>Albo illustrato</t>
        </is>
      </c>
      <c r="H353" s="14" t="inlineStr"/>
      <c r="I353" s="14" t="inlineStr">
        <is>
          <t>No</t>
        </is>
      </c>
      <c r="J353" s="14" t="inlineStr">
        <is>
          <t>Catalogo</t>
        </is>
      </c>
      <c r="K353" s="14" t="inlineStr">
        <is>
          <t>prima/seconda/terza media</t>
        </is>
      </c>
      <c r="L353" s="14" t="inlineStr">
        <is>
          <t>https://www.libri.it/la-madre-e-la-morte</t>
        </is>
      </c>
      <c r="M353" s="16" t="n">
        <v>23.5</v>
      </c>
      <c r="N353" s="14" t="inlineStr">
        <is>
          <t>Lista titoli Logos Edizioni 2026 (PVP)</t>
        </is>
      </c>
      <c r="O353" s="16">
        <f>IF(ISNUMBER(M353),ROUND(M353*(1-Condizioni!$B$2),2),"")</f>
        <v/>
      </c>
      <c r="P353" s="17" t="inlineStr">
        <is>
          <t>No</t>
        </is>
      </c>
    </row>
    <row r="354">
      <c r="A354" s="14" t="inlineStr">
        <is>
          <t>Logos</t>
        </is>
      </c>
      <c r="B354" s="14" t="inlineStr">
        <is>
          <t>La Peste Scarlatta</t>
        </is>
      </c>
      <c r="C354" s="14" t="inlineStr">
        <is>
          <t>Jack London; ill. Roger Olmos</t>
        </is>
      </c>
      <c r="D354" s="14" t="inlineStr">
        <is>
          <t>Capsula Del Tempo</t>
        </is>
      </c>
      <c r="E354" s="14" t="inlineStr">
        <is>
          <t>da 12 anni</t>
        </is>
      </c>
      <c r="F354" s="14" t="inlineStr">
        <is>
          <t>Scuola media (11-13)</t>
        </is>
      </c>
      <c r="G354" s="14" t="inlineStr">
        <is>
          <t>Albo illustrato</t>
        </is>
      </c>
      <c r="H354" s="14" t="inlineStr"/>
      <c r="I354" s="14" t="inlineStr">
        <is>
          <t>No</t>
        </is>
      </c>
      <c r="J354" s="14" t="inlineStr">
        <is>
          <t>Catalogo</t>
        </is>
      </c>
      <c r="K354" s="14" t="inlineStr">
        <is>
          <t>prima/seconda/terza media</t>
        </is>
      </c>
      <c r="L354" s="14" t="inlineStr">
        <is>
          <t>https://www.libri.it/peste-scarlatta</t>
        </is>
      </c>
      <c r="M354" s="16" t="n">
        <v>18</v>
      </c>
      <c r="N354" s="14" t="inlineStr">
        <is>
          <t>Lista titoli Logos Edizioni 2026 (PVP)</t>
        </is>
      </c>
      <c r="O354" s="16">
        <f>IF(ISNUMBER(M354),ROUND(M354*(1-Condizioni!$B$2),2),"")</f>
        <v/>
      </c>
      <c r="P354" s="17" t="inlineStr">
        <is>
          <t>No</t>
        </is>
      </c>
    </row>
    <row r="355">
      <c r="A355" s="14" t="inlineStr">
        <is>
          <t>Logos</t>
        </is>
      </c>
      <c r="B355" s="14" t="inlineStr">
        <is>
          <t>La Riparazione</t>
        </is>
      </c>
      <c r="C355" s="14" t="inlineStr">
        <is>
          <t>Nina Bunjevac</t>
        </is>
      </c>
      <c r="D355" s="14" t="inlineStr">
        <is>
          <t>Illustrati</t>
        </is>
      </c>
      <c r="E355" s="14" t="inlineStr">
        <is>
          <t>da 12 anni</t>
        </is>
      </c>
      <c r="F355" s="14" t="inlineStr">
        <is>
          <t>Scuola media (11-13)</t>
        </is>
      </c>
      <c r="G355" s="14" t="inlineStr">
        <is>
          <t>Albo illustrato</t>
        </is>
      </c>
      <c r="H355" s="14" t="inlineStr"/>
      <c r="I355" s="14" t="inlineStr">
        <is>
          <t>No</t>
        </is>
      </c>
      <c r="J355" s="14" t="inlineStr">
        <is>
          <t>Catalogo</t>
        </is>
      </c>
      <c r="K355" s="14" t="inlineStr">
        <is>
          <t>prima/seconda/terza media</t>
        </is>
      </c>
      <c r="L355" s="14" t="inlineStr">
        <is>
          <t>https://www.libri.it/riparazione</t>
        </is>
      </c>
      <c r="M355" s="16" t="n">
        <v>18</v>
      </c>
      <c r="N355" s="14" t="inlineStr">
        <is>
          <t>Lista titoli Logos Edizioni 2026 (PVP)</t>
        </is>
      </c>
      <c r="O355" s="16">
        <f>IF(ISNUMBER(M355),ROUND(M355*(1-Condizioni!$B$2),2),"")</f>
        <v/>
      </c>
      <c r="P355" s="17" t="inlineStr">
        <is>
          <t>No</t>
        </is>
      </c>
    </row>
    <row r="356">
      <c r="A356" s="14" t="inlineStr">
        <is>
          <t>Logos</t>
        </is>
      </c>
      <c r="B356" s="14" t="inlineStr">
        <is>
          <t>La Sirenetta</t>
        </is>
      </c>
      <c r="C356" s="14" t="inlineStr">
        <is>
          <t>Gabriel Pacheco</t>
        </is>
      </c>
      <c r="D356" s="14" t="inlineStr">
        <is>
          <t>Illustrati</t>
        </is>
      </c>
      <c r="E356" s="14" t="inlineStr">
        <is>
          <t>da 12 anni</t>
        </is>
      </c>
      <c r="F356" s="14" t="inlineStr">
        <is>
          <t>Scuola media (11-13)</t>
        </is>
      </c>
      <c r="G356" s="14" t="inlineStr">
        <is>
          <t>Albo illustrato</t>
        </is>
      </c>
      <c r="H356" s="14" t="inlineStr"/>
      <c r="I356" s="14" t="inlineStr">
        <is>
          <t>No</t>
        </is>
      </c>
      <c r="J356" s="14" t="inlineStr">
        <is>
          <t>Catalogo</t>
        </is>
      </c>
      <c r="K356" s="14" t="inlineStr">
        <is>
          <t>prima/seconda/terza media</t>
        </is>
      </c>
      <c r="L356" s="14" t="inlineStr">
        <is>
          <t>https://www.libri.it/sirenetta</t>
        </is>
      </c>
      <c r="M356" s="16" t="n">
        <v>19</v>
      </c>
      <c r="N356" s="14" t="inlineStr">
        <is>
          <t>Lista titoli Logos Edizioni 2026 (PVP)</t>
        </is>
      </c>
      <c r="O356" s="16">
        <f>IF(ISNUMBER(M356),ROUND(M356*(1-Condizioni!$B$2),2),"")</f>
        <v/>
      </c>
      <c r="P356" s="17" t="inlineStr">
        <is>
          <t>Sì</t>
        </is>
      </c>
    </row>
    <row r="357">
      <c r="A357" s="14" t="inlineStr">
        <is>
          <t>Logos</t>
        </is>
      </c>
      <c r="B357" s="14" t="inlineStr">
        <is>
          <t>La Torre Blanca</t>
        </is>
      </c>
      <c r="C357" s="14" t="inlineStr">
        <is>
          <t>Pablo Auladell</t>
        </is>
      </c>
      <c r="D357" s="14" t="inlineStr">
        <is>
          <t>Fumetto</t>
        </is>
      </c>
      <c r="E357" s="14" t="inlineStr">
        <is>
          <t>da 12 anni</t>
        </is>
      </c>
      <c r="F357" s="14" t="inlineStr">
        <is>
          <t>Scuola media (11-13)</t>
        </is>
      </c>
      <c r="G357" s="14" t="inlineStr">
        <is>
          <t>Graphic novel/Fumetto</t>
        </is>
      </c>
      <c r="H357" s="14" t="inlineStr"/>
      <c r="I357" s="14" t="inlineStr">
        <is>
          <t>No</t>
        </is>
      </c>
      <c r="J357" s="14" t="inlineStr">
        <is>
          <t>Catalogo</t>
        </is>
      </c>
      <c r="K357" s="14" t="inlineStr">
        <is>
          <t>prima/seconda/terza media</t>
        </is>
      </c>
      <c r="L357" s="14" t="inlineStr">
        <is>
          <t>https://www.libri.it/la-torre-blanca</t>
        </is>
      </c>
      <c r="M357" s="16" t="n">
        <v>17</v>
      </c>
      <c r="N357" s="14" t="inlineStr">
        <is>
          <t>Lista titoli Logos Edizioni 2026 (PVP)</t>
        </is>
      </c>
      <c r="O357" s="16">
        <f>IF(ISNUMBER(M357),ROUND(M357*(1-Condizioni!$B$2),2),"")</f>
        <v/>
      </c>
      <c r="P357" s="17" t="inlineStr">
        <is>
          <t>No</t>
        </is>
      </c>
    </row>
    <row r="358">
      <c r="A358" s="14" t="inlineStr">
        <is>
          <t>Logos</t>
        </is>
      </c>
      <c r="B358" s="14" t="inlineStr">
        <is>
          <t>Lacrimosa</t>
        </is>
      </c>
      <c r="C358" s="14" t="inlineStr">
        <is>
          <t>Matz Mainka; ill. Ana Juan</t>
        </is>
      </c>
      <c r="D358" s="14" t="inlineStr">
        <is>
          <t>Illustrati</t>
        </is>
      </c>
      <c r="E358" s="14" t="inlineStr">
        <is>
          <t>da 12 anni</t>
        </is>
      </c>
      <c r="F358" s="14" t="inlineStr">
        <is>
          <t>Scuola media (11-13)</t>
        </is>
      </c>
      <c r="G358" s="14" t="inlineStr">
        <is>
          <t>Albo illustrato</t>
        </is>
      </c>
      <c r="H358" s="14" t="inlineStr"/>
      <c r="I358" s="14" t="inlineStr">
        <is>
          <t>No</t>
        </is>
      </c>
      <c r="J358" s="14" t="inlineStr">
        <is>
          <t>Catalogo</t>
        </is>
      </c>
      <c r="K358" s="14" t="inlineStr">
        <is>
          <t>prima/seconda/terza media</t>
        </is>
      </c>
      <c r="L358" s="14" t="inlineStr">
        <is>
          <t>https://www.libri.it/lacrimosa</t>
        </is>
      </c>
      <c r="M358" s="16" t="n">
        <v>20</v>
      </c>
      <c r="N358" s="14" t="inlineStr">
        <is>
          <t>Lista titoli Logos Edizioni 2026 (PVP)</t>
        </is>
      </c>
      <c r="O358" s="16">
        <f>IF(ISNUMBER(M358),ROUND(M358*(1-Condizioni!$B$2),2),"")</f>
        <v/>
      </c>
      <c r="P358" s="17" t="inlineStr">
        <is>
          <t>No</t>
        </is>
      </c>
    </row>
    <row r="359">
      <c r="A359" s="14" t="inlineStr">
        <is>
          <t>Logos</t>
        </is>
      </c>
      <c r="B359" s="14" t="inlineStr">
        <is>
          <t>Le Tribolazioni di Tommy Tiptop</t>
        </is>
      </c>
      <c r="C359" s="14" t="inlineStr">
        <is>
          <t>Stefano Bessoni</t>
        </is>
      </c>
      <c r="D359" s="14" t="inlineStr">
        <is>
          <t>Illustrati</t>
        </is>
      </c>
      <c r="E359" s="14" t="inlineStr">
        <is>
          <t>da 12 anni</t>
        </is>
      </c>
      <c r="F359" s="14" t="inlineStr">
        <is>
          <t>Scuola media (11-13)</t>
        </is>
      </c>
      <c r="G359" s="14" t="inlineStr">
        <is>
          <t>Albo illustrato</t>
        </is>
      </c>
      <c r="H359" s="14" t="inlineStr"/>
      <c r="I359" s="14" t="inlineStr">
        <is>
          <t>No</t>
        </is>
      </c>
      <c r="J359" s="14" t="inlineStr">
        <is>
          <t>Catalogo</t>
        </is>
      </c>
      <c r="K359" s="14" t="inlineStr">
        <is>
          <t>prima/seconda/terza media</t>
        </is>
      </c>
      <c r="L359" s="14" t="inlineStr">
        <is>
          <t>https://www.libri.it/tommy-tiptop</t>
        </is>
      </c>
      <c r="M359" s="16" t="n">
        <v>18</v>
      </c>
      <c r="N359" s="14" t="inlineStr">
        <is>
          <t>Lista titoli Logos Edizioni 2026 (PVP)</t>
        </is>
      </c>
      <c r="O359" s="16">
        <f>IF(ISNUMBER(M359),ROUND(M359*(1-Condizioni!$B$2),2),"")</f>
        <v/>
      </c>
      <c r="P359" s="17" t="inlineStr">
        <is>
          <t>No</t>
        </is>
      </c>
    </row>
    <row r="360">
      <c r="A360" s="14" t="inlineStr">
        <is>
          <t>Logos</t>
        </is>
      </c>
      <c r="B360" s="14" t="inlineStr">
        <is>
          <t>Little Red</t>
        </is>
      </c>
      <c r="C360" s="14" t="inlineStr">
        <is>
          <t>Beatriz Vidal</t>
        </is>
      </c>
      <c r="D360" s="14" t="inlineStr">
        <is>
          <t>Illustrati</t>
        </is>
      </c>
      <c r="E360" s="14" t="inlineStr">
        <is>
          <t>da 12 anni</t>
        </is>
      </c>
      <c r="F360" s="14" t="inlineStr">
        <is>
          <t>Scuola media (11-13)</t>
        </is>
      </c>
      <c r="G360" s="14" t="inlineStr">
        <is>
          <t>Albo illustrato</t>
        </is>
      </c>
      <c r="H360" s="14" t="inlineStr"/>
      <c r="I360" s="14" t="inlineStr">
        <is>
          <t>No</t>
        </is>
      </c>
      <c r="J360" s="14" t="inlineStr">
        <is>
          <t>Catalogo</t>
        </is>
      </c>
      <c r="K360" s="14" t="inlineStr">
        <is>
          <t>prima/seconda/terza media</t>
        </is>
      </c>
      <c r="L360" s="14" t="inlineStr">
        <is>
          <t>https://www.libri.it/little-red</t>
        </is>
      </c>
      <c r="M360" s="16" t="n">
        <v>18</v>
      </c>
      <c r="N360" s="14" t="inlineStr">
        <is>
          <t>Lista titoli Logos Edizioni 2026 (PVP)</t>
        </is>
      </c>
      <c r="O360" s="16">
        <f>IF(ISNUMBER(M360),ROUND(M360*(1-Condizioni!$B$2),2),"")</f>
        <v/>
      </c>
      <c r="P360" s="17" t="inlineStr">
        <is>
          <t>No</t>
        </is>
      </c>
    </row>
    <row r="361">
      <c r="A361" s="14" t="inlineStr">
        <is>
          <t>Logos</t>
        </is>
      </c>
      <c r="B361" s="14" t="inlineStr">
        <is>
          <t>Lombroso</t>
        </is>
      </c>
      <c r="C361" s="14" t="inlineStr">
        <is>
          <t>Stefano Bessoni</t>
        </is>
      </c>
      <c r="D361" s="14" t="inlineStr">
        <is>
          <t>Illustrati</t>
        </is>
      </c>
      <c r="E361" s="14" t="inlineStr">
        <is>
          <t>da 12 anni</t>
        </is>
      </c>
      <c r="F361" s="14" t="inlineStr">
        <is>
          <t>Scuola media (11-13)</t>
        </is>
      </c>
      <c r="G361" s="14" t="inlineStr">
        <is>
          <t>Albo illustrato</t>
        </is>
      </c>
      <c r="H361" s="14" t="inlineStr"/>
      <c r="I361" s="14" t="inlineStr">
        <is>
          <t>No</t>
        </is>
      </c>
      <c r="J361" s="14" t="inlineStr">
        <is>
          <t>Catalogo</t>
        </is>
      </c>
      <c r="K361" s="14" t="inlineStr">
        <is>
          <t>prima/seconda/terza media</t>
        </is>
      </c>
      <c r="L361" s="14" t="inlineStr">
        <is>
          <t>https://www.libri.it/stefano-bessoni-lombroso</t>
        </is>
      </c>
      <c r="M361" s="16" t="n">
        <v>18</v>
      </c>
      <c r="N361" s="14" t="inlineStr">
        <is>
          <t>Lista titoli Logos Edizioni 2026 (PVP)</t>
        </is>
      </c>
      <c r="O361" s="16">
        <f>IF(ISNUMBER(M361),ROUND(M361*(1-Condizioni!$B$2),2),"")</f>
        <v/>
      </c>
      <c r="P361" s="17" t="inlineStr">
        <is>
          <t>No</t>
        </is>
      </c>
    </row>
    <row r="362">
      <c r="A362" s="14" t="inlineStr">
        <is>
          <t>Logos</t>
        </is>
      </c>
      <c r="B362" s="14" t="inlineStr">
        <is>
          <t>L’Isola</t>
        </is>
      </c>
      <c r="C362" s="14" t="inlineStr">
        <is>
          <t>Matz Mainka; ill. Ana Juan</t>
        </is>
      </c>
      <c r="D362" s="14" t="inlineStr">
        <is>
          <t>Illustrati</t>
        </is>
      </c>
      <c r="E362" s="14" t="inlineStr">
        <is>
          <t>da 12 anni</t>
        </is>
      </c>
      <c r="F362" s="14" t="inlineStr">
        <is>
          <t>Scuola media (11-13)</t>
        </is>
      </c>
      <c r="G362" s="14" t="inlineStr">
        <is>
          <t>Albo illustrato</t>
        </is>
      </c>
      <c r="H362" s="14" t="inlineStr"/>
      <c r="I362" s="14" t="inlineStr">
        <is>
          <t>No</t>
        </is>
      </c>
      <c r="J362" s="14" t="inlineStr">
        <is>
          <t>Catalogo</t>
        </is>
      </c>
      <c r="K362" s="14" t="inlineStr">
        <is>
          <t>prima/seconda/terza media</t>
        </is>
      </c>
      <c r="L362" s="14" t="inlineStr">
        <is>
          <t>https://www.libri.it/lisola</t>
        </is>
      </c>
      <c r="M362" s="16" t="n">
        <v>18</v>
      </c>
      <c r="N362" s="14" t="inlineStr">
        <is>
          <t>Lista titoli Logos Edizioni 2026 (PVP)</t>
        </is>
      </c>
      <c r="O362" s="16">
        <f>IF(ISNUMBER(M362),ROUND(M362*(1-Condizioni!$B$2),2),"")</f>
        <v/>
      </c>
      <c r="P362" s="17" t="inlineStr">
        <is>
          <t>No</t>
        </is>
      </c>
    </row>
    <row r="363">
      <c r="A363" s="14" t="inlineStr">
        <is>
          <t>Logos</t>
        </is>
      </c>
      <c r="B363" s="14" t="inlineStr">
        <is>
          <t>L’Oracolo Favoloso</t>
        </is>
      </c>
      <c r="C363" s="14" t="inlineStr">
        <is>
          <t>Émilie Chazerand; ill. Emmanuelle Houdart</t>
        </is>
      </c>
      <c r="D363" s="14" t="inlineStr">
        <is>
          <t>Illustrati</t>
        </is>
      </c>
      <c r="E363" s="14" t="inlineStr">
        <is>
          <t>da 12 anni</t>
        </is>
      </c>
      <c r="F363" s="14" t="inlineStr">
        <is>
          <t>Scuola media (11-13)</t>
        </is>
      </c>
      <c r="G363" s="14" t="inlineStr">
        <is>
          <t>Albo illustrato</t>
        </is>
      </c>
      <c r="H363" s="14" t="inlineStr"/>
      <c r="I363" s="14" t="inlineStr">
        <is>
          <t>No</t>
        </is>
      </c>
      <c r="J363" s="14" t="inlineStr">
        <is>
          <t>Catalogo</t>
        </is>
      </c>
      <c r="K363" s="14" t="inlineStr">
        <is>
          <t>prima/seconda/terza media</t>
        </is>
      </c>
      <c r="L363" s="14" t="inlineStr">
        <is>
          <t>https://www.libri.it/oracolo-favoloso</t>
        </is>
      </c>
      <c r="M363" s="16" t="n">
        <v>26</v>
      </c>
      <c r="N363" s="14" t="inlineStr">
        <is>
          <t>Lista titoli Logos Edizioni 2026 (PVP)</t>
        </is>
      </c>
      <c r="O363" s="16">
        <f>IF(ISNUMBER(M363),ROUND(M363*(1-Condizioni!$B$2),2),"")</f>
        <v/>
      </c>
      <c r="P363" s="17" t="inlineStr">
        <is>
          <t>No</t>
        </is>
      </c>
    </row>
    <row r="364">
      <c r="A364" s="14" t="inlineStr">
        <is>
          <t>Logos</t>
        </is>
      </c>
      <c r="B364" s="14" t="inlineStr">
        <is>
          <t>L’Ultimo Grande Viaggio di Olivier Duveau</t>
        </is>
      </c>
      <c r="C364" s="14" t="inlineStr">
        <is>
          <t>Jali</t>
        </is>
      </c>
      <c r="D364" s="14" t="inlineStr">
        <is>
          <t>Fumetto</t>
        </is>
      </c>
      <c r="E364" s="14" t="inlineStr">
        <is>
          <t>da 12 anni</t>
        </is>
      </c>
      <c r="F364" s="14" t="inlineStr">
        <is>
          <t>Scuola media (11-13)</t>
        </is>
      </c>
      <c r="G364" s="14" t="inlineStr">
        <is>
          <t>Graphic novel/Fumetto</t>
        </is>
      </c>
      <c r="H364" s="14" t="inlineStr"/>
      <c r="I364" s="14" t="inlineStr">
        <is>
          <t>No</t>
        </is>
      </c>
      <c r="J364" s="14" t="inlineStr">
        <is>
          <t>Catalogo</t>
        </is>
      </c>
      <c r="K364" s="14" t="inlineStr">
        <is>
          <t>prima/seconda/terza media</t>
        </is>
      </c>
      <c r="L364" s="14" t="inlineStr">
        <is>
          <t>https://www.libri.it/lultimo-grande-viaggio-di-olivier-duveau</t>
        </is>
      </c>
      <c r="M364" s="16" t="n">
        <v>16</v>
      </c>
      <c r="N364" s="14" t="inlineStr">
        <is>
          <t>Lista titoli Logos Edizioni 2026 (PVP)</t>
        </is>
      </c>
      <c r="O364" s="16">
        <f>IF(ISNUMBER(M364),ROUND(M364*(1-Condizioni!$B$2),2),"")</f>
        <v/>
      </c>
      <c r="P364" s="17" t="inlineStr">
        <is>
          <t>No</t>
        </is>
      </c>
    </row>
    <row r="365">
      <c r="A365" s="14" t="inlineStr">
        <is>
          <t>Logos</t>
        </is>
      </c>
      <c r="B365" s="14" t="inlineStr">
        <is>
          <t>Malaria</t>
        </is>
      </c>
      <c r="C365" s="14" t="inlineStr">
        <is>
          <t>Jali</t>
        </is>
      </c>
      <c r="D365" s="14" t="inlineStr">
        <is>
          <t>Fumetto</t>
        </is>
      </c>
      <c r="E365" s="14" t="inlineStr">
        <is>
          <t>da 12 anni</t>
        </is>
      </c>
      <c r="F365" s="14" t="inlineStr">
        <is>
          <t>Scuola media (11-13)</t>
        </is>
      </c>
      <c r="G365" s="14" t="inlineStr">
        <is>
          <t>Graphic novel/Fumetto</t>
        </is>
      </c>
      <c r="H365" s="14" t="inlineStr"/>
      <c r="I365" s="14" t="inlineStr">
        <is>
          <t>No</t>
        </is>
      </c>
      <c r="J365" s="14" t="inlineStr">
        <is>
          <t>Catalogo</t>
        </is>
      </c>
      <c r="K365" s="14" t="inlineStr">
        <is>
          <t>prima/seconda/terza media</t>
        </is>
      </c>
      <c r="L365" s="14" t="inlineStr">
        <is>
          <t>https://www.libri.it/malaria</t>
        </is>
      </c>
      <c r="M365" s="16" t="n">
        <v>15</v>
      </c>
      <c r="N365" s="14" t="inlineStr">
        <is>
          <t>Lista titoli Logos Edizioni 2026 (PVP)</t>
        </is>
      </c>
      <c r="O365" s="16">
        <f>IF(ISNUMBER(M365),ROUND(M365*(1-Condizioni!$B$2),2),"")</f>
        <v/>
      </c>
      <c r="P365" s="17" t="inlineStr">
        <is>
          <t>No</t>
        </is>
      </c>
    </row>
    <row r="366">
      <c r="A366" s="14" t="inlineStr">
        <is>
          <t>Logos</t>
        </is>
      </c>
      <c r="B366" s="14" t="inlineStr">
        <is>
          <t>Mr Punch</t>
        </is>
      </c>
      <c r="C366" s="14" t="inlineStr">
        <is>
          <t>Stefano Bessoni</t>
        </is>
      </c>
      <c r="D366" s="14" t="inlineStr">
        <is>
          <t>Illustrati</t>
        </is>
      </c>
      <c r="E366" s="14" t="inlineStr">
        <is>
          <t>da 12 anni</t>
        </is>
      </c>
      <c r="F366" s="14" t="inlineStr">
        <is>
          <t>Scuola media (11-13)</t>
        </is>
      </c>
      <c r="G366" s="14" t="inlineStr">
        <is>
          <t>Albo illustrato</t>
        </is>
      </c>
      <c r="H366" s="14" t="inlineStr"/>
      <c r="I366" s="14" t="inlineStr">
        <is>
          <t>No</t>
        </is>
      </c>
      <c r="J366" s="14" t="inlineStr">
        <is>
          <t>Catalogo</t>
        </is>
      </c>
      <c r="K366" s="14" t="inlineStr">
        <is>
          <t>prima/seconda/terza media</t>
        </is>
      </c>
      <c r="L366" s="14" t="inlineStr">
        <is>
          <t>https://www.libri.it/mr-punch</t>
        </is>
      </c>
      <c r="M366" s="16" t="n">
        <v>16</v>
      </c>
      <c r="N366" s="14" t="inlineStr">
        <is>
          <t>Lista titoli Logos Edizioni 2026 (PVP)</t>
        </is>
      </c>
      <c r="O366" s="16">
        <f>IF(ISNUMBER(M366),ROUND(M366*(1-Condizioni!$B$2),2),"")</f>
        <v/>
      </c>
      <c r="P366" s="17" t="inlineStr">
        <is>
          <t>No</t>
        </is>
      </c>
    </row>
    <row r="367">
      <c r="A367" s="14" t="inlineStr">
        <is>
          <t>Logos</t>
        </is>
      </c>
      <c r="B367" s="14" t="inlineStr">
        <is>
          <t>Non Svegliate l’Essere che Dorme</t>
        </is>
      </c>
      <c r="C367" s="14" t="inlineStr">
        <is>
          <t>Jali</t>
        </is>
      </c>
      <c r="D367" s="14" t="inlineStr">
        <is>
          <t>Fumetto</t>
        </is>
      </c>
      <c r="E367" s="14" t="inlineStr">
        <is>
          <t>da 12 anni</t>
        </is>
      </c>
      <c r="F367" s="14" t="inlineStr">
        <is>
          <t>Scuola media (11-13)</t>
        </is>
      </c>
      <c r="G367" s="14" t="inlineStr">
        <is>
          <t>Graphic novel/Fumetto</t>
        </is>
      </c>
      <c r="H367" s="14" t="inlineStr"/>
      <c r="I367" s="14" t="inlineStr">
        <is>
          <t>No</t>
        </is>
      </c>
      <c r="J367" s="14" t="inlineStr">
        <is>
          <t>Catalogo</t>
        </is>
      </c>
      <c r="K367" s="14" t="inlineStr">
        <is>
          <t>prima/seconda/terza media</t>
        </is>
      </c>
      <c r="L367" s="14" t="inlineStr">
        <is>
          <t>https://www.libri.it/non-svegliate-essere</t>
        </is>
      </c>
      <c r="M367" s="16" t="n">
        <v>16</v>
      </c>
      <c r="N367" s="14" t="inlineStr">
        <is>
          <t>Lista titoli Logos Edizioni 2026 (PVP)</t>
        </is>
      </c>
      <c r="O367" s="16">
        <f>IF(ISNUMBER(M367),ROUND(M367*(1-Condizioni!$B$2),2),"")</f>
        <v/>
      </c>
      <c r="P367" s="17" t="inlineStr">
        <is>
          <t>No</t>
        </is>
      </c>
    </row>
    <row r="368">
      <c r="A368" s="14" t="inlineStr">
        <is>
          <t>Logos</t>
        </is>
      </c>
      <c r="B368" s="14" t="inlineStr">
        <is>
          <t>Novella degli Scacchi</t>
        </is>
      </c>
      <c r="C368" s="14" t="inlineStr">
        <is>
          <t>Stefan Zweig; ill. David Álvarez</t>
        </is>
      </c>
      <c r="D368" s="14" t="inlineStr">
        <is>
          <t>Capsula Del Tempo</t>
        </is>
      </c>
      <c r="E368" s="14" t="inlineStr">
        <is>
          <t>da 12 anni</t>
        </is>
      </c>
      <c r="F368" s="14" t="inlineStr">
        <is>
          <t>Scuola media (11-13)</t>
        </is>
      </c>
      <c r="G368" s="14" t="inlineStr">
        <is>
          <t>Albo illustrato</t>
        </is>
      </c>
      <c r="H368" s="14" t="inlineStr"/>
      <c r="I368" s="14" t="inlineStr">
        <is>
          <t>No</t>
        </is>
      </c>
      <c r="J368" s="14" t="inlineStr">
        <is>
          <t>Catalogo</t>
        </is>
      </c>
      <c r="K368" s="14" t="inlineStr">
        <is>
          <t>prima/seconda/terza media</t>
        </is>
      </c>
      <c r="L368" s="14" t="inlineStr">
        <is>
          <t>https://www.libri.it/3d/anteprima/novelladegliscacchi/</t>
        </is>
      </c>
      <c r="M368" s="16" t="n">
        <v>20</v>
      </c>
      <c r="N368" s="14" t="inlineStr">
        <is>
          <t>Lista titoli Logos Edizioni 2026 (PVP)</t>
        </is>
      </c>
      <c r="O368" s="16">
        <f>IF(ISNUMBER(M368),ROUND(M368*(1-Condizioni!$B$2),2),"")</f>
        <v/>
      </c>
      <c r="P368" s="17" t="inlineStr">
        <is>
          <t>No</t>
        </is>
      </c>
    </row>
    <row r="369">
      <c r="A369" s="14" t="inlineStr">
        <is>
          <t>Logos</t>
        </is>
      </c>
      <c r="B369" s="14" t="inlineStr">
        <is>
          <t>Oz</t>
        </is>
      </c>
      <c r="C369" s="14" t="inlineStr">
        <is>
          <t>Stefano Bessoni</t>
        </is>
      </c>
      <c r="D369" s="14" t="inlineStr">
        <is>
          <t>Illustrati</t>
        </is>
      </c>
      <c r="E369" s="14" t="inlineStr">
        <is>
          <t>da 12 anni</t>
        </is>
      </c>
      <c r="F369" s="14" t="inlineStr">
        <is>
          <t>Scuola media (11-13)</t>
        </is>
      </c>
      <c r="G369" s="14" t="inlineStr">
        <is>
          <t>Albo illustrato</t>
        </is>
      </c>
      <c r="H369" s="14" t="inlineStr"/>
      <c r="I369" s="14" t="inlineStr">
        <is>
          <t>No</t>
        </is>
      </c>
      <c r="J369" s="14" t="inlineStr">
        <is>
          <t>Catalogo</t>
        </is>
      </c>
      <c r="K369" s="14" t="inlineStr">
        <is>
          <t>prima/seconda/terza media</t>
        </is>
      </c>
      <c r="L369" s="14" t="inlineStr">
        <is>
          <t>https://www.libri.it/oz</t>
        </is>
      </c>
      <c r="M369" s="16" t="n">
        <v>16</v>
      </c>
      <c r="N369" s="14" t="inlineStr">
        <is>
          <t>Lista titoli Logos Edizioni 2026 (PVP)</t>
        </is>
      </c>
      <c r="O369" s="16">
        <f>IF(ISNUMBER(M369),ROUND(M369*(1-Condizioni!$B$2),2),"")</f>
        <v/>
      </c>
      <c r="P369" s="17" t="inlineStr">
        <is>
          <t>No</t>
        </is>
      </c>
    </row>
    <row r="370">
      <c r="A370" s="14" t="inlineStr">
        <is>
          <t>Logos</t>
        </is>
      </c>
      <c r="B370" s="14" t="inlineStr">
        <is>
          <t>Pinocchio</t>
        </is>
      </c>
      <c r="C370" s="14" t="inlineStr">
        <is>
          <t>Stefano Bessoni</t>
        </is>
      </c>
      <c r="D370" s="14" t="inlineStr">
        <is>
          <t>Illustrati</t>
        </is>
      </c>
      <c r="E370" s="14" t="inlineStr">
        <is>
          <t>da 12 anni</t>
        </is>
      </c>
      <c r="F370" s="14" t="inlineStr">
        <is>
          <t>Scuola media (11-13)</t>
        </is>
      </c>
      <c r="G370" s="14" t="inlineStr">
        <is>
          <t>Albo illustrato</t>
        </is>
      </c>
      <c r="H370" s="14" t="inlineStr"/>
      <c r="I370" s="14" t="inlineStr">
        <is>
          <t>No</t>
        </is>
      </c>
      <c r="J370" s="14" t="inlineStr">
        <is>
          <t>Catalogo</t>
        </is>
      </c>
      <c r="K370" s="14" t="inlineStr">
        <is>
          <t>prima/seconda/terza media</t>
        </is>
      </c>
      <c r="L370" s="14" t="inlineStr">
        <is>
          <t>https://www.libri.it/pinocchio-stefano-bessoni</t>
        </is>
      </c>
      <c r="M370" s="16" t="n">
        <v>25</v>
      </c>
      <c r="N370" s="14" t="inlineStr">
        <is>
          <t>Lista titoli Logos Edizioni 2026 (PVP)</t>
        </is>
      </c>
      <c r="O370" s="16">
        <f>IF(ISNUMBER(M370),ROUND(M370*(1-Condizioni!$B$2),2),"")</f>
        <v/>
      </c>
      <c r="P370" s="17" t="inlineStr">
        <is>
          <t>Sì</t>
        </is>
      </c>
    </row>
    <row r="371">
      <c r="A371" s="14" t="inlineStr">
        <is>
          <t>Logos</t>
        </is>
      </c>
      <c r="B371" s="14" t="inlineStr">
        <is>
          <t>Play With Me</t>
        </is>
      </c>
      <c r="C371" s="14" t="inlineStr">
        <is>
          <t>Nicoletta Ceccoli</t>
        </is>
      </c>
      <c r="D371" s="14" t="inlineStr">
        <is>
          <t>Illustrati</t>
        </is>
      </c>
      <c r="E371" s="14" t="inlineStr">
        <is>
          <t>da 12 anni</t>
        </is>
      </c>
      <c r="F371" s="14" t="inlineStr">
        <is>
          <t>Scuola media (11-13)</t>
        </is>
      </c>
      <c r="G371" s="14" t="inlineStr">
        <is>
          <t>Albo illustrato</t>
        </is>
      </c>
      <c r="H371" s="14" t="inlineStr"/>
      <c r="I371" s="14" t="inlineStr">
        <is>
          <t>No</t>
        </is>
      </c>
      <c r="J371" s="14" t="inlineStr">
        <is>
          <t>Catalogo</t>
        </is>
      </c>
      <c r="K371" s="14" t="inlineStr">
        <is>
          <t>prima/seconda/terza media</t>
        </is>
      </c>
      <c r="L371" s="14" t="inlineStr">
        <is>
          <t>https://www.libri.it/play-with-me</t>
        </is>
      </c>
      <c r="M371" s="16" t="n">
        <v>35</v>
      </c>
      <c r="N371" s="14" t="inlineStr">
        <is>
          <t>Lista titoli Logos Edizioni 2026 (PVP)</t>
        </is>
      </c>
      <c r="O371" s="16">
        <f>IF(ISNUMBER(M371),ROUND(M371*(1-Condizioni!$B$2),2),"")</f>
        <v/>
      </c>
      <c r="P371" s="17" t="inlineStr">
        <is>
          <t>No</t>
        </is>
      </c>
    </row>
    <row r="372">
      <c r="A372" s="14" t="inlineStr">
        <is>
          <t>Logos</t>
        </is>
      </c>
      <c r="B372" s="14" t="inlineStr">
        <is>
          <t>Plexiglass</t>
        </is>
      </c>
      <c r="C372" s="14" t="inlineStr">
        <is>
          <t>Jali</t>
        </is>
      </c>
      <c r="D372" s="14" t="inlineStr">
        <is>
          <t>Fumetto</t>
        </is>
      </c>
      <c r="E372" s="14" t="inlineStr">
        <is>
          <t>da 12 anni</t>
        </is>
      </c>
      <c r="F372" s="14" t="inlineStr">
        <is>
          <t>Scuola media (11-13)</t>
        </is>
      </c>
      <c r="G372" s="14" t="inlineStr">
        <is>
          <t>Graphic novel/Fumetto</t>
        </is>
      </c>
      <c r="H372" s="14" t="inlineStr"/>
      <c r="I372" s="14" t="inlineStr">
        <is>
          <t>No</t>
        </is>
      </c>
      <c r="J372" s="14" t="inlineStr">
        <is>
          <t>Catalogo</t>
        </is>
      </c>
      <c r="K372" s="14" t="inlineStr">
        <is>
          <t>prima/seconda/terza media</t>
        </is>
      </c>
      <c r="L372" s="14" t="inlineStr">
        <is>
          <t>https://www.libri.it/plexiglass</t>
        </is>
      </c>
      <c r="M372" s="16" t="n">
        <v>16</v>
      </c>
      <c r="N372" s="14" t="inlineStr">
        <is>
          <t>Lista titoli Logos Edizioni 2026 (PVP)</t>
        </is>
      </c>
      <c r="O372" s="16">
        <f>IF(ISNUMBER(M372),ROUND(M372*(1-Condizioni!$B$2),2),"")</f>
        <v/>
      </c>
      <c r="P372" s="17" t="inlineStr">
        <is>
          <t>No</t>
        </is>
      </c>
    </row>
    <row r="373">
      <c r="A373" s="14" t="inlineStr">
        <is>
          <t>Logos</t>
        </is>
      </c>
      <c r="B373" s="14" t="inlineStr">
        <is>
          <t>Primo Giorno di Scuola</t>
        </is>
      </c>
      <c r="C373" s="14" t="inlineStr">
        <is>
          <t>Oscar Sabini</t>
        </is>
      </c>
      <c r="D373" s="14" t="inlineStr">
        <is>
          <t>Illustrati</t>
        </is>
      </c>
      <c r="E373" s="14" t="inlineStr">
        <is>
          <t>da 12 anni</t>
        </is>
      </c>
      <c r="F373" s="14" t="inlineStr">
        <is>
          <t>Scuola media (11-13)</t>
        </is>
      </c>
      <c r="G373" s="14" t="inlineStr">
        <is>
          <t>Albo illustrato</t>
        </is>
      </c>
      <c r="H373" s="14" t="inlineStr"/>
      <c r="I373" s="14" t="inlineStr">
        <is>
          <t>No</t>
        </is>
      </c>
      <c r="J373" s="14" t="inlineStr">
        <is>
          <t>Catalogo</t>
        </is>
      </c>
      <c r="K373" s="14" t="inlineStr">
        <is>
          <t>prima/seconda/terza media</t>
        </is>
      </c>
      <c r="L373" s="14" t="inlineStr">
        <is>
          <t>https://www.libri.it/primo-giorno-di-scuola</t>
        </is>
      </c>
      <c r="M373" s="16" t="n">
        <v>14</v>
      </c>
      <c r="N373" s="14" t="inlineStr">
        <is>
          <t>Lista titoli Logos Edizioni 2026 (PVP)</t>
        </is>
      </c>
      <c r="O373" s="16">
        <f>IF(ISNUMBER(M373),ROUND(M373*(1-Condizioni!$B$2),2),"")</f>
        <v/>
      </c>
      <c r="P373" s="17" t="inlineStr">
        <is>
          <t>No</t>
        </is>
      </c>
    </row>
    <row r="374">
      <c r="A374" s="14" t="inlineStr">
        <is>
          <t>Logos</t>
        </is>
      </c>
      <c r="B374" s="14" t="inlineStr">
        <is>
          <t>Promesse</t>
        </is>
      </c>
      <c r="C374" s="14" t="inlineStr">
        <is>
          <t>Matz Mainka; ill. Ana Juan</t>
        </is>
      </c>
      <c r="D374" s="14" t="inlineStr">
        <is>
          <t>Illustrati</t>
        </is>
      </c>
      <c r="E374" s="14" t="inlineStr">
        <is>
          <t>da 12 anni</t>
        </is>
      </c>
      <c r="F374" s="14" t="inlineStr">
        <is>
          <t>Scuola media (11-13)</t>
        </is>
      </c>
      <c r="G374" s="14" t="inlineStr">
        <is>
          <t>Albo illustrato</t>
        </is>
      </c>
      <c r="H374" s="14" t="inlineStr"/>
      <c r="I374" s="14" t="inlineStr">
        <is>
          <t>No</t>
        </is>
      </c>
      <c r="J374" s="14" t="inlineStr">
        <is>
          <t>Catalogo</t>
        </is>
      </c>
      <c r="K374" s="14" t="inlineStr">
        <is>
          <t>prima/seconda/terza media</t>
        </is>
      </c>
      <c r="L374" s="14" t="inlineStr">
        <is>
          <t>https://www.libri.it/promesse</t>
        </is>
      </c>
      <c r="M374" s="16" t="n">
        <v>18</v>
      </c>
      <c r="N374" s="14" t="inlineStr">
        <is>
          <t>Lista titoli Logos Edizioni 2026 (PVP)</t>
        </is>
      </c>
      <c r="O374" s="16">
        <f>IF(ISNUMBER(M374),ROUND(M374*(1-Condizioni!$B$2),2),"")</f>
        <v/>
      </c>
      <c r="P374" s="17" t="inlineStr">
        <is>
          <t>No</t>
        </is>
      </c>
    </row>
    <row r="375">
      <c r="A375" s="14" t="inlineStr">
        <is>
          <t>Logos</t>
        </is>
      </c>
      <c r="B375" s="14" t="inlineStr">
        <is>
          <t>Psiconauti</t>
        </is>
      </c>
      <c r="C375" s="14" t="inlineStr">
        <is>
          <t>Alberto Vázquez</t>
        </is>
      </c>
      <c r="D375" s="14" t="inlineStr">
        <is>
          <t>Fumetto</t>
        </is>
      </c>
      <c r="E375" s="14" t="inlineStr">
        <is>
          <t>da 12 anni</t>
        </is>
      </c>
      <c r="F375" s="14" t="inlineStr">
        <is>
          <t>Scuola media (11-13)</t>
        </is>
      </c>
      <c r="G375" s="14" t="inlineStr">
        <is>
          <t>Graphic novel/Fumetto</t>
        </is>
      </c>
      <c r="H375" s="14" t="inlineStr"/>
      <c r="I375" s="14" t="inlineStr">
        <is>
          <t>No</t>
        </is>
      </c>
      <c r="J375" s="14" t="inlineStr">
        <is>
          <t>Catalogo</t>
        </is>
      </c>
      <c r="K375" s="14" t="inlineStr">
        <is>
          <t>prima/seconda/terza media</t>
        </is>
      </c>
      <c r="L375" s="14" t="inlineStr">
        <is>
          <t>https://www.libri.it/psiconauti</t>
        </is>
      </c>
      <c r="M375" s="16" t="n">
        <v>12</v>
      </c>
      <c r="N375" s="14" t="inlineStr">
        <is>
          <t>Lista titoli Logos Edizioni 2026 (PVP)</t>
        </is>
      </c>
      <c r="O375" s="16">
        <f>IF(ISNUMBER(M375),ROUND(M375*(1-Condizioni!$B$2),2),"")</f>
        <v/>
      </c>
      <c r="P375" s="17" t="inlineStr">
        <is>
          <t>No</t>
        </is>
      </c>
    </row>
    <row r="376">
      <c r="A376" s="14" t="inlineStr">
        <is>
          <t>Logos</t>
        </is>
      </c>
      <c r="B376" s="14" t="inlineStr">
        <is>
          <t>R.i.p. Best Of 1985-2004</t>
        </is>
      </c>
      <c r="C376" s="14" t="inlineStr">
        <is>
          <t>Thomas Ott</t>
        </is>
      </c>
      <c r="D376" s="14" t="inlineStr">
        <is>
          <t>Illustrati</t>
        </is>
      </c>
      <c r="E376" s="14" t="inlineStr">
        <is>
          <t>da 12 anni</t>
        </is>
      </c>
      <c r="F376" s="14" t="inlineStr">
        <is>
          <t>Scuola media (11-13)</t>
        </is>
      </c>
      <c r="G376" s="14" t="inlineStr">
        <is>
          <t>Albo illustrato</t>
        </is>
      </c>
      <c r="H376" s="14" t="inlineStr"/>
      <c r="I376" s="14" t="inlineStr">
        <is>
          <t>No</t>
        </is>
      </c>
      <c r="J376" s="14" t="inlineStr">
        <is>
          <t>Catalogo</t>
        </is>
      </c>
      <c r="K376" s="14" t="inlineStr">
        <is>
          <t>prima/seconda/terza media</t>
        </is>
      </c>
      <c r="L376" s="14" t="inlineStr">
        <is>
          <t>https://www.libri.it/rip</t>
        </is>
      </c>
      <c r="M376" s="16" t="n">
        <v>22</v>
      </c>
      <c r="N376" s="14" t="inlineStr">
        <is>
          <t>Lista titoli Logos Edizioni 2026 (PVP)</t>
        </is>
      </c>
      <c r="O376" s="16">
        <f>IF(ISNUMBER(M376),ROUND(M376*(1-Condizioni!$B$2),2),"")</f>
        <v/>
      </c>
      <c r="P376" s="17" t="inlineStr">
        <is>
          <t>No</t>
        </is>
      </c>
    </row>
    <row r="377">
      <c r="A377" s="14" t="inlineStr">
        <is>
          <t>Logos</t>
        </is>
      </c>
      <c r="B377" s="14" t="inlineStr">
        <is>
          <t>Rachel</t>
        </is>
      </c>
      <c r="C377" s="14" t="inlineStr">
        <is>
          <t>Stefano Bessoni</t>
        </is>
      </c>
      <c r="D377" s="14" t="inlineStr">
        <is>
          <t>Illustrati</t>
        </is>
      </c>
      <c r="E377" s="14" t="inlineStr">
        <is>
          <t>da 12 anni</t>
        </is>
      </c>
      <c r="F377" s="14" t="inlineStr">
        <is>
          <t>Scuola media (11-13)</t>
        </is>
      </c>
      <c r="G377" s="14" t="inlineStr">
        <is>
          <t>Albo illustrato</t>
        </is>
      </c>
      <c r="H377" s="14" t="inlineStr"/>
      <c r="I377" s="14" t="inlineStr">
        <is>
          <t>No</t>
        </is>
      </c>
      <c r="J377" s="14" t="inlineStr">
        <is>
          <t>Catalogo</t>
        </is>
      </c>
      <c r="K377" s="14" t="inlineStr">
        <is>
          <t>prima/seconda/terza media</t>
        </is>
      </c>
      <c r="L377" s="14" t="inlineStr">
        <is>
          <t>https://www.libri.it/rachel</t>
        </is>
      </c>
      <c r="M377" s="16" t="n">
        <v>17</v>
      </c>
      <c r="N377" s="14" t="inlineStr">
        <is>
          <t>Lista titoli Logos Edizioni 2026 (PVP)</t>
        </is>
      </c>
      <c r="O377" s="16">
        <f>IF(ISNUMBER(M377),ROUND(M377*(1-Condizioni!$B$2),2),"")</f>
        <v/>
      </c>
      <c r="P377" s="17" t="inlineStr">
        <is>
          <t>No</t>
        </is>
      </c>
    </row>
    <row r="378">
      <c r="A378" s="14" t="inlineStr">
        <is>
          <t>Logos</t>
        </is>
      </c>
      <c r="B378" s="14" t="inlineStr">
        <is>
          <t>Rebecca</t>
        </is>
      </c>
      <c r="C378" s="14" t="inlineStr">
        <is>
          <t>Stefano Bessoni</t>
        </is>
      </c>
      <c r="D378" s="14" t="inlineStr">
        <is>
          <t>Illustrati</t>
        </is>
      </c>
      <c r="E378" s="14" t="inlineStr">
        <is>
          <t>da 12 anni</t>
        </is>
      </c>
      <c r="F378" s="14" t="inlineStr">
        <is>
          <t>Scuola media (11-13)</t>
        </is>
      </c>
      <c r="G378" s="14" t="inlineStr">
        <is>
          <t>Albo illustrato</t>
        </is>
      </c>
      <c r="H378" s="14" t="inlineStr"/>
      <c r="I378" s="14" t="inlineStr">
        <is>
          <t>No</t>
        </is>
      </c>
      <c r="J378" s="14" t="inlineStr">
        <is>
          <t>Catalogo</t>
        </is>
      </c>
      <c r="K378" s="14" t="inlineStr">
        <is>
          <t>prima/seconda/terza media</t>
        </is>
      </c>
      <c r="L378" s="14" t="inlineStr">
        <is>
          <t>https://www.libri.it/rebecca</t>
        </is>
      </c>
      <c r="M378" s="16" t="n">
        <v>18</v>
      </c>
      <c r="N378" s="14" t="inlineStr">
        <is>
          <t>Lista titoli Logos Edizioni 2026 (PVP)</t>
        </is>
      </c>
      <c r="O378" s="16">
        <f>IF(ISNUMBER(M378),ROUND(M378*(1-Condizioni!$B$2),2),"")</f>
        <v/>
      </c>
      <c r="P378" s="17" t="inlineStr">
        <is>
          <t>No</t>
        </is>
      </c>
    </row>
    <row r="379">
      <c r="A379" s="14" t="inlineStr">
        <is>
          <t>Logos</t>
        </is>
      </c>
      <c r="B379" s="14" t="inlineStr">
        <is>
          <t>Resta con Me</t>
        </is>
      </c>
      <c r="C379" s="14" t="inlineStr">
        <is>
          <t>Francesco Ceccoli; ill. Nicoletta Ceccoli</t>
        </is>
      </c>
      <c r="D379" s="14" t="inlineStr">
        <is>
          <t>Illustrati</t>
        </is>
      </c>
      <c r="E379" s="14" t="inlineStr">
        <is>
          <t>da 12 anni</t>
        </is>
      </c>
      <c r="F379" s="14" t="inlineStr">
        <is>
          <t>Scuola media (11-13)</t>
        </is>
      </c>
      <c r="G379" s="14" t="inlineStr">
        <is>
          <t>Albo illustrato</t>
        </is>
      </c>
      <c r="H379" s="14" t="inlineStr"/>
      <c r="I379" s="14" t="inlineStr">
        <is>
          <t>No</t>
        </is>
      </c>
      <c r="J379" s="14" t="inlineStr">
        <is>
          <t>Catalogo</t>
        </is>
      </c>
      <c r="K379" s="14" t="inlineStr">
        <is>
          <t>prima/seconda/terza media</t>
        </is>
      </c>
      <c r="L379" s="14" t="inlineStr">
        <is>
          <t>https://www.libri.it/resta-con-me</t>
        </is>
      </c>
      <c r="M379" s="16" t="n">
        <v>20</v>
      </c>
      <c r="N379" s="14" t="inlineStr">
        <is>
          <t>Lista titoli Logos Edizioni 2026 (PVP)</t>
        </is>
      </c>
      <c r="O379" s="16">
        <f>IF(ISNUMBER(M379),ROUND(M379*(1-Condizioni!$B$2),2),"")</f>
        <v/>
      </c>
      <c r="P379" s="17" t="inlineStr">
        <is>
          <t>No</t>
        </is>
      </c>
    </row>
    <row r="380">
      <c r="A380" s="14" t="inlineStr">
        <is>
          <t>Logos</t>
        </is>
      </c>
      <c r="B380" s="14" t="inlineStr">
        <is>
          <t>Sangue del Mio Sangue</t>
        </is>
      </c>
      <c r="C380" s="14" t="inlineStr">
        <is>
          <t>Lola Lorente</t>
        </is>
      </c>
      <c r="D380" s="14" t="inlineStr">
        <is>
          <t>Fumetto</t>
        </is>
      </c>
      <c r="E380" s="14" t="inlineStr">
        <is>
          <t>da 12 anni</t>
        </is>
      </c>
      <c r="F380" s="14" t="inlineStr">
        <is>
          <t>Scuola media (11-13)</t>
        </is>
      </c>
      <c r="G380" s="14" t="inlineStr">
        <is>
          <t>Graphic novel/Fumetto</t>
        </is>
      </c>
      <c r="H380" s="14" t="inlineStr"/>
      <c r="I380" s="14" t="inlineStr">
        <is>
          <t>No</t>
        </is>
      </c>
      <c r="J380" s="14" t="inlineStr">
        <is>
          <t>Catalogo</t>
        </is>
      </c>
      <c r="K380" s="14" t="inlineStr">
        <is>
          <t>prima/seconda/terza media</t>
        </is>
      </c>
      <c r="L380" s="14" t="inlineStr">
        <is>
          <t>https://www.libri.it/sangue-del-mio-sangue</t>
        </is>
      </c>
      <c r="M380" s="16" t="n">
        <v>20</v>
      </c>
      <c r="N380" s="14" t="inlineStr">
        <is>
          <t>Lista titoli Logos Edizioni 2026 (PVP)</t>
        </is>
      </c>
      <c r="O380" s="16">
        <f>IF(ISNUMBER(M380),ROUND(M380*(1-Condizioni!$B$2),2),"")</f>
        <v/>
      </c>
      <c r="P380" s="17" t="inlineStr">
        <is>
          <t>No</t>
        </is>
      </c>
    </row>
    <row r="381">
      <c r="A381" s="14" t="inlineStr">
        <is>
          <t>Logos</t>
        </is>
      </c>
      <c r="B381" s="14" t="inlineStr">
        <is>
          <t>Santa Caterina de’ Vigri</t>
        </is>
      </c>
      <c r="C381" s="14" t="inlineStr">
        <is>
          <t>Anna Paolini</t>
        </is>
      </c>
      <c r="D381" s="14" t="inlineStr">
        <is>
          <t>Illustrati</t>
        </is>
      </c>
      <c r="E381" s="14" t="inlineStr">
        <is>
          <t>da 12 anni</t>
        </is>
      </c>
      <c r="F381" s="14" t="inlineStr">
        <is>
          <t>Scuola media (11-13)</t>
        </is>
      </c>
      <c r="G381" s="14" t="inlineStr">
        <is>
          <t>Albo illustrato</t>
        </is>
      </c>
      <c r="H381" s="14" t="inlineStr"/>
      <c r="I381" s="14" t="inlineStr">
        <is>
          <t>No</t>
        </is>
      </c>
      <c r="J381" s="14" t="inlineStr">
        <is>
          <t>Catalogo</t>
        </is>
      </c>
      <c r="K381" s="14" t="inlineStr">
        <is>
          <t>prima/seconda/terza media</t>
        </is>
      </c>
      <c r="L381" s="14" t="inlineStr">
        <is>
          <t>https://www.libri.it/santa-caterina-de-vigri</t>
        </is>
      </c>
      <c r="M381" s="16" t="n">
        <v>17</v>
      </c>
      <c r="N381" s="14" t="inlineStr">
        <is>
          <t>Lista titoli Logos Edizioni 2026 (PVP)</t>
        </is>
      </c>
      <c r="O381" s="16">
        <f>IF(ISNUMBER(M381),ROUND(M381*(1-Condizioni!$B$2),2),"")</f>
        <v/>
      </c>
      <c r="P381" s="17" t="inlineStr">
        <is>
          <t>No</t>
        </is>
      </c>
    </row>
    <row r="382">
      <c r="A382" s="14" t="inlineStr">
        <is>
          <t>Logos</t>
        </is>
      </c>
      <c r="B382" s="14" t="inlineStr">
        <is>
          <t>Senzaparole (nuova Edizione)</t>
        </is>
      </c>
      <c r="C382" s="14" t="inlineStr">
        <is>
          <t>Roger Olmos</t>
        </is>
      </c>
      <c r="D382" s="14" t="inlineStr">
        <is>
          <t>Illustrati</t>
        </is>
      </c>
      <c r="E382" s="14" t="inlineStr">
        <is>
          <t>da 12 anni</t>
        </is>
      </c>
      <c r="F382" s="14" t="inlineStr">
        <is>
          <t>Scuola media (11-13)</t>
        </is>
      </c>
      <c r="G382" s="14" t="inlineStr">
        <is>
          <t>Albo illustrato</t>
        </is>
      </c>
      <c r="H382" s="14" t="inlineStr"/>
      <c r="I382" s="14" t="inlineStr">
        <is>
          <t>No</t>
        </is>
      </c>
      <c r="J382" s="14" t="inlineStr">
        <is>
          <t>Catalogo</t>
        </is>
      </c>
      <c r="K382" s="14" t="inlineStr">
        <is>
          <t>prima/seconda/terza media</t>
        </is>
      </c>
      <c r="L382" s="14" t="inlineStr">
        <is>
          <t>https://www.libri.it/senzaparole-nuova-edizione</t>
        </is>
      </c>
      <c r="M382" s="16" t="n">
        <v>25</v>
      </c>
      <c r="N382" s="14" t="inlineStr">
        <is>
          <t>Lista titoli Logos Edizioni 2026 (PVP)</t>
        </is>
      </c>
      <c r="O382" s="16">
        <f>IF(ISNUMBER(M382),ROUND(M382*(1-Condizioni!$B$2),2),"")</f>
        <v/>
      </c>
      <c r="P382" s="17" t="inlineStr">
        <is>
          <t>No</t>
        </is>
      </c>
    </row>
    <row r="383">
      <c r="A383" s="14" t="inlineStr">
        <is>
          <t>Logos</t>
        </is>
      </c>
      <c r="B383" s="14" t="inlineStr">
        <is>
          <t>Senzaparole Portfolio</t>
        </is>
      </c>
      <c r="C383" s="14" t="inlineStr">
        <is>
          <t>Roger Olmos</t>
        </is>
      </c>
      <c r="D383" s="14" t="inlineStr">
        <is>
          <t>Illustrati</t>
        </is>
      </c>
      <c r="E383" s="14" t="inlineStr">
        <is>
          <t>da 12 anni</t>
        </is>
      </c>
      <c r="F383" s="14" t="inlineStr">
        <is>
          <t>Scuola media (11-13)</t>
        </is>
      </c>
      <c r="G383" s="14" t="inlineStr">
        <is>
          <t>Albo illustrato</t>
        </is>
      </c>
      <c r="H383" s="14" t="inlineStr"/>
      <c r="I383" s="14" t="inlineStr">
        <is>
          <t>No</t>
        </is>
      </c>
      <c r="J383" s="14" t="inlineStr">
        <is>
          <t>Catalogo</t>
        </is>
      </c>
      <c r="K383" s="14" t="inlineStr">
        <is>
          <t>prima/seconda/terza media</t>
        </is>
      </c>
      <c r="L383" s="14" t="inlineStr">
        <is>
          <t>https://www.libri.it/senzaparole-portfolio</t>
        </is>
      </c>
      <c r="M383" s="16" t="n">
        <v>20</v>
      </c>
      <c r="N383" s="14" t="inlineStr">
        <is>
          <t>Lista titoli Logos Edizioni 2026 (PVP)</t>
        </is>
      </c>
      <c r="O383" s="16">
        <f>IF(ISNUMBER(M383),ROUND(M383*(1-Condizioni!$B$2),2),"")</f>
        <v/>
      </c>
      <c r="P383" s="17" t="inlineStr">
        <is>
          <t>No</t>
        </is>
      </c>
    </row>
    <row r="384">
      <c r="A384" s="14" t="inlineStr">
        <is>
          <t>Logos</t>
        </is>
      </c>
      <c r="B384" s="14" t="inlineStr">
        <is>
          <t>Simon &amp; Louise</t>
        </is>
      </c>
      <c r="C384" s="14" t="inlineStr">
        <is>
          <t>Max de Radiguès</t>
        </is>
      </c>
      <c r="D384" s="14" t="inlineStr">
        <is>
          <t>Fumetto Ciopi</t>
        </is>
      </c>
      <c r="E384" s="14" t="inlineStr">
        <is>
          <t>da 12 anni</t>
        </is>
      </c>
      <c r="F384" s="14" t="inlineStr">
        <is>
          <t>Scuola media (11-13)</t>
        </is>
      </c>
      <c r="G384" s="14" t="inlineStr">
        <is>
          <t>Graphic novel/Fumetto</t>
        </is>
      </c>
      <c r="H384" s="14" t="inlineStr"/>
      <c r="I384" s="14" t="inlineStr">
        <is>
          <t>No</t>
        </is>
      </c>
      <c r="J384" s="14" t="inlineStr">
        <is>
          <t>Catalogo</t>
        </is>
      </c>
      <c r="K384" s="14" t="inlineStr">
        <is>
          <t>prima/seconda/terza media</t>
        </is>
      </c>
      <c r="L384" s="14" t="inlineStr">
        <is>
          <t>https://www.libri.it/simon-e-louise</t>
        </is>
      </c>
      <c r="M384" s="16" t="n">
        <v>20</v>
      </c>
      <c r="N384" s="14" t="inlineStr">
        <is>
          <t>Lista titoli Logos Edizioni 2026 (PVP)</t>
        </is>
      </c>
      <c r="O384" s="16">
        <f>IF(ISNUMBER(M384),ROUND(M384*(1-Condizioni!$B$2),2),"")</f>
        <v/>
      </c>
      <c r="P384" s="17" t="inlineStr">
        <is>
          <t>No</t>
        </is>
      </c>
    </row>
    <row r="385">
      <c r="A385" s="14" t="inlineStr">
        <is>
          <t>Logos</t>
        </is>
      </c>
      <c r="B385" s="14" t="inlineStr">
        <is>
          <t>Sorelle</t>
        </is>
      </c>
      <c r="C385" s="14" t="inlineStr">
        <is>
          <t>Matz Mainka; ill. Ana Juan</t>
        </is>
      </c>
      <c r="D385" s="14" t="inlineStr">
        <is>
          <t>Illustrati</t>
        </is>
      </c>
      <c r="E385" s="14" t="inlineStr">
        <is>
          <t>da 12 anni</t>
        </is>
      </c>
      <c r="F385" s="14" t="inlineStr">
        <is>
          <t>Scuola media (11-13)</t>
        </is>
      </c>
      <c r="G385" s="14" t="inlineStr">
        <is>
          <t>Albo illustrato</t>
        </is>
      </c>
      <c r="H385" s="14" t="inlineStr"/>
      <c r="I385" s="14" t="inlineStr">
        <is>
          <t>No</t>
        </is>
      </c>
      <c r="J385" s="14" t="inlineStr">
        <is>
          <t>Catalogo</t>
        </is>
      </c>
      <c r="K385" s="14" t="inlineStr">
        <is>
          <t>prima/seconda/terza media</t>
        </is>
      </c>
      <c r="L385" s="14" t="inlineStr">
        <is>
          <t>https://www.libri.it/sorelle</t>
        </is>
      </c>
      <c r="M385" s="16" t="n">
        <v>18</v>
      </c>
      <c r="N385" s="14" t="inlineStr">
        <is>
          <t>Lista titoli Logos Edizioni 2026 (PVP)</t>
        </is>
      </c>
      <c r="O385" s="16">
        <f>IF(ISNUMBER(M385),ROUND(M385*(1-Condizioni!$B$2),2),"")</f>
        <v/>
      </c>
      <c r="P385" s="17" t="inlineStr">
        <is>
          <t>No</t>
        </is>
      </c>
    </row>
    <row r="386">
      <c r="A386" s="14" t="inlineStr">
        <is>
          <t>Logos</t>
        </is>
      </c>
      <c r="B386" s="14" t="inlineStr">
        <is>
          <t>The Number</t>
        </is>
      </c>
      <c r="C386" s="14" t="inlineStr">
        <is>
          <t>Thomas Ott</t>
        </is>
      </c>
      <c r="D386" s="14" t="inlineStr">
        <is>
          <t>Illustrati</t>
        </is>
      </c>
      <c r="E386" s="14" t="inlineStr">
        <is>
          <t>da 12 anni</t>
        </is>
      </c>
      <c r="F386" s="14" t="inlineStr">
        <is>
          <t>Scuola media (11-13)</t>
        </is>
      </c>
      <c r="G386" s="14" t="inlineStr">
        <is>
          <t>Albo illustrato</t>
        </is>
      </c>
      <c r="H386" s="14" t="inlineStr"/>
      <c r="I386" s="14" t="inlineStr">
        <is>
          <t>No</t>
        </is>
      </c>
      <c r="J386" s="14" t="inlineStr">
        <is>
          <t>Catalogo</t>
        </is>
      </c>
      <c r="K386" s="14" t="inlineStr">
        <is>
          <t>prima/seconda/terza media</t>
        </is>
      </c>
      <c r="L386" s="14" t="inlineStr">
        <is>
          <t>https://www.libri.it/the-number</t>
        </is>
      </c>
      <c r="M386" s="16" t="n">
        <v>20</v>
      </c>
      <c r="N386" s="14" t="inlineStr">
        <is>
          <t>Lista titoli Logos Edizioni 2026 (PVP)</t>
        </is>
      </c>
      <c r="O386" s="16">
        <f>IF(ISNUMBER(M386),ROUND(M386*(1-Condizioni!$B$2),2),"")</f>
        <v/>
      </c>
      <c r="P386" s="17" t="inlineStr">
        <is>
          <t>No</t>
        </is>
      </c>
    </row>
    <row r="387">
      <c r="A387" s="14" t="inlineStr">
        <is>
          <t>Logos</t>
        </is>
      </c>
      <c r="B387" s="14" t="inlineStr">
        <is>
          <t>Theo</t>
        </is>
      </c>
      <c r="C387" s="14" t="inlineStr">
        <is>
          <t>Stefano Bessoni</t>
        </is>
      </c>
      <c r="D387" s="14" t="inlineStr">
        <is>
          <t>Illustrati</t>
        </is>
      </c>
      <c r="E387" s="14" t="inlineStr">
        <is>
          <t>da 12 anni</t>
        </is>
      </c>
      <c r="F387" s="14" t="inlineStr">
        <is>
          <t>Scuola media (11-13)</t>
        </is>
      </c>
      <c r="G387" s="14" t="inlineStr">
        <is>
          <t>Albo illustrato</t>
        </is>
      </c>
      <c r="H387" s="14" t="inlineStr"/>
      <c r="I387" s="14" t="inlineStr">
        <is>
          <t>No</t>
        </is>
      </c>
      <c r="J387" s="14" t="inlineStr">
        <is>
          <t>Catalogo</t>
        </is>
      </c>
      <c r="K387" s="14" t="inlineStr">
        <is>
          <t>prima/seconda/terza media</t>
        </is>
      </c>
      <c r="L387" s="14" t="inlineStr">
        <is>
          <t>https://www.libri.it/theo</t>
        </is>
      </c>
      <c r="M387" s="16" t="n">
        <v>17</v>
      </c>
      <c r="N387" s="14" t="inlineStr">
        <is>
          <t>Lista titoli Logos Edizioni 2026 (PVP)</t>
        </is>
      </c>
      <c r="O387" s="16">
        <f>IF(ISNUMBER(M387),ROUND(M387*(1-Condizioni!$B$2),2),"")</f>
        <v/>
      </c>
      <c r="P387" s="17" t="inlineStr">
        <is>
          <t>No</t>
        </is>
      </c>
    </row>
    <row r="388">
      <c r="A388" s="14" t="inlineStr">
        <is>
          <t>Logos</t>
        </is>
      </c>
      <c r="B388" s="14" t="inlineStr">
        <is>
          <t>Un Uomo Mascherato</t>
        </is>
      </c>
      <c r="C388" s="14" t="inlineStr">
        <is>
          <t>AkaB</t>
        </is>
      </c>
      <c r="D388" s="14" t="inlineStr">
        <is>
          <t>Illustrati</t>
        </is>
      </c>
      <c r="E388" s="14" t="inlineStr">
        <is>
          <t>da 12 anni</t>
        </is>
      </c>
      <c r="F388" s="14" t="inlineStr">
        <is>
          <t>Scuola media (11-13)</t>
        </is>
      </c>
      <c r="G388" s="14" t="inlineStr">
        <is>
          <t>Albo illustrato</t>
        </is>
      </c>
      <c r="H388" s="14" t="inlineStr"/>
      <c r="I388" s="14" t="inlineStr">
        <is>
          <t>No</t>
        </is>
      </c>
      <c r="J388" s="14" t="inlineStr">
        <is>
          <t>Catalogo</t>
        </is>
      </c>
      <c r="K388" s="14" t="inlineStr">
        <is>
          <t>prima/seconda/terza media</t>
        </is>
      </c>
      <c r="L388" s="14" t="inlineStr">
        <is>
          <t>https://www.libri.it/un-uomo-mascherato</t>
        </is>
      </c>
      <c r="M388" s="16" t="n">
        <v>16</v>
      </c>
      <c r="N388" s="14" t="inlineStr">
        <is>
          <t>Lista titoli Logos Edizioni 2026 (PVP)</t>
        </is>
      </c>
      <c r="O388" s="16">
        <f>IF(ISNUMBER(M388),ROUND(M388*(1-Condizioni!$B$2),2),"")</f>
        <v/>
      </c>
      <c r="P388" s="17" t="inlineStr">
        <is>
          <t>No</t>
        </is>
      </c>
    </row>
    <row r="389">
      <c r="A389" s="14" t="inlineStr">
        <is>
          <t>Logos</t>
        </is>
      </c>
      <c r="B389" s="14" t="inlineStr">
        <is>
          <t>Viaggio nel Fantasmagorico Giardino di Apparitio Albino</t>
        </is>
      </c>
      <c r="C389" s="14" t="inlineStr">
        <is>
          <t>Claudio Romo</t>
        </is>
      </c>
      <c r="D389" s="14" t="inlineStr">
        <is>
          <t>Illustrati</t>
        </is>
      </c>
      <c r="E389" s="14" t="inlineStr">
        <is>
          <t>da 12 anni</t>
        </is>
      </c>
      <c r="F389" s="14" t="inlineStr">
        <is>
          <t>Scuola media (11-13)</t>
        </is>
      </c>
      <c r="G389" s="14" t="inlineStr">
        <is>
          <t>Albo illustrato</t>
        </is>
      </c>
      <c r="H389" s="14" t="inlineStr"/>
      <c r="I389" s="14" t="inlineStr">
        <is>
          <t>No</t>
        </is>
      </c>
      <c r="J389" s="14" t="inlineStr">
        <is>
          <t>Catalogo</t>
        </is>
      </c>
      <c r="K389" s="14" t="inlineStr">
        <is>
          <t>prima/seconda/terza media</t>
        </is>
      </c>
      <c r="L389" s="14" t="inlineStr">
        <is>
          <t>https://www.libri.it/Apparitio-Albinus</t>
        </is>
      </c>
      <c r="M389" s="16" t="n">
        <v>18</v>
      </c>
      <c r="N389" s="14" t="inlineStr">
        <is>
          <t>Lista titoli Logos Edizioni 2026 (PVP)</t>
        </is>
      </c>
      <c r="O389" s="16">
        <f>IF(ISNUMBER(M389),ROUND(M389*(1-Condizioni!$B$2),2),"")</f>
        <v/>
      </c>
      <c r="P389" s="17" t="inlineStr">
        <is>
          <t>No</t>
        </is>
      </c>
    </row>
    <row r="390">
      <c r="A390" s="14" t="inlineStr">
        <is>
          <t>Logos</t>
        </is>
      </c>
      <c r="B390" s="14" t="inlineStr">
        <is>
          <t>Ville Vermine 2/2 il Ragazzo che Amava gli Insetti</t>
        </is>
      </c>
      <c r="C390" s="14" t="inlineStr">
        <is>
          <t>Julien Lambert</t>
        </is>
      </c>
      <c r="D390" s="14" t="inlineStr">
        <is>
          <t>Fumetto</t>
        </is>
      </c>
      <c r="E390" s="14" t="inlineStr">
        <is>
          <t>da 12 anni</t>
        </is>
      </c>
      <c r="F390" s="14" t="inlineStr">
        <is>
          <t>Scuola media (11-13)</t>
        </is>
      </c>
      <c r="G390" s="14" t="inlineStr">
        <is>
          <t>Graphic novel/Fumetto</t>
        </is>
      </c>
      <c r="H390" s="14" t="inlineStr"/>
      <c r="I390" s="14" t="inlineStr">
        <is>
          <t>No</t>
        </is>
      </c>
      <c r="J390" s="14" t="inlineStr">
        <is>
          <t>Catalogo</t>
        </is>
      </c>
      <c r="K390" s="14" t="inlineStr">
        <is>
          <t>prima/seconda/terza media</t>
        </is>
      </c>
      <c r="L390" s="14" t="inlineStr">
        <is>
          <t>https://www.libri.it/villevermine-2</t>
        </is>
      </c>
      <c r="M390" s="16" t="n">
        <v>18</v>
      </c>
      <c r="N390" s="14" t="inlineStr">
        <is>
          <t>Lista titoli Logos Edizioni 2026 (PVP)</t>
        </is>
      </c>
      <c r="O390" s="16">
        <f>IF(ISNUMBER(M390),ROUND(M390*(1-Condizioni!$B$2),2),"")</f>
        <v/>
      </c>
      <c r="P390" s="17" t="inlineStr">
        <is>
          <t>No</t>
        </is>
      </c>
    </row>
    <row r="391">
      <c r="A391" s="14" t="inlineStr">
        <is>
          <t>Logos</t>
        </is>
      </c>
      <c r="B391" s="14" t="inlineStr">
        <is>
          <t>Villevermine 1/2: l’Uomo che Parlava Agli Oggetti</t>
        </is>
      </c>
      <c r="C391" s="14" t="inlineStr">
        <is>
          <t>Julien Lambert</t>
        </is>
      </c>
      <c r="D391" s="14" t="inlineStr">
        <is>
          <t>Fumetto</t>
        </is>
      </c>
      <c r="E391" s="14" t="inlineStr">
        <is>
          <t>da 12 anni</t>
        </is>
      </c>
      <c r="F391" s="14" t="inlineStr">
        <is>
          <t>Scuola media (11-13)</t>
        </is>
      </c>
      <c r="G391" s="14" t="inlineStr">
        <is>
          <t>Graphic novel/Fumetto</t>
        </is>
      </c>
      <c r="H391" s="14" t="inlineStr"/>
      <c r="I391" s="14" t="inlineStr">
        <is>
          <t>No</t>
        </is>
      </c>
      <c r="J391" s="14" t="inlineStr">
        <is>
          <t>Catalogo</t>
        </is>
      </c>
      <c r="K391" s="14" t="inlineStr">
        <is>
          <t>prima/seconda/terza media</t>
        </is>
      </c>
      <c r="L391" s="14" t="inlineStr">
        <is>
          <t>https://www.libri.it/villevermine-1-uomo-che-parlava-agli-oggetti</t>
        </is>
      </c>
      <c r="M391" s="16" t="n">
        <v>18</v>
      </c>
      <c r="N391" s="14" t="inlineStr">
        <is>
          <t>Lista titoli Logos Edizioni 2026 (PVP)</t>
        </is>
      </c>
      <c r="O391" s="16">
        <f>IF(ISNUMBER(M391),ROUND(M391*(1-Condizioni!$B$2),2),"")</f>
        <v/>
      </c>
      <c r="P391" s="17" t="inlineStr">
        <is>
          <t>No</t>
        </is>
      </c>
    </row>
    <row r="392">
      <c r="A392" s="14" t="inlineStr">
        <is>
          <t>Logos</t>
        </is>
      </c>
      <c r="B392" s="14" t="inlineStr">
        <is>
          <t>Who Is nemo’S</t>
        </is>
      </c>
      <c r="C392" s="14" t="inlineStr">
        <is>
          <t>NemO's</t>
        </is>
      </c>
      <c r="D392" s="14" t="inlineStr">
        <is>
          <t>Illustrati</t>
        </is>
      </c>
      <c r="E392" s="14" t="inlineStr">
        <is>
          <t>da 12 anni</t>
        </is>
      </c>
      <c r="F392" s="14" t="inlineStr">
        <is>
          <t>Scuola media (11-13)</t>
        </is>
      </c>
      <c r="G392" s="14" t="inlineStr">
        <is>
          <t>Albo illustrato</t>
        </is>
      </c>
      <c r="H392" s="14" t="inlineStr"/>
      <c r="I392" s="14" t="inlineStr">
        <is>
          <t>No</t>
        </is>
      </c>
      <c r="J392" s="14" t="inlineStr">
        <is>
          <t>Catalogo</t>
        </is>
      </c>
      <c r="K392" s="14" t="inlineStr">
        <is>
          <t>prima/seconda/terza media</t>
        </is>
      </c>
      <c r="L392" s="14" t="inlineStr">
        <is>
          <t>https://www.libri.it/who-is-nemo-s</t>
        </is>
      </c>
      <c r="M392" s="16" t="n">
        <v>15</v>
      </c>
      <c r="N392" s="14" t="inlineStr">
        <is>
          <t>Lista titoli Logos Edizioni 2026 (PVP)</t>
        </is>
      </c>
      <c r="O392" s="16">
        <f>IF(ISNUMBER(M392),ROUND(M392*(1-Condizioni!$B$2),2),"")</f>
        <v/>
      </c>
      <c r="P392" s="17" t="inlineStr">
        <is>
          <t>No</t>
        </is>
      </c>
    </row>
    <row r="393">
      <c r="A393" s="14" t="inlineStr">
        <is>
          <t>Logos</t>
        </is>
      </c>
      <c r="B393" s="14" t="inlineStr">
        <is>
          <t>Wunderkammer</t>
        </is>
      </c>
      <c r="C393" s="14" t="inlineStr">
        <is>
          <t>Stefano Bessoni</t>
        </is>
      </c>
      <c r="D393" s="14" t="inlineStr">
        <is>
          <t>Illustrati</t>
        </is>
      </c>
      <c r="E393" s="14" t="inlineStr">
        <is>
          <t>da 12 anni</t>
        </is>
      </c>
      <c r="F393" s="14" t="inlineStr">
        <is>
          <t>Scuola media (11-13)</t>
        </is>
      </c>
      <c r="G393" s="14" t="inlineStr">
        <is>
          <t>Albo illustrato</t>
        </is>
      </c>
      <c r="H393" s="14" t="inlineStr"/>
      <c r="I393" s="14" t="inlineStr">
        <is>
          <t>No</t>
        </is>
      </c>
      <c r="J393" s="14" t="inlineStr">
        <is>
          <t>Catalogo</t>
        </is>
      </c>
      <c r="K393" s="14" t="inlineStr">
        <is>
          <t>prima/seconda/terza media</t>
        </is>
      </c>
      <c r="L393" s="14" t="inlineStr">
        <is>
          <t>https://www.libri.it/wunderkammer</t>
        </is>
      </c>
      <c r="M393" s="16" t="n">
        <v>15</v>
      </c>
      <c r="N393" s="14" t="inlineStr">
        <is>
          <t>Lista titoli Logos Edizioni 2026 (PVP)</t>
        </is>
      </c>
      <c r="O393" s="16">
        <f>IF(ISNUMBER(M393),ROUND(M393*(1-Condizioni!$B$2),2),"")</f>
        <v/>
      </c>
      <c r="P393" s="17" t="inlineStr">
        <is>
          <t>No</t>
        </is>
      </c>
    </row>
  </sheetData>
  <autoFilter ref="A1:P393"/>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P1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Lapis</t>
        </is>
      </c>
      <c r="B2" s="14" t="inlineStr">
        <is>
          <t>Avventure di Tato e Nanà</t>
        </is>
      </c>
      <c r="C2" s="14" t="inlineStr">
        <is>
          <t>(vedi collana)</t>
        </is>
      </c>
      <c r="D2" s="14" t="inlineStr">
        <is>
          <t>Tato e Nanà</t>
        </is>
      </c>
      <c r="E2" s="14" t="inlineStr">
        <is>
          <t>dai 18 mesi</t>
        </is>
      </c>
      <c r="F2" s="14" t="inlineStr">
        <is>
          <t>0-3 anni</t>
        </is>
      </c>
      <c r="G2" s="14" t="inlineStr">
        <is>
          <t>Libro cartonato</t>
        </is>
      </c>
      <c r="H2" s="14" t="inlineStr"/>
      <c r="I2" s="14" t="inlineStr">
        <is>
          <t>No</t>
        </is>
      </c>
      <c r="J2" s="14" t="inlineStr">
        <is>
          <t>Collana</t>
        </is>
      </c>
      <c r="K2" s="14" t="inlineStr">
        <is>
          <t>0-3 anni</t>
        </is>
      </c>
      <c r="L2" s="14" t="inlineStr">
        <is>
          <t>https://www.edizionilapis.it/collane</t>
        </is>
      </c>
      <c r="M2" s="19" t="n"/>
      <c r="N2" s="14" t="inlineStr"/>
      <c r="O2" s="16">
        <f>IF(ISNUMBER(M2),ROUND(M2*(1-Condizioni!$B$2),2),"")</f>
        <v/>
      </c>
      <c r="P2" s="17" t="inlineStr">
        <is>
          <t>Sì</t>
        </is>
      </c>
    </row>
    <row r="3">
      <c r="A3" s="14" t="inlineStr">
        <is>
          <t>Lapis</t>
        </is>
      </c>
      <c r="B3" s="14" t="inlineStr">
        <is>
          <t>I senza parole di Attilio</t>
        </is>
      </c>
      <c r="C3" s="14" t="inlineStr">
        <is>
          <t>A. Cassinelli</t>
        </is>
      </c>
      <c r="D3" s="14" t="inlineStr">
        <is>
          <t>I senza parole</t>
        </is>
      </c>
      <c r="E3" s="14" t="inlineStr">
        <is>
          <t>0-3 / 3-6</t>
        </is>
      </c>
      <c r="F3" s="14" t="inlineStr">
        <is>
          <t>0-3 anni</t>
        </is>
      </c>
      <c r="G3" s="14" t="inlineStr">
        <is>
          <t>Silent book</t>
        </is>
      </c>
      <c r="H3" s="14" t="inlineStr"/>
      <c r="I3" s="14" t="inlineStr">
        <is>
          <t>No</t>
        </is>
      </c>
      <c r="J3" s="14" t="inlineStr">
        <is>
          <t>Collana</t>
        </is>
      </c>
      <c r="K3" s="14" t="inlineStr">
        <is>
          <t>0-3 anni</t>
        </is>
      </c>
      <c r="L3" s="14" t="inlineStr">
        <is>
          <t>https://www.edizionilapis.it/collane</t>
        </is>
      </c>
      <c r="M3" s="19" t="n"/>
      <c r="N3" s="14" t="inlineStr"/>
      <c r="O3" s="16">
        <f>IF(ISNUMBER(M3),ROUND(M3*(1-Condizioni!$B$2),2),"")</f>
        <v/>
      </c>
      <c r="P3" s="17" t="inlineStr">
        <is>
          <t>Sì</t>
        </is>
      </c>
    </row>
    <row r="4">
      <c r="A4" s="14" t="inlineStr">
        <is>
          <t>Lapis</t>
        </is>
      </c>
      <c r="B4" s="14" t="inlineStr">
        <is>
          <t>Libri gioco cartonati</t>
        </is>
      </c>
      <c r="C4" s="14" t="inlineStr">
        <is>
          <t>(vedi collana)</t>
        </is>
      </c>
      <c r="D4" s="14" t="inlineStr">
        <is>
          <t>Libri gioco</t>
        </is>
      </c>
      <c r="E4" s="14" t="inlineStr">
        <is>
          <t>da 1 anno</t>
        </is>
      </c>
      <c r="F4" s="14" t="inlineStr">
        <is>
          <t>0-3 anni</t>
        </is>
      </c>
      <c r="G4" s="14" t="inlineStr">
        <is>
          <t>Libro cartonato</t>
        </is>
      </c>
      <c r="H4" s="14" t="inlineStr"/>
      <c r="I4" s="14" t="inlineStr">
        <is>
          <t>No</t>
        </is>
      </c>
      <c r="J4" s="14" t="inlineStr">
        <is>
          <t>Collana</t>
        </is>
      </c>
      <c r="K4" s="14" t="inlineStr">
        <is>
          <t>0-3 anni</t>
        </is>
      </c>
      <c r="L4" s="14" t="inlineStr">
        <is>
          <t>https://www.edizionilapis.it/collane</t>
        </is>
      </c>
      <c r="M4" s="19" t="n"/>
      <c r="N4" s="14" t="inlineStr"/>
      <c r="O4" s="16">
        <f>IF(ISNUMBER(M4),ROUND(M4*(1-Condizioni!$B$2),2),"")</f>
        <v/>
      </c>
      <c r="P4" s="17" t="inlineStr">
        <is>
          <t>Sì</t>
        </is>
      </c>
    </row>
    <row r="5">
      <c r="A5" s="14" t="inlineStr">
        <is>
          <t>Lapis</t>
        </is>
      </c>
      <c r="B5" s="14" t="inlineStr">
        <is>
          <t>Collana I lapislazzuli</t>
        </is>
      </c>
      <c r="C5" s="14" t="inlineStr">
        <is>
          <t>Cognolato; Lorenzoni; ecc.</t>
        </is>
      </c>
      <c r="D5" s="14" t="inlineStr">
        <is>
          <t>I lapislazzuli</t>
        </is>
      </c>
      <c r="E5" s="14" t="inlineStr">
        <is>
          <t>dai 4 anni</t>
        </is>
      </c>
      <c r="F5" s="14" t="inlineStr">
        <is>
          <t>3-6 anni</t>
        </is>
      </c>
      <c r="G5" s="14" t="inlineStr">
        <is>
          <t>Albo illustrato</t>
        </is>
      </c>
      <c r="H5" s="14" t="inlineStr">
        <is>
          <t>Temi sociali (storia, guerre, persone e luoghi)</t>
        </is>
      </c>
      <c r="I5" s="14" t="inlineStr">
        <is>
          <t>No</t>
        </is>
      </c>
      <c r="J5" s="14" t="inlineStr">
        <is>
          <t>Collana</t>
        </is>
      </c>
      <c r="K5" s="14" t="inlineStr">
        <is>
          <t>3-6 anni</t>
        </is>
      </c>
      <c r="L5" s="14" t="inlineStr">
        <is>
          <t>https://www.edizionilapis.it/collane</t>
        </is>
      </c>
      <c r="M5" s="19" t="n"/>
      <c r="N5" s="14" t="inlineStr"/>
      <c r="O5" s="16">
        <f>IF(ISNUMBER(M5),ROUND(M5*(1-Condizioni!$B$2),2),"")</f>
        <v/>
      </c>
      <c r="P5" s="17" t="inlineStr">
        <is>
          <t>Sì</t>
        </is>
      </c>
    </row>
    <row r="6">
      <c r="A6" s="14" t="inlineStr">
        <is>
          <t>Lapis</t>
        </is>
      </c>
      <c r="B6" s="14" t="inlineStr">
        <is>
          <t>Foto di gruppo (versione in simboli InBook)</t>
        </is>
      </c>
      <c r="C6" s="14" t="inlineStr">
        <is>
          <t>Gek Tessaro</t>
        </is>
      </c>
      <c r="D6" s="14" t="inlineStr">
        <is>
          <t>InBook (traduzione di rete bibliotecaria)</t>
        </is>
      </c>
      <c r="E6" s="14" t="inlineStr">
        <is>
          <t>n.d.</t>
        </is>
      </c>
      <c r="F6" s="14" t="inlineStr">
        <is>
          <t>3-6 anni</t>
        </is>
      </c>
      <c r="G6" s="14" t="inlineStr">
        <is>
          <t>Libro in simboli (CAA)</t>
        </is>
      </c>
      <c r="H6" s="14" t="inlineStr">
        <is>
          <t>Inclusione: libro in simboli</t>
        </is>
      </c>
      <c r="I6" s="18" t="inlineStr">
        <is>
          <t>Sì</t>
        </is>
      </c>
      <c r="J6" s="14" t="inlineStr">
        <is>
          <t>Tolto: versione in simboli InBook, non in vendita</t>
        </is>
      </c>
      <c r="K6" s="14" t="inlineStr">
        <is>
          <t>3-6 anni, CAA</t>
        </is>
      </c>
      <c r="L6" s="14" t="inlineStr">
        <is>
          <t>https://www.055firenze.it/art/216489/libri-in-simboli-nasce-la-prima-Rete-Operativa-Toscana-delle-Biblioteche-Inbook-libri-in-simboli</t>
        </is>
      </c>
      <c r="M6" s="19" t="n"/>
      <c r="N6" s="14" t="inlineStr"/>
      <c r="O6" s="16">
        <f>IF(ISNUMBER(M6),ROUND(M6*(1-Condizioni!$B$2),2),"")</f>
        <v/>
      </c>
      <c r="P6" s="17" t="inlineStr">
        <is>
          <t>No</t>
        </is>
      </c>
    </row>
    <row r="7">
      <c r="A7" s="14" t="inlineStr">
        <is>
          <t>Lapis</t>
        </is>
      </c>
      <c r="B7" s="14" t="inlineStr">
        <is>
          <t>I libri di Gek Tessaro / Il mondo di Tony Ross / Il mondo di Salina Yoon</t>
        </is>
      </c>
      <c r="C7" s="14" t="inlineStr">
        <is>
          <t>(vedi collane)</t>
        </is>
      </c>
      <c r="D7" s="14" t="inlineStr">
        <is>
          <t>Albi 3-6</t>
        </is>
      </c>
      <c r="E7" s="14" t="inlineStr">
        <is>
          <t>3-6 anni</t>
        </is>
      </c>
      <c r="F7" s="14" t="inlineStr">
        <is>
          <t>3-6 anni</t>
        </is>
      </c>
      <c r="G7" s="14" t="inlineStr">
        <is>
          <t>Albo illustrato</t>
        </is>
      </c>
      <c r="H7" s="14" t="inlineStr"/>
      <c r="I7" s="14" t="inlineStr">
        <is>
          <t>No</t>
        </is>
      </c>
      <c r="J7" s="14" t="inlineStr">
        <is>
          <t>Collana</t>
        </is>
      </c>
      <c r="K7" s="14" t="inlineStr">
        <is>
          <t>3-6 anni</t>
        </is>
      </c>
      <c r="L7" s="14" t="inlineStr">
        <is>
          <t>https://www.edizionilapis.it/collane</t>
        </is>
      </c>
      <c r="M7" s="19" t="n"/>
      <c r="N7" s="14" t="inlineStr"/>
      <c r="O7" s="16">
        <f>IF(ISNUMBER(M7),ROUND(M7*(1-Condizioni!$B$2),2),"")</f>
        <v/>
      </c>
      <c r="P7" s="17" t="inlineStr">
        <is>
          <t>Sì</t>
        </is>
      </c>
    </row>
    <row r="8">
      <c r="A8" s="14" t="inlineStr">
        <is>
          <t>Lapis</t>
        </is>
      </c>
      <c r="B8" s="14" t="inlineStr">
        <is>
          <t>Le mini storie di Attilio</t>
        </is>
      </c>
      <c r="C8" s="14" t="inlineStr">
        <is>
          <t>A. Cassinelli</t>
        </is>
      </c>
      <c r="D8" s="14" t="inlineStr">
        <is>
          <t>Libri cartonati</t>
        </is>
      </c>
      <c r="E8" s="14" t="inlineStr">
        <is>
          <t>dai 3 anni</t>
        </is>
      </c>
      <c r="F8" s="14" t="inlineStr">
        <is>
          <t>3-6 anni</t>
        </is>
      </c>
      <c r="G8" s="14" t="inlineStr">
        <is>
          <t>Libro cartonato</t>
        </is>
      </c>
      <c r="H8" s="14" t="inlineStr">
        <is>
          <t>Ecologia, natura, amicizia</t>
        </is>
      </c>
      <c r="I8" s="14" t="inlineStr">
        <is>
          <t>No</t>
        </is>
      </c>
      <c r="J8" s="14" t="inlineStr">
        <is>
          <t>Collana</t>
        </is>
      </c>
      <c r="K8" s="14" t="inlineStr">
        <is>
          <t>3-6 anni</t>
        </is>
      </c>
      <c r="L8" s="14" t="inlineStr">
        <is>
          <t>https://www.edizionilapis.it/collane</t>
        </is>
      </c>
      <c r="M8" s="19" t="n"/>
      <c r="N8" s="14" t="inlineStr"/>
      <c r="O8" s="16">
        <f>IF(ISNUMBER(M8),ROUND(M8*(1-Condizioni!$B$2),2),"")</f>
        <v/>
      </c>
      <c r="P8" s="17" t="inlineStr">
        <is>
          <t>Sì</t>
        </is>
      </c>
    </row>
    <row r="9">
      <c r="A9" s="14" t="inlineStr">
        <is>
          <t>Lapis</t>
        </is>
      </c>
      <c r="B9" s="14" t="inlineStr">
        <is>
          <t>Storie di una principessina (Tilly)</t>
        </is>
      </c>
      <c r="C9" s="14" t="inlineStr">
        <is>
          <t>(vedi collana)</t>
        </is>
      </c>
      <c r="D9" s="14" t="inlineStr">
        <is>
          <t>Storie di una principessina</t>
        </is>
      </c>
      <c r="E9" s="14" t="inlineStr">
        <is>
          <t>circa 4 anni</t>
        </is>
      </c>
      <c r="F9" s="14" t="inlineStr">
        <is>
          <t>3-6 anni</t>
        </is>
      </c>
      <c r="G9" s="14" t="inlineStr">
        <is>
          <t>Albo illustrato</t>
        </is>
      </c>
      <c r="H9" s="14" t="inlineStr"/>
      <c r="I9" s="14" t="inlineStr">
        <is>
          <t>No</t>
        </is>
      </c>
      <c r="J9" s="14" t="inlineStr">
        <is>
          <t>Collana</t>
        </is>
      </c>
      <c r="K9" s="14" t="inlineStr">
        <is>
          <t>3-6 anni</t>
        </is>
      </c>
      <c r="L9" s="14" t="inlineStr">
        <is>
          <t>https://www.edizionilapis.it/collane</t>
        </is>
      </c>
      <c r="M9" s="19" t="n"/>
      <c r="N9" s="14" t="inlineStr"/>
      <c r="O9" s="16">
        <f>IF(ISNUMBER(M9),ROUND(M9*(1-Condizioni!$B$2),2),"")</f>
        <v/>
      </c>
      <c r="P9" s="17" t="inlineStr">
        <is>
          <t>Sì</t>
        </is>
      </c>
    </row>
    <row r="10">
      <c r="A10" s="14" t="inlineStr">
        <is>
          <t>Lapis</t>
        </is>
      </c>
      <c r="B10" s="14" t="inlineStr">
        <is>
          <t>Dardo il cane di Leonardo</t>
        </is>
      </c>
      <c r="C10" s="14" t="inlineStr">
        <is>
          <t>(vedi collana)</t>
        </is>
      </c>
      <c r="D10" s="14" t="inlineStr">
        <is>
          <t>Dardo</t>
        </is>
      </c>
      <c r="E10" s="14" t="inlineStr">
        <is>
          <t>dai 7 anni</t>
        </is>
      </c>
      <c r="F10" s="14" t="inlineStr">
        <is>
          <t>Prime letture (6-8)</t>
        </is>
      </c>
      <c r="G10" s="14" t="inlineStr">
        <is>
          <t>Narrativa</t>
        </is>
      </c>
      <c r="H10" s="14" t="inlineStr"/>
      <c r="I10" s="14" t="inlineStr">
        <is>
          <t>No</t>
        </is>
      </c>
      <c r="J10" s="14" t="inlineStr">
        <is>
          <t>Collana</t>
        </is>
      </c>
      <c r="K10" s="14" t="inlineStr">
        <is>
          <t>prime letture, narrativa</t>
        </is>
      </c>
      <c r="L10" s="14" t="inlineStr">
        <is>
          <t>https://www.edizionilapis.it/collane</t>
        </is>
      </c>
      <c r="M10" s="19" t="n"/>
      <c r="N10" s="14" t="inlineStr"/>
      <c r="O10" s="16">
        <f>IF(ISNUMBER(M10),ROUND(M10*(1-Condizioni!$B$2),2),"")</f>
        <v/>
      </c>
      <c r="P10" s="17" t="inlineStr">
        <is>
          <t>Sì</t>
        </is>
      </c>
    </row>
    <row r="11">
      <c r="A11" s="14" t="inlineStr">
        <is>
          <t>Lapis</t>
        </is>
      </c>
      <c r="B11" s="14" t="inlineStr">
        <is>
          <t>Mabel (prime letture)</t>
        </is>
      </c>
      <c r="C11" s="14" t="inlineStr">
        <is>
          <t>(vedi collana)</t>
        </is>
      </c>
      <c r="D11" s="14" t="inlineStr">
        <is>
          <t>Mabel</t>
        </is>
      </c>
      <c r="E11" s="14" t="inlineStr">
        <is>
          <t>prime letture</t>
        </is>
      </c>
      <c r="F11" s="14" t="inlineStr">
        <is>
          <t>Prime letture (6-8)</t>
        </is>
      </c>
      <c r="G11" s="14" t="inlineStr">
        <is>
          <t>Narrativa</t>
        </is>
      </c>
      <c r="H11" s="14" t="inlineStr"/>
      <c r="I11" s="14" t="inlineStr">
        <is>
          <t>No</t>
        </is>
      </c>
      <c r="J11" s="14" t="inlineStr">
        <is>
          <t>Collana</t>
        </is>
      </c>
      <c r="K11" s="14" t="inlineStr">
        <is>
          <t>prime letture, narrativa</t>
        </is>
      </c>
      <c r="L11" s="14" t="inlineStr">
        <is>
          <t>https://www.edizionilapis.it/collane</t>
        </is>
      </c>
      <c r="M11" s="19" t="n"/>
      <c r="N11" s="14" t="inlineStr"/>
      <c r="O11" s="16">
        <f>IF(ISNUMBER(M11),ROUND(M11*(1-Condizioni!$B$2),2),"")</f>
        <v/>
      </c>
      <c r="P11" s="17" t="inlineStr">
        <is>
          <t>Sì</t>
        </is>
      </c>
    </row>
    <row r="12">
      <c r="A12" s="14" t="inlineStr">
        <is>
          <t>Lapis</t>
        </is>
      </c>
      <c r="B12" s="14" t="inlineStr">
        <is>
          <t>Versi diversi / Sì, io sono (poesia)</t>
        </is>
      </c>
      <c r="C12" s="14" t="inlineStr">
        <is>
          <t>Friot, Tullet, Carminati</t>
        </is>
      </c>
      <c r="D12" s="14" t="inlineStr">
        <is>
          <t>Poesia</t>
        </is>
      </c>
      <c r="E12" s="14" t="inlineStr">
        <is>
          <t>da 7 anni</t>
        </is>
      </c>
      <c r="F12" s="14" t="inlineStr">
        <is>
          <t>Prime letture (6-8)</t>
        </is>
      </c>
      <c r="G12" s="14" t="inlineStr">
        <is>
          <t>Poesia</t>
        </is>
      </c>
      <c r="H12" s="14" t="inlineStr"/>
      <c r="I12" s="14" t="inlineStr">
        <is>
          <t>No</t>
        </is>
      </c>
      <c r="J12" s="14" t="inlineStr">
        <is>
          <t>Collana</t>
        </is>
      </c>
      <c r="K12" s="14" t="inlineStr">
        <is>
          <t>prime letture</t>
        </is>
      </c>
      <c r="L12" s="14" t="inlineStr">
        <is>
          <t>https://www.edizionilapis.it/collane</t>
        </is>
      </c>
      <c r="M12" s="19" t="n"/>
      <c r="N12" s="14" t="inlineStr"/>
      <c r="O12" s="16">
        <f>IF(ISNUMBER(M12),ROUND(M12*(1-Condizioni!$B$2),2),"")</f>
        <v/>
      </c>
      <c r="P12" s="17" t="inlineStr">
        <is>
          <t>Sì</t>
        </is>
      </c>
    </row>
    <row r="13">
      <c r="A13" s="14" t="inlineStr">
        <is>
          <t>Lapis</t>
        </is>
      </c>
      <c r="B13" s="14" t="inlineStr">
        <is>
          <t>Omero – Iliade / Odissea per ragazzi</t>
        </is>
      </c>
      <c r="C13" s="14" t="inlineStr">
        <is>
          <t>Cinquetti, Guicciardini</t>
        </is>
      </c>
      <c r="D13" s="14" t="inlineStr">
        <is>
          <t>Classici</t>
        </is>
      </c>
      <c r="E13" s="14" t="inlineStr">
        <is>
          <t>dai 8 anni</t>
        </is>
      </c>
      <c r="F13" s="14" t="inlineStr">
        <is>
          <t>8+</t>
        </is>
      </c>
      <c r="G13" s="14" t="inlineStr">
        <is>
          <t>Classico illustrato</t>
        </is>
      </c>
      <c r="H13" s="14" t="inlineStr"/>
      <c r="I13" s="14" t="inlineStr">
        <is>
          <t>No</t>
        </is>
      </c>
      <c r="J13" s="14" t="inlineStr">
        <is>
          <t>Collana</t>
        </is>
      </c>
      <c r="K13" s="14" t="inlineStr">
        <is>
          <t>8+</t>
        </is>
      </c>
      <c r="L13" s="14" t="inlineStr">
        <is>
          <t>https://www.edizionilapis.it/collane</t>
        </is>
      </c>
      <c r="M13" s="19" t="n"/>
      <c r="N13" s="14" t="inlineStr"/>
      <c r="O13" s="16">
        <f>IF(ISNUMBER(M13),ROUND(M13*(1-Condizioni!$B$2),2),"")</f>
        <v/>
      </c>
      <c r="P13" s="17" t="inlineStr">
        <is>
          <t>Sì</t>
        </is>
      </c>
    </row>
    <row r="14">
      <c r="A14" s="14" t="inlineStr">
        <is>
          <t>Lapis</t>
        </is>
      </c>
      <c r="B14" s="14" t="inlineStr">
        <is>
          <t>I misteri di Teo</t>
        </is>
      </c>
      <c r="C14" s="14" t="inlineStr">
        <is>
          <t>(due autrici)</t>
        </is>
      </c>
      <c r="D14" s="14" t="inlineStr">
        <is>
          <t>I misteri di Teo</t>
        </is>
      </c>
      <c r="E14" s="14" t="inlineStr">
        <is>
          <t>da 9 anni</t>
        </is>
      </c>
      <c r="F14" s="14" t="inlineStr">
        <is>
          <t>9+</t>
        </is>
      </c>
      <c r="G14" s="14" t="inlineStr">
        <is>
          <t>Giallo/Mistero</t>
        </is>
      </c>
      <c r="H14" s="14" t="inlineStr"/>
      <c r="I14" s="14" t="inlineStr">
        <is>
          <t>No</t>
        </is>
      </c>
      <c r="J14" s="14" t="inlineStr">
        <is>
          <t>Collana</t>
        </is>
      </c>
      <c r="K14" s="14" t="inlineStr">
        <is>
          <t>9+, narrativa</t>
        </is>
      </c>
      <c r="L14" s="14" t="inlineStr">
        <is>
          <t>https://www.edizionilapis.it/collane</t>
        </is>
      </c>
      <c r="M14" s="19" t="n"/>
      <c r="N14" s="14" t="inlineStr"/>
      <c r="O14" s="16">
        <f>IF(ISNUMBER(M14),ROUND(M14*(1-Condizioni!$B$2),2),"")</f>
        <v/>
      </c>
      <c r="P14" s="17" t="inlineStr">
        <is>
          <t>Sì</t>
        </is>
      </c>
    </row>
  </sheetData>
  <autoFilter ref="A1:P1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2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L'Ippocampo</t>
        </is>
      </c>
      <c r="B2" s="14" t="inlineStr">
        <is>
          <t>Bebè 0-2 anni (sezione)</t>
        </is>
      </c>
      <c r="C2" s="14" t="inlineStr">
        <is>
          <t>(vedi catalogo)</t>
        </is>
      </c>
      <c r="D2" s="14" t="inlineStr">
        <is>
          <t>L'Ippocampo Ragazzi</t>
        </is>
      </c>
      <c r="E2" s="14" t="inlineStr">
        <is>
          <t>0-2</t>
        </is>
      </c>
      <c r="F2" s="14" t="inlineStr">
        <is>
          <t>0-3 anni</t>
        </is>
      </c>
      <c r="G2" s="14" t="inlineStr">
        <is>
          <t>Libro cartonato</t>
        </is>
      </c>
      <c r="H2" s="14" t="inlineStr"/>
      <c r="I2" s="14" t="inlineStr">
        <is>
          <t>No</t>
        </is>
      </c>
      <c r="J2" s="14" t="inlineStr">
        <is>
          <t>Catalogo</t>
        </is>
      </c>
      <c r="K2" s="14" t="inlineStr">
        <is>
          <t>0-3 anni</t>
        </is>
      </c>
      <c r="L2" s="14" t="inlineStr">
        <is>
          <t>https://www.ippocampoedizioni.it/</t>
        </is>
      </c>
      <c r="M2" s="19" t="n"/>
      <c r="N2" s="14" t="inlineStr"/>
      <c r="O2" s="16">
        <f>IF(ISNUMBER(M2),ROUND(M2*(1-Condizioni!$B$2),2),"")</f>
        <v/>
      </c>
      <c r="P2" s="17" t="inlineStr">
        <is>
          <t>Sì</t>
        </is>
      </c>
    </row>
    <row r="3">
      <c r="A3" s="14" t="inlineStr">
        <is>
          <t>L'Ippocampo</t>
        </is>
      </c>
      <c r="B3" s="14" t="inlineStr">
        <is>
          <t>Libri coccole Emma Dodd (sezione)</t>
        </is>
      </c>
      <c r="C3" s="14" t="inlineStr">
        <is>
          <t>Emma Dodd</t>
        </is>
      </c>
      <c r="D3" s="14" t="inlineStr">
        <is>
          <t>L'Ippocampo Ragazzi</t>
        </is>
      </c>
      <c r="E3" s="14" t="inlineStr">
        <is>
          <t>0-2</t>
        </is>
      </c>
      <c r="F3" s="14" t="inlineStr">
        <is>
          <t>0-3 anni</t>
        </is>
      </c>
      <c r="G3" s="14" t="inlineStr">
        <is>
          <t>Libro cartonato</t>
        </is>
      </c>
      <c r="H3" s="14" t="inlineStr"/>
      <c r="I3" s="14" t="inlineStr">
        <is>
          <t>No</t>
        </is>
      </c>
      <c r="J3" s="14" t="inlineStr">
        <is>
          <t>Catalogo</t>
        </is>
      </c>
      <c r="K3" s="14" t="inlineStr">
        <is>
          <t>0-3 anni</t>
        </is>
      </c>
      <c r="L3" s="14" t="inlineStr">
        <is>
          <t>https://www.ippocampoedizioni.it/</t>
        </is>
      </c>
      <c r="M3" s="19" t="n"/>
      <c r="N3" s="14" t="inlineStr"/>
      <c r="O3" s="16">
        <f>IF(ISNUMBER(M3),ROUND(M3*(1-Condizioni!$B$2),2),"")</f>
        <v/>
      </c>
      <c r="P3" s="17" t="inlineStr">
        <is>
          <t>Sì</t>
        </is>
      </c>
    </row>
    <row r="4">
      <c r="A4" s="14" t="inlineStr">
        <is>
          <t>L'Ippocampo</t>
        </is>
      </c>
      <c r="B4" s="14" t="inlineStr">
        <is>
          <t>Prescuola (sezione)</t>
        </is>
      </c>
      <c r="C4" s="14" t="inlineStr">
        <is>
          <t>(vedi catalogo)</t>
        </is>
      </c>
      <c r="D4" s="14" t="inlineStr">
        <is>
          <t>L'Ippocampo Ragazzi</t>
        </is>
      </c>
      <c r="E4" s="14" t="inlineStr">
        <is>
          <t>prescuola</t>
        </is>
      </c>
      <c r="F4" s="14" t="inlineStr">
        <is>
          <t>3-6 anni</t>
        </is>
      </c>
      <c r="G4" s="14" t="inlineStr">
        <is>
          <t>Albo illustrato</t>
        </is>
      </c>
      <c r="H4" s="14" t="inlineStr"/>
      <c r="I4" s="14" t="inlineStr">
        <is>
          <t>No</t>
        </is>
      </c>
      <c r="J4" s="14" t="inlineStr">
        <is>
          <t>Catalogo</t>
        </is>
      </c>
      <c r="K4" s="14" t="inlineStr">
        <is>
          <t>3-6 anni</t>
        </is>
      </c>
      <c r="L4" s="14" t="inlineStr">
        <is>
          <t>https://www.ippocampoedizioni.it/</t>
        </is>
      </c>
      <c r="M4" s="19" t="n"/>
      <c r="N4" s="14" t="inlineStr"/>
      <c r="O4" s="16">
        <f>IF(ISNUMBER(M4),ROUND(M4*(1-Condizioni!$B$2),2),"")</f>
        <v/>
      </c>
      <c r="P4" s="17" t="inlineStr">
        <is>
          <t>Sì</t>
        </is>
      </c>
    </row>
    <row r="5">
      <c r="A5" s="14" t="inlineStr">
        <is>
          <t>L'Ippocampo</t>
        </is>
      </c>
      <c r="B5" s="14" t="inlineStr">
        <is>
          <t>Il meraviglioso mago di Oz</t>
        </is>
      </c>
      <c r="C5" s="14" t="inlineStr">
        <is>
          <t>L. Frank Baum</t>
        </is>
      </c>
      <c r="D5" s="14" t="inlineStr">
        <is>
          <t>Narrativa ragazzi</t>
        </is>
      </c>
      <c r="E5" s="14" t="inlineStr">
        <is>
          <t>dai 6 anni</t>
        </is>
      </c>
      <c r="F5" s="14" t="inlineStr">
        <is>
          <t>Prime letture (6-8)</t>
        </is>
      </c>
      <c r="G5" s="14" t="inlineStr">
        <is>
          <t>Avventura</t>
        </is>
      </c>
      <c r="H5" s="14" t="inlineStr"/>
      <c r="I5" s="14" t="inlineStr">
        <is>
          <t>No</t>
        </is>
      </c>
      <c r="J5" s="14" t="inlineStr">
        <is>
          <t>Catalogo</t>
        </is>
      </c>
      <c r="K5" s="14" t="inlineStr">
        <is>
          <t>prime letture, avventura, narrativa</t>
        </is>
      </c>
      <c r="L5" s="14" t="inlineStr">
        <is>
          <t>https://www.ippocampoedizioni.it/catalogo/tema/107</t>
        </is>
      </c>
      <c r="M5" s="16" t="n">
        <v>29.9</v>
      </c>
      <c r="N5" s="14" t="inlineStr">
        <is>
          <t>Catalogo L'Ippocampo Autunno 2026</t>
        </is>
      </c>
      <c r="O5" s="16">
        <f>IF(ISNUMBER(M5),ROUND(M5*(1-Condizioni!$B$2),2),"")</f>
        <v/>
      </c>
      <c r="P5" s="17" t="inlineStr">
        <is>
          <t>Sì</t>
        </is>
      </c>
    </row>
    <row r="6">
      <c r="A6" s="14" t="inlineStr">
        <is>
          <t>L'Ippocampo</t>
        </is>
      </c>
      <c r="B6" s="14" t="inlineStr">
        <is>
          <t>L'isola del tesoro (ed. MinaLima)</t>
        </is>
      </c>
      <c r="C6" s="14" t="inlineStr">
        <is>
          <t>R. L. Stevenson</t>
        </is>
      </c>
      <c r="D6" s="14" t="inlineStr">
        <is>
          <t>Narrativa ragazzi</t>
        </is>
      </c>
      <c r="E6" s="14" t="inlineStr">
        <is>
          <t>dai 6 anni</t>
        </is>
      </c>
      <c r="F6" s="14" t="inlineStr">
        <is>
          <t>Prime letture (6-8)</t>
        </is>
      </c>
      <c r="G6" s="14" t="inlineStr">
        <is>
          <t>Avventura</t>
        </is>
      </c>
      <c r="H6" s="14" t="inlineStr"/>
      <c r="I6" s="14" t="inlineStr">
        <is>
          <t>No</t>
        </is>
      </c>
      <c r="J6" s="14" t="inlineStr">
        <is>
          <t>Catalogo</t>
        </is>
      </c>
      <c r="K6" s="14" t="inlineStr">
        <is>
          <t>prime letture, avventura, narrativa</t>
        </is>
      </c>
      <c r="L6" s="14" t="inlineStr">
        <is>
          <t>https://www.ippocampoedizioni.it/catalogo/tema/107</t>
        </is>
      </c>
      <c r="M6" s="16" t="n">
        <v>29.9</v>
      </c>
      <c r="N6" s="14" t="inlineStr">
        <is>
          <t>Catalogo L'Ippocampo Autunno 2026</t>
        </is>
      </c>
      <c r="O6" s="16">
        <f>IF(ISNUMBER(M6),ROUND(M6*(1-Condizioni!$B$2),2),"")</f>
        <v/>
      </c>
      <c r="P6" s="17" t="inlineStr">
        <is>
          <t>Sì</t>
        </is>
      </c>
    </row>
    <row r="7">
      <c r="A7" s="14" t="inlineStr">
        <is>
          <t>L'Ippocampo</t>
        </is>
      </c>
      <c r="B7" s="14" t="inlineStr">
        <is>
          <t>20.000 leghe sotto i mari</t>
        </is>
      </c>
      <c r="C7" s="14" t="inlineStr">
        <is>
          <t>Jules Verne</t>
        </is>
      </c>
      <c r="D7" s="14" t="inlineStr">
        <is>
          <t>Narrativa ragazzi</t>
        </is>
      </c>
      <c r="E7" s="14" t="inlineStr">
        <is>
          <t>dagli 8 anni</t>
        </is>
      </c>
      <c r="F7" s="14" t="inlineStr">
        <is>
          <t>8+</t>
        </is>
      </c>
      <c r="G7" s="14" t="inlineStr">
        <is>
          <t>Avventura</t>
        </is>
      </c>
      <c r="H7" s="14" t="inlineStr"/>
      <c r="I7" s="14" t="inlineStr">
        <is>
          <t>No</t>
        </is>
      </c>
      <c r="J7" s="14" t="inlineStr">
        <is>
          <t>Catalogo</t>
        </is>
      </c>
      <c r="K7" s="14" t="inlineStr">
        <is>
          <t>8+, avventura, narrativa</t>
        </is>
      </c>
      <c r="L7" s="14" t="inlineStr">
        <is>
          <t>https://www.ippocampoedizioni.it/catalogo/tema/107</t>
        </is>
      </c>
      <c r="M7" s="16" t="n">
        <v>29.9</v>
      </c>
      <c r="N7" s="14" t="inlineStr">
        <is>
          <t>Catalogo L'Ippocampo Autunno 2026</t>
        </is>
      </c>
      <c r="O7" s="16">
        <f>IF(ISNUMBER(M7),ROUND(M7*(1-Condizioni!$B$2),2),"")</f>
        <v/>
      </c>
      <c r="P7" s="17" t="inlineStr">
        <is>
          <t>Sì</t>
        </is>
      </c>
    </row>
    <row r="8">
      <c r="A8" s="14" t="inlineStr">
        <is>
          <t>L'Ippocampo</t>
        </is>
      </c>
      <c r="B8" s="14" t="inlineStr">
        <is>
          <t>Anatomia / Oceano / Nascita / Mondo vegetale (libri animati)</t>
        </is>
      </c>
      <c r="C8" s="14" t="inlineStr">
        <is>
          <t>Hélène Druvert</t>
        </is>
      </c>
      <c r="D8" s="14" t="inlineStr">
        <is>
          <t>Scuole medie (tema del catalogo)</t>
        </is>
      </c>
      <c r="E8" s="14" t="inlineStr">
        <is>
          <t>8-11 anni</t>
        </is>
      </c>
      <c r="F8" s="14" t="inlineStr">
        <is>
          <t>8+</t>
        </is>
      </c>
      <c r="G8" s="14" t="inlineStr">
        <is>
          <t>Divulgazione/Saggio</t>
        </is>
      </c>
      <c r="H8" s="14" t="inlineStr"/>
      <c r="I8" s="14" t="inlineStr">
        <is>
          <t>No</t>
        </is>
      </c>
      <c r="J8" s="14" t="inlineStr">
        <is>
          <t>Catalogo</t>
        </is>
      </c>
      <c r="K8" s="14" t="inlineStr">
        <is>
          <t>8+</t>
        </is>
      </c>
      <c r="L8" s="14" t="inlineStr">
        <is>
          <t>https://www.ippocampoedizioni.it/catalogo/tema/135</t>
        </is>
      </c>
      <c r="M8" s="16" t="n">
        <v>22</v>
      </c>
      <c r="N8" s="14" t="inlineStr">
        <is>
          <t>Catalogo L'Ippocampo Autunno 2026</t>
        </is>
      </c>
      <c r="O8" s="16">
        <f>IF(ISNUMBER(M8),ROUND(M8*(1-Condizioni!$B$2),2),"")</f>
        <v/>
      </c>
      <c r="P8" s="17" t="inlineStr">
        <is>
          <t>Sì</t>
        </is>
      </c>
    </row>
    <row r="9">
      <c r="A9" s="14" t="inlineStr">
        <is>
          <t>L'Ippocampo</t>
        </is>
      </c>
      <c r="B9" s="14" t="inlineStr">
        <is>
          <t>Esplorando l'universo / Esplorando gli elementi</t>
        </is>
      </c>
      <c r="C9" s="14" t="inlineStr">
        <is>
          <t>Isabel Thomas, Sara Gillingham</t>
        </is>
      </c>
      <c r="D9" s="14" t="inlineStr">
        <is>
          <t>Scuole medie (tema del catalogo)</t>
        </is>
      </c>
      <c r="E9" s="14" t="inlineStr">
        <is>
          <t>dagli 8 anni</t>
        </is>
      </c>
      <c r="F9" s="14" t="inlineStr">
        <is>
          <t>8+</t>
        </is>
      </c>
      <c r="G9" s="14" t="inlineStr">
        <is>
          <t>Divulgazione/Saggio</t>
        </is>
      </c>
      <c r="H9" s="14" t="inlineStr"/>
      <c r="I9" s="14" t="inlineStr">
        <is>
          <t>No</t>
        </is>
      </c>
      <c r="J9" s="14" t="inlineStr">
        <is>
          <t>Catalogo</t>
        </is>
      </c>
      <c r="K9" s="14" t="inlineStr">
        <is>
          <t>8+</t>
        </is>
      </c>
      <c r="L9" s="14" t="inlineStr">
        <is>
          <t>https://www.ippocampoedizioni.it/catalogo/tema/135</t>
        </is>
      </c>
      <c r="M9" s="16" t="n">
        <v>25</v>
      </c>
      <c r="N9" s="14" t="inlineStr">
        <is>
          <t>Catalogo L'Ippocampo Autunno 2026</t>
        </is>
      </c>
      <c r="O9" s="16">
        <f>IF(ISNUMBER(M9),ROUND(M9*(1-Condizioni!$B$2),2),"")</f>
        <v/>
      </c>
      <c r="P9" s="17" t="inlineStr">
        <is>
          <t>Sì</t>
        </is>
      </c>
    </row>
    <row r="10">
      <c r="A10" s="14" t="inlineStr">
        <is>
          <t>L'Ippocampo</t>
        </is>
      </c>
      <c r="B10" s="14" t="inlineStr">
        <is>
          <t>Il giardino segreto (ed. MinaLima)</t>
        </is>
      </c>
      <c r="C10" s="14" t="inlineStr">
        <is>
          <t>F. Hodgson Burnett</t>
        </is>
      </c>
      <c r="D10" s="14" t="inlineStr">
        <is>
          <t>Narrativa ragazzi</t>
        </is>
      </c>
      <c r="E10" s="14" t="inlineStr">
        <is>
          <t>dagli 8 anni</t>
        </is>
      </c>
      <c r="F10" s="14" t="inlineStr">
        <is>
          <t>8+</t>
        </is>
      </c>
      <c r="G10" s="14" t="inlineStr">
        <is>
          <t>Classico illustrato</t>
        </is>
      </c>
      <c r="H10" s="14" t="inlineStr"/>
      <c r="I10" s="14" t="inlineStr">
        <is>
          <t>No</t>
        </is>
      </c>
      <c r="J10" s="14" t="inlineStr">
        <is>
          <t>Catalogo</t>
        </is>
      </c>
      <c r="K10" s="14" t="inlineStr">
        <is>
          <t>8+</t>
        </is>
      </c>
      <c r="L10" s="14" t="inlineStr">
        <is>
          <t>https://www.ippocampoedizioni.it/catalogo/tema/107</t>
        </is>
      </c>
      <c r="M10" s="16" t="n">
        <v>29.9</v>
      </c>
      <c r="N10" s="14" t="inlineStr">
        <is>
          <t>Catalogo L'Ippocampo Autunno 2026</t>
        </is>
      </c>
      <c r="O10" s="16">
        <f>IF(ISNUMBER(M10),ROUND(M10*(1-Condizioni!$B$2),2),"")</f>
        <v/>
      </c>
      <c r="P10" s="17" t="inlineStr">
        <is>
          <t>Sì</t>
        </is>
      </c>
    </row>
    <row r="11">
      <c r="A11" s="14" t="inlineStr">
        <is>
          <t>L'Ippocampo</t>
        </is>
      </c>
      <c r="B11" s="14" t="inlineStr">
        <is>
          <t>Il giro del mondo in 80 giorni</t>
        </is>
      </c>
      <c r="C11" s="14" t="inlineStr">
        <is>
          <t>Jules Verne</t>
        </is>
      </c>
      <c r="D11" s="14" t="inlineStr">
        <is>
          <t>Narrativa ragazzi</t>
        </is>
      </c>
      <c r="E11" s="14" t="inlineStr">
        <is>
          <t>dagli 8 anni</t>
        </is>
      </c>
      <c r="F11" s="14" t="inlineStr">
        <is>
          <t>8+</t>
        </is>
      </c>
      <c r="G11" s="14" t="inlineStr">
        <is>
          <t>Avventura</t>
        </is>
      </c>
      <c r="H11" s="14" t="inlineStr"/>
      <c r="I11" s="14" t="inlineStr">
        <is>
          <t>No</t>
        </is>
      </c>
      <c r="J11" s="14" t="inlineStr">
        <is>
          <t>Catalogo</t>
        </is>
      </c>
      <c r="K11" s="14" t="inlineStr">
        <is>
          <t>8+, avventura, narrativa</t>
        </is>
      </c>
      <c r="L11" s="14" t="inlineStr">
        <is>
          <t>https://www.ippocampoedizioni.it/catalogo/tema/107</t>
        </is>
      </c>
      <c r="M11" s="16" t="n">
        <v>29.9</v>
      </c>
      <c r="N11" s="14" t="inlineStr">
        <is>
          <t>Catalogo L'Ippocampo Autunno 2026</t>
        </is>
      </c>
      <c r="O11" s="16">
        <f>IF(ISNUMBER(M11),ROUND(M11*(1-Condizioni!$B$2),2),"")</f>
        <v/>
      </c>
      <c r="P11" s="17" t="inlineStr">
        <is>
          <t>Sì</t>
        </is>
      </c>
    </row>
    <row r="12">
      <c r="A12" s="14" t="inlineStr">
        <is>
          <t>L'Ippocampo</t>
        </is>
      </c>
      <c r="B12" s="14" t="inlineStr">
        <is>
          <t>Il libro della giungla</t>
        </is>
      </c>
      <c r="C12" s="14" t="inlineStr">
        <is>
          <t>Rudyard Kipling</t>
        </is>
      </c>
      <c r="D12" s="14" t="inlineStr">
        <is>
          <t>Narrativa ragazzi</t>
        </is>
      </c>
      <c r="E12" s="14" t="inlineStr">
        <is>
          <t>dagli 8 anni</t>
        </is>
      </c>
      <c r="F12" s="14" t="inlineStr">
        <is>
          <t>8+</t>
        </is>
      </c>
      <c r="G12" s="14" t="inlineStr">
        <is>
          <t>Avventura</t>
        </is>
      </c>
      <c r="H12" s="14" t="inlineStr"/>
      <c r="I12" s="14" t="inlineStr">
        <is>
          <t>No</t>
        </is>
      </c>
      <c r="J12" s="14" t="inlineStr">
        <is>
          <t>Catalogo</t>
        </is>
      </c>
      <c r="K12" s="14" t="inlineStr">
        <is>
          <t>8+, avventura, narrativa</t>
        </is>
      </c>
      <c r="L12" s="14" t="inlineStr">
        <is>
          <t>https://www.ippocampoedizioni.it/catalogo/tema/107</t>
        </is>
      </c>
      <c r="M12" s="16" t="n">
        <v>29.9</v>
      </c>
      <c r="N12" s="14" t="inlineStr">
        <is>
          <t>Catalogo L'Ippocampo Autunno 2026</t>
        </is>
      </c>
      <c r="O12" s="16">
        <f>IF(ISNUMBER(M12),ROUND(M12*(1-Condizioni!$B$2),2),"")</f>
        <v/>
      </c>
      <c r="P12" s="17" t="inlineStr">
        <is>
          <t>Sì</t>
        </is>
      </c>
    </row>
    <row r="13">
      <c r="A13" s="14" t="inlineStr">
        <is>
          <t>L'Ippocampo</t>
        </is>
      </c>
      <c r="B13" s="14" t="inlineStr">
        <is>
          <t>Kidstory. La storia dell'umanità narrata dai ragazzi</t>
        </is>
      </c>
      <c r="C13" s="14" t="inlineStr">
        <is>
          <t>T. Weiss Gabbay, S. Fuman</t>
        </is>
      </c>
      <c r="D13" s="14" t="inlineStr">
        <is>
          <t>Scuole medie (tema del catalogo)</t>
        </is>
      </c>
      <c r="E13" s="14" t="inlineStr">
        <is>
          <t>dagli 8 anni</t>
        </is>
      </c>
      <c r="F13" s="14" t="inlineStr">
        <is>
          <t>8+</t>
        </is>
      </c>
      <c r="G13" s="14" t="inlineStr">
        <is>
          <t>Divulgazione/Saggio</t>
        </is>
      </c>
      <c r="H13" s="14" t="inlineStr"/>
      <c r="I13" s="14" t="inlineStr">
        <is>
          <t>No</t>
        </is>
      </c>
      <c r="J13" s="14" t="inlineStr">
        <is>
          <t>Catalogo</t>
        </is>
      </c>
      <c r="K13" s="14" t="inlineStr">
        <is>
          <t>8+</t>
        </is>
      </c>
      <c r="L13" s="14" t="inlineStr">
        <is>
          <t>https://www.ippocampoedizioni.it/catalogo/tema/135</t>
        </is>
      </c>
      <c r="M13" s="16" t="n">
        <v>19.9</v>
      </c>
      <c r="N13" s="14" t="inlineStr">
        <is>
          <t>Catalogo L'Ippocampo Autunno 2026</t>
        </is>
      </c>
      <c r="O13" s="16">
        <f>IF(ISNUMBER(M13),ROUND(M13*(1-Condizioni!$B$2),2),"")</f>
        <v/>
      </c>
      <c r="P13" s="17" t="inlineStr">
        <is>
          <t>Sì</t>
        </is>
      </c>
    </row>
    <row r="14">
      <c r="A14" s="14" t="inlineStr">
        <is>
          <t>L'Ippocampo</t>
        </is>
      </c>
      <c r="B14" s="14" t="inlineStr">
        <is>
          <t>Le tribolazioni del giovane Cosimo</t>
        </is>
      </c>
      <c r="C14" s="14" t="inlineStr">
        <is>
          <t>Marie Desplechin</t>
        </is>
      </c>
      <c r="D14" s="14" t="inlineStr">
        <is>
          <t>Scuole medie (tema del catalogo)</t>
        </is>
      </c>
      <c r="E14" s="14" t="inlineStr">
        <is>
          <t>dagli 8 anni</t>
        </is>
      </c>
      <c r="F14" s="14" t="inlineStr">
        <is>
          <t>8+</t>
        </is>
      </c>
      <c r="G14" s="14" t="inlineStr">
        <is>
          <t>Romanzo</t>
        </is>
      </c>
      <c r="H14" s="14" t="inlineStr"/>
      <c r="I14" s="14" t="inlineStr">
        <is>
          <t>No</t>
        </is>
      </c>
      <c r="J14" s="14" t="inlineStr">
        <is>
          <t>Catalogo</t>
        </is>
      </c>
      <c r="K14" s="14" t="inlineStr">
        <is>
          <t>8+, romanzo, narrativa</t>
        </is>
      </c>
      <c r="L14" s="14" t="inlineStr">
        <is>
          <t>https://www.ippocampoedizioni.it/catalogo/tema/135</t>
        </is>
      </c>
      <c r="M14" s="16" t="n">
        <v>19.9</v>
      </c>
      <c r="N14" s="14" t="inlineStr">
        <is>
          <t>Catalogo L'Ippocampo Autunno 2026</t>
        </is>
      </c>
      <c r="O14" s="16">
        <f>IF(ISNUMBER(M14),ROUND(M14*(1-Condizioni!$B$2),2),"")</f>
        <v/>
      </c>
      <c r="P14" s="17" t="inlineStr">
        <is>
          <t>Sì</t>
        </is>
      </c>
    </row>
    <row r="15">
      <c r="A15" s="14" t="inlineStr">
        <is>
          <t>L'Ippocampo</t>
        </is>
      </c>
      <c r="B15" s="14" t="inlineStr">
        <is>
          <t>Peter Pan (ed. MinaLima)</t>
        </is>
      </c>
      <c r="C15" s="14" t="inlineStr">
        <is>
          <t>J. M. Barrie</t>
        </is>
      </c>
      <c r="D15" s="14" t="inlineStr">
        <is>
          <t>Narrativa ragazzi</t>
        </is>
      </c>
      <c r="E15" s="14" t="inlineStr">
        <is>
          <t>dagli 8 anni</t>
        </is>
      </c>
      <c r="F15" s="14" t="inlineStr">
        <is>
          <t>8+</t>
        </is>
      </c>
      <c r="G15" s="14" t="inlineStr">
        <is>
          <t>Avventura</t>
        </is>
      </c>
      <c r="H15" s="14" t="inlineStr"/>
      <c r="I15" s="14" t="inlineStr">
        <is>
          <t>No</t>
        </is>
      </c>
      <c r="J15" s="14" t="inlineStr">
        <is>
          <t>Catalogo</t>
        </is>
      </c>
      <c r="K15" s="14" t="inlineStr">
        <is>
          <t>8+, avventura, narrativa</t>
        </is>
      </c>
      <c r="L15" s="14" t="inlineStr">
        <is>
          <t>https://www.ippocampoedizioni.it/catalogo/tema/107</t>
        </is>
      </c>
      <c r="M15" s="16" t="n">
        <v>29.9</v>
      </c>
      <c r="N15" s="14" t="inlineStr">
        <is>
          <t>Catalogo L'Ippocampo Autunno 2026</t>
        </is>
      </c>
      <c r="O15" s="16">
        <f>IF(ISNUMBER(M15),ROUND(M15*(1-Condizioni!$B$2),2),"")</f>
        <v/>
      </c>
      <c r="P15" s="17" t="inlineStr">
        <is>
          <t>Sì</t>
        </is>
      </c>
    </row>
    <row r="16">
      <c r="A16" s="14" t="inlineStr">
        <is>
          <t>L'Ippocampo</t>
        </is>
      </c>
      <c r="B16" s="14" t="inlineStr">
        <is>
          <t>Maldoror – I ragazzi della leggenda (trilogia)</t>
        </is>
      </c>
      <c r="C16" s="14" t="inlineStr">
        <is>
          <t>Philippe Lechermeier</t>
        </is>
      </c>
      <c r="D16" s="14" t="inlineStr">
        <is>
          <t>Narrativa ragazzi</t>
        </is>
      </c>
      <c r="E16" s="14" t="inlineStr">
        <is>
          <t>9-12 anni</t>
        </is>
      </c>
      <c r="F16" s="14" t="inlineStr">
        <is>
          <t>9+</t>
        </is>
      </c>
      <c r="G16" s="14" t="inlineStr">
        <is>
          <t>Romanzo</t>
        </is>
      </c>
      <c r="H16" s="14" t="inlineStr"/>
      <c r="I16" s="14" t="inlineStr">
        <is>
          <t>No</t>
        </is>
      </c>
      <c r="J16" s="14" t="inlineStr">
        <is>
          <t>Catalogo</t>
        </is>
      </c>
      <c r="K16" s="14" t="inlineStr">
        <is>
          <t>9+, romanzo, narrativa</t>
        </is>
      </c>
      <c r="L16" s="14" t="inlineStr">
        <is>
          <t>https://www.ippocampoedizioni.it/catalogo/tema/107</t>
        </is>
      </c>
      <c r="M16" s="16" t="n">
        <v>15.9</v>
      </c>
      <c r="N16" s="14" t="inlineStr">
        <is>
          <t>Catalogo L'Ippocampo Autunno 2026</t>
        </is>
      </c>
      <c r="O16" s="16">
        <f>IF(ISNUMBER(M16),ROUND(M16*(1-Condizioni!$B$2),2),"")</f>
        <v/>
      </c>
      <c r="P16" s="17" t="inlineStr">
        <is>
          <t>Sì</t>
        </is>
      </c>
    </row>
    <row r="17">
      <c r="A17" s="14" t="inlineStr">
        <is>
          <t>L'Ippocampo</t>
        </is>
      </c>
      <c r="B17" s="14" t="inlineStr">
        <is>
          <t>Sangue d'ontano – La volpe artica</t>
        </is>
      </c>
      <c r="C17" s="14" t="inlineStr">
        <is>
          <t>Léa Versand</t>
        </is>
      </c>
      <c r="D17" s="14" t="inlineStr">
        <is>
          <t>Narrativa ragazzi</t>
        </is>
      </c>
      <c r="E17" s="14" t="inlineStr">
        <is>
          <t>9-12 anni</t>
        </is>
      </c>
      <c r="F17" s="14" t="inlineStr">
        <is>
          <t>9+</t>
        </is>
      </c>
      <c r="G17" s="14" t="inlineStr">
        <is>
          <t>Romanzo</t>
        </is>
      </c>
      <c r="H17" s="14" t="inlineStr"/>
      <c r="I17" s="14" t="inlineStr">
        <is>
          <t>No</t>
        </is>
      </c>
      <c r="J17" s="14" t="inlineStr">
        <is>
          <t>Catalogo</t>
        </is>
      </c>
      <c r="K17" s="14" t="inlineStr">
        <is>
          <t>9+, romanzo, narrativa</t>
        </is>
      </c>
      <c r="L17" s="14" t="inlineStr">
        <is>
          <t>https://www.ippocampoedizioni.it/catalogo/tema/107</t>
        </is>
      </c>
      <c r="M17" s="16" t="n">
        <v>15.9</v>
      </c>
      <c r="N17" s="14" t="inlineStr">
        <is>
          <t>Catalogo L'Ippocampo Autunno 2026</t>
        </is>
      </c>
      <c r="O17" s="16">
        <f>IF(ISNUMBER(M17),ROUND(M17*(1-Condizioni!$B$2),2),"")</f>
        <v/>
      </c>
      <c r="P17" s="17" t="inlineStr">
        <is>
          <t>Sì</t>
        </is>
      </c>
    </row>
    <row r="18">
      <c r="A18" s="14" t="inlineStr">
        <is>
          <t>L'Ippocampo</t>
        </is>
      </c>
      <c r="B18" s="14" t="inlineStr">
        <is>
          <t>Atlante dei relitti</t>
        </is>
      </c>
      <c r="C18" s="14" t="inlineStr">
        <is>
          <t>Jo Arnold, Philip Harris</t>
        </is>
      </c>
      <c r="D18" s="14" t="inlineStr">
        <is>
          <t>Scuole medie (tema del catalogo)</t>
        </is>
      </c>
      <c r="E18" s="14" t="inlineStr">
        <is>
          <t>dagli 11 anni</t>
        </is>
      </c>
      <c r="F18" s="14" t="inlineStr">
        <is>
          <t>Scuola media (11-13)</t>
        </is>
      </c>
      <c r="G18" s="14" t="inlineStr">
        <is>
          <t>Divulgazione/Saggio</t>
        </is>
      </c>
      <c r="H18" s="14" t="inlineStr"/>
      <c r="I18" s="14" t="inlineStr">
        <is>
          <t>No</t>
        </is>
      </c>
      <c r="J18" s="14" t="inlineStr">
        <is>
          <t>Catalogo</t>
        </is>
      </c>
      <c r="K18" s="14" t="inlineStr">
        <is>
          <t>prima/seconda/terza media</t>
        </is>
      </c>
      <c r="L18" s="14" t="inlineStr">
        <is>
          <t>https://www.ippocampoedizioni.it/catalogo/tema/135</t>
        </is>
      </c>
      <c r="M18" s="16" t="n">
        <v>19.9</v>
      </c>
      <c r="N18" s="14" t="inlineStr">
        <is>
          <t>Catalogo L'Ippocampo Autunno 2026</t>
        </is>
      </c>
      <c r="O18" s="16">
        <f>IF(ISNUMBER(M18),ROUND(M18*(1-Condizioni!$B$2),2),"")</f>
        <v/>
      </c>
      <c r="P18" s="17" t="inlineStr">
        <is>
          <t>Sì</t>
        </is>
      </c>
    </row>
    <row r="19">
      <c r="A19" s="14" t="inlineStr">
        <is>
          <t>L'Ippocampo</t>
        </is>
      </c>
      <c r="B19" s="14" t="inlineStr">
        <is>
          <t>Enciclopedia del Meraviglioso (I draghi, Le streghe, I fantasmi...)</t>
        </is>
      </c>
      <c r="C19" s="14" t="inlineStr">
        <is>
          <t>Benjamin Lacombe e altri</t>
        </is>
      </c>
      <c r="D19" s="14" t="inlineStr">
        <is>
          <t>Scuole medie (tema del catalogo)</t>
        </is>
      </c>
      <c r="E19" s="14" t="inlineStr">
        <is>
          <t>sezione Scuole medie</t>
        </is>
      </c>
      <c r="F19" s="14" t="inlineStr">
        <is>
          <t>Scuola media (11-13)</t>
        </is>
      </c>
      <c r="G19" s="14" t="inlineStr">
        <is>
          <t>Divulgazione/Saggio</t>
        </is>
      </c>
      <c r="H19" s="14" t="inlineStr"/>
      <c r="I19" s="14" t="inlineStr">
        <is>
          <t>No</t>
        </is>
      </c>
      <c r="J19" s="14" t="inlineStr">
        <is>
          <t>Collana</t>
        </is>
      </c>
      <c r="K19" s="14" t="inlineStr">
        <is>
          <t>prima/seconda/terza media</t>
        </is>
      </c>
      <c r="L19" s="14" t="inlineStr">
        <is>
          <t>https://www.ippocampoedizioni.it/catalogo/tema/135</t>
        </is>
      </c>
      <c r="M19" s="16" t="n">
        <v>19.9</v>
      </c>
      <c r="N19" s="14" t="inlineStr">
        <is>
          <t>Catalogo L'Ippocampo Autunno 2026</t>
        </is>
      </c>
      <c r="O19" s="16">
        <f>IF(ISNUMBER(M19),ROUND(M19*(1-Condizioni!$B$2),2),"")</f>
        <v/>
      </c>
      <c r="P19" s="17" t="inlineStr">
        <is>
          <t>Sì</t>
        </is>
      </c>
    </row>
    <row r="20">
      <c r="A20" s="14" t="inlineStr">
        <is>
          <t>L'Ippocampo</t>
        </is>
      </c>
      <c r="B20" s="14" t="inlineStr">
        <is>
          <t>Le cronache dell'acero e del ciliegio (4 libri)</t>
        </is>
      </c>
      <c r="C20" s="14" t="inlineStr">
        <is>
          <t>Camille Monceaux</t>
        </is>
      </c>
      <c r="D20" s="14" t="inlineStr">
        <is>
          <t>Narrativa ragazzi</t>
        </is>
      </c>
      <c r="E20" s="14" t="inlineStr">
        <is>
          <t>dagli 11 anni</t>
        </is>
      </c>
      <c r="F20" s="14" t="inlineStr">
        <is>
          <t>Scuola media (11-13)</t>
        </is>
      </c>
      <c r="G20" s="14" t="inlineStr">
        <is>
          <t>Avventura</t>
        </is>
      </c>
      <c r="H20" s="14" t="inlineStr"/>
      <c r="I20" s="14" t="inlineStr">
        <is>
          <t>No</t>
        </is>
      </c>
      <c r="J20" s="14" t="inlineStr">
        <is>
          <t>Catalogo</t>
        </is>
      </c>
      <c r="K20" s="14" t="inlineStr">
        <is>
          <t>prima/seconda/terza media, avventura, narrativa</t>
        </is>
      </c>
      <c r="L20" s="14" t="inlineStr">
        <is>
          <t>https://www.ippocampoedizioni.it/catalogo/tema/107</t>
        </is>
      </c>
      <c r="M20" s="16" t="n">
        <v>15.9</v>
      </c>
      <c r="N20" s="14" t="inlineStr">
        <is>
          <t>Catalogo L'Ippocampo Autunno 2026</t>
        </is>
      </c>
      <c r="O20" s="16">
        <f>IF(ISNUMBER(M20),ROUND(M20*(1-Condizioni!$B$2),2),"")</f>
        <v/>
      </c>
      <c r="P20" s="17" t="inlineStr">
        <is>
          <t>Sì</t>
        </is>
      </c>
    </row>
    <row r="21">
      <c r="A21" s="14" t="inlineStr">
        <is>
          <t>L'Ippocampo</t>
        </is>
      </c>
      <c r="B21" s="14" t="inlineStr">
        <is>
          <t>Le streghe di Venezia (3 volumi)</t>
        </is>
      </c>
      <c r="C21" s="14" t="inlineStr">
        <is>
          <t>Sébastien Perez, Marco Mazzoni</t>
        </is>
      </c>
      <c r="D21" s="14" t="inlineStr">
        <is>
          <t>Narrativa ragazzi</t>
        </is>
      </c>
      <c r="E21" s="14" t="inlineStr">
        <is>
          <t>n.d. (sezione narrativa ragazzi)</t>
        </is>
      </c>
      <c r="F21" s="14" t="inlineStr">
        <is>
          <t>Scuola media (11-13)</t>
        </is>
      </c>
      <c r="G21" s="14" t="inlineStr">
        <is>
          <t>Romanzo</t>
        </is>
      </c>
      <c r="H21" s="14" t="inlineStr"/>
      <c r="I21" s="14" t="inlineStr">
        <is>
          <t>No</t>
        </is>
      </c>
      <c r="J21" s="14" t="inlineStr">
        <is>
          <t>Collana</t>
        </is>
      </c>
      <c r="K21" s="14" t="inlineStr">
        <is>
          <t>prima/seconda/terza media, romanzo, narrativa</t>
        </is>
      </c>
      <c r="L21" s="14" t="inlineStr">
        <is>
          <t>https://www.ippocampoedizioni.it/catalogo/tema/107</t>
        </is>
      </c>
      <c r="M21" s="16" t="n">
        <v>25</v>
      </c>
      <c r="N21" s="14" t="inlineStr">
        <is>
          <t>Catalogo L'Ippocampo Autunno 2026</t>
        </is>
      </c>
      <c r="O21" s="16">
        <f>IF(ISNUMBER(M21),ROUND(M21*(1-Condizioni!$B$2),2),"")</f>
        <v/>
      </c>
      <c r="P21" s="17" t="inlineStr">
        <is>
          <t>Sì</t>
        </is>
      </c>
    </row>
    <row r="22">
      <c r="A22" s="14" t="inlineStr">
        <is>
          <t>L'Ippocampo</t>
        </is>
      </c>
      <c r="B22" s="14" t="inlineStr">
        <is>
          <t>Terra rossa</t>
        </is>
      </c>
      <c r="C22" s="14" t="inlineStr">
        <is>
          <t>Jean-François Chabas</t>
        </is>
      </c>
      <c r="D22" s="14" t="inlineStr">
        <is>
          <t>Narrativa ragazzi</t>
        </is>
      </c>
      <c r="E22" s="14" t="inlineStr">
        <is>
          <t>dai 12 anni</t>
        </is>
      </c>
      <c r="F22" s="14" t="inlineStr">
        <is>
          <t>Scuola media (11-13)</t>
        </is>
      </c>
      <c r="G22" s="14" t="inlineStr">
        <is>
          <t>Romanzo</t>
        </is>
      </c>
      <c r="H22" s="14" t="inlineStr"/>
      <c r="I22" s="14" t="inlineStr">
        <is>
          <t>No</t>
        </is>
      </c>
      <c r="J22" s="14" t="inlineStr">
        <is>
          <t>Catalogo</t>
        </is>
      </c>
      <c r="K22" s="14" t="inlineStr">
        <is>
          <t>prima/seconda/terza media, romanzo, narrativa</t>
        </is>
      </c>
      <c r="L22" s="14" t="inlineStr">
        <is>
          <t>https://www.ippocampoedizioni.it/catalogo/tema/107</t>
        </is>
      </c>
      <c r="M22" s="16" t="n">
        <v>15.9</v>
      </c>
      <c r="N22" s="14" t="inlineStr">
        <is>
          <t>Catalogo L'Ippocampo Autunno 2026</t>
        </is>
      </c>
      <c r="O22" s="16">
        <f>IF(ISNUMBER(M22),ROUND(M22*(1-Condizioni!$B$2),2),"")</f>
        <v/>
      </c>
      <c r="P22" s="17" t="inlineStr">
        <is>
          <t>Sì</t>
        </is>
      </c>
    </row>
  </sheetData>
  <autoFilter ref="A1:P2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P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Neo Edizioni</t>
        </is>
      </c>
      <c r="B2" s="14" t="inlineStr">
        <is>
          <t>GAP – Grottesco Adolescenziale Periferico</t>
        </is>
      </c>
      <c r="C2" s="14" t="inlineStr">
        <is>
          <t>Placido Di Stefano</t>
        </is>
      </c>
      <c r="D2" s="14" t="inlineStr">
        <is>
          <t>Dry / narrativa</t>
        </is>
      </c>
      <c r="E2" s="14" t="inlineStr">
        <is>
          <t>adulti (tema adolescenza)</t>
        </is>
      </c>
      <c r="F2" s="14" t="inlineStr">
        <is>
          <t>Adolescenza (14+)</t>
        </is>
      </c>
      <c r="G2" s="14" t="inlineStr">
        <is>
          <t>Romanzo</t>
        </is>
      </c>
      <c r="H2" s="14" t="inlineStr">
        <is>
          <t>Adolescenza ai margini</t>
        </is>
      </c>
      <c r="I2" s="14" t="inlineStr">
        <is>
          <t>No</t>
        </is>
      </c>
      <c r="J2" s="15" t="inlineStr">
        <is>
          <t>Da verificare</t>
        </is>
      </c>
      <c r="K2" s="14" t="inlineStr">
        <is>
          <t>adolescenza, romanzo, narrativa</t>
        </is>
      </c>
      <c r="L2" s="14" t="inlineStr">
        <is>
          <t>https://www.neoedizioni.it/neo/</t>
        </is>
      </c>
      <c r="M2" s="19" t="n"/>
      <c r="N2" s="14" t="inlineStr"/>
      <c r="O2" s="16">
        <f>IF(ISNUMBER(M2),ROUND(M2*(1-Condizioni!$B$2),2),"")</f>
        <v/>
      </c>
      <c r="P2" s="17" t="inlineStr">
        <is>
          <t>Sì</t>
        </is>
      </c>
    </row>
    <row r="3">
      <c r="A3" s="14" t="inlineStr">
        <is>
          <t>Neo Edizioni</t>
        </is>
      </c>
      <c r="B3" s="14" t="inlineStr">
        <is>
          <t>Catalogo: collane Iena, Dry, Potlach, Intimate, i Nei, Cromo</t>
        </is>
      </c>
      <c r="C3" s="14" t="inlineStr">
        <is>
          <t>—</t>
        </is>
      </c>
      <c r="D3" s="14" t="inlineStr">
        <is>
          <t>Catalogo</t>
        </is>
      </c>
      <c r="E3" s="14" t="inlineStr">
        <is>
          <t>adulti</t>
        </is>
      </c>
      <c r="F3" s="14" t="inlineStr">
        <is>
          <t>n.d. / tutte le età</t>
        </is>
      </c>
      <c r="G3" s="14" t="inlineStr">
        <is>
          <t>—</t>
        </is>
      </c>
      <c r="H3" s="14" t="inlineStr"/>
      <c r="I3" s="14" t="inlineStr">
        <is>
          <t>No</t>
        </is>
      </c>
      <c r="J3" s="14" t="inlineStr">
        <is>
          <t>Catalogo</t>
        </is>
      </c>
      <c r="K3" s="14" t="inlineStr"/>
      <c r="L3" s="14" t="inlineStr">
        <is>
          <t>https://www.neoedizioni.it/neo/categoria-prodotto/catalogo/</t>
        </is>
      </c>
      <c r="M3" s="19" t="n"/>
      <c r="N3" s="14" t="inlineStr"/>
      <c r="O3" s="16">
        <f>IF(ISNUMBER(M3),ROUND(M3*(1-Condizioni!$B$2),2),"")</f>
        <v/>
      </c>
      <c r="P3" s="17" t="inlineStr">
        <is>
          <t>Sì</t>
        </is>
      </c>
    </row>
  </sheetData>
  <autoFilter ref="A1:P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P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Tetra Edizioni</t>
        </is>
      </c>
      <c r="B2" s="14" t="inlineStr">
        <is>
          <t>Catalogo di narrativa contemporanea per adulti (nessun titolo per ragazzi)</t>
        </is>
      </c>
      <c r="C2" s="14" t="inlineStr">
        <is>
          <t>—</t>
        </is>
      </c>
      <c r="D2" s="14" t="inlineStr">
        <is>
          <t>Narrativa</t>
        </is>
      </c>
      <c r="E2" s="14" t="inlineStr">
        <is>
          <t>adulti</t>
        </is>
      </c>
      <c r="F2" s="14" t="inlineStr">
        <is>
          <t>n.d. / tutte le età</t>
        </is>
      </c>
      <c r="G2" s="14" t="inlineStr">
        <is>
          <t>Narrativa</t>
        </is>
      </c>
      <c r="H2" s="14" t="inlineStr"/>
      <c r="I2" s="14" t="inlineStr">
        <is>
          <t>No</t>
        </is>
      </c>
      <c r="J2" s="14" t="inlineStr">
        <is>
          <t>Catalogo</t>
        </is>
      </c>
      <c r="K2" s="14" t="inlineStr">
        <is>
          <t>narrativa</t>
        </is>
      </c>
      <c r="L2" s="14" t="inlineStr">
        <is>
          <t>https://www.tetraedizioni.com/</t>
        </is>
      </c>
      <c r="M2" s="19" t="n"/>
      <c r="N2" s="14" t="inlineStr"/>
      <c r="O2" s="16">
        <f>IF(ISNUMBER(M2),ROUND(M2*(1-Condizioni!$B$2),2),"")</f>
        <v/>
      </c>
      <c r="P2" s="17" t="inlineStr">
        <is>
          <t>Sì</t>
        </is>
      </c>
    </row>
  </sheetData>
  <autoFilter ref="A1:P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P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effequ</t>
        </is>
      </c>
      <c r="B2" s="14" t="inlineStr">
        <is>
          <t>VIETATO</t>
        </is>
      </c>
      <c r="C2" s="14" t="inlineStr">
        <is>
          <t>Simone Tempia; ill. Marianna Balducci</t>
        </is>
      </c>
      <c r="D2" s="14" t="inlineStr">
        <is>
          <t>Scatoline</t>
        </is>
      </c>
      <c r="E2" s="14" t="inlineStr">
        <is>
          <t>da 5 anni</t>
        </is>
      </c>
      <c r="F2" s="14" t="inlineStr">
        <is>
          <t>3-6 anni</t>
        </is>
      </c>
      <c r="G2" s="14" t="inlineStr">
        <is>
          <t>Divulgazione/Saggio</t>
        </is>
      </c>
      <c r="H2" s="14" t="inlineStr">
        <is>
          <t>Regole e limiti</t>
        </is>
      </c>
      <c r="I2" s="14" t="inlineStr">
        <is>
          <t>No</t>
        </is>
      </c>
      <c r="J2" s="14" t="inlineStr">
        <is>
          <t>Catalogo</t>
        </is>
      </c>
      <c r="K2" s="14" t="inlineStr">
        <is>
          <t>3-6 anni</t>
        </is>
      </c>
      <c r="L2" s="14" t="inlineStr">
        <is>
          <t>https://www.effequ.it/</t>
        </is>
      </c>
      <c r="M2" s="16" t="n">
        <v>6</v>
      </c>
      <c r="N2" s="14" t="inlineStr">
        <is>
          <t>https://www.effequ.it/</t>
        </is>
      </c>
      <c r="O2" s="16">
        <f>IF(ISNUMBER(M2),ROUND(M2*(1-Condizioni!$B$2),2),"")</f>
        <v/>
      </c>
      <c r="P2" s="17" t="inlineStr">
        <is>
          <t>Sì</t>
        </is>
      </c>
    </row>
    <row r="3">
      <c r="A3" s="14" t="inlineStr">
        <is>
          <t>effequ</t>
        </is>
      </c>
      <c r="B3" s="14" t="inlineStr">
        <is>
          <t>WEB</t>
        </is>
      </c>
      <c r="C3" s="14" t="inlineStr">
        <is>
          <t>Antonio Pavolini; ill. Nicola Giorgio</t>
        </is>
      </c>
      <c r="D3" s="14" t="inlineStr">
        <is>
          <t>Scatoline</t>
        </is>
      </c>
      <c r="E3" s="14" t="inlineStr">
        <is>
          <t>da 5 anni</t>
        </is>
      </c>
      <c r="F3" s="14" t="inlineStr">
        <is>
          <t>3-6 anni</t>
        </is>
      </c>
      <c r="G3" s="14" t="inlineStr">
        <is>
          <t>Divulgazione/Saggio</t>
        </is>
      </c>
      <c r="H3" s="14" t="inlineStr">
        <is>
          <t>Uso consapevole di internet</t>
        </is>
      </c>
      <c r="I3" s="14" t="inlineStr">
        <is>
          <t>No</t>
        </is>
      </c>
      <c r="J3" s="14" t="inlineStr">
        <is>
          <t>Catalogo</t>
        </is>
      </c>
      <c r="K3" s="14" t="inlineStr">
        <is>
          <t>3-6 anni</t>
        </is>
      </c>
      <c r="L3" s="14" t="inlineStr">
        <is>
          <t>https://www.effequ.it/</t>
        </is>
      </c>
      <c r="M3" s="16" t="n">
        <v>6</v>
      </c>
      <c r="N3" s="14" t="inlineStr">
        <is>
          <t>https://www.effequ.it/</t>
        </is>
      </c>
      <c r="O3" s="16">
        <f>IF(ISNUMBER(M3),ROUND(M3*(1-Condizioni!$B$2),2),"")</f>
        <v/>
      </c>
      <c r="P3" s="17" t="inlineStr">
        <is>
          <t>Sì</t>
        </is>
      </c>
    </row>
    <row r="4">
      <c r="A4" s="14" t="inlineStr">
        <is>
          <t>effequ</t>
        </is>
      </c>
      <c r="B4" s="14" t="inlineStr">
        <is>
          <t>XY</t>
        </is>
      </c>
      <c r="C4" s="14" t="inlineStr">
        <is>
          <t>Lù Casini; ill. Caterina Di Paolo</t>
        </is>
      </c>
      <c r="D4" s="14" t="inlineStr">
        <is>
          <t>Scatoline</t>
        </is>
      </c>
      <c r="E4" s="14" t="inlineStr">
        <is>
          <t>da 5 anni</t>
        </is>
      </c>
      <c r="F4" s="14" t="inlineStr">
        <is>
          <t>3-6 anni</t>
        </is>
      </c>
      <c r="G4" s="14" t="inlineStr">
        <is>
          <t>Divulgazione/Saggio</t>
        </is>
      </c>
      <c r="H4" s="14" t="inlineStr">
        <is>
          <t>Identità e corpo</t>
        </is>
      </c>
      <c r="I4" s="14" t="inlineStr">
        <is>
          <t>No</t>
        </is>
      </c>
      <c r="J4" s="14" t="inlineStr">
        <is>
          <t>Catalogo</t>
        </is>
      </c>
      <c r="K4" s="14" t="inlineStr">
        <is>
          <t>3-6 anni</t>
        </is>
      </c>
      <c r="L4" s="14" t="inlineStr">
        <is>
          <t>https://www.effequ.it/</t>
        </is>
      </c>
      <c r="M4" s="16" t="n">
        <v>6</v>
      </c>
      <c r="N4" s="14" t="inlineStr">
        <is>
          <t>https://www.effequ.it/</t>
        </is>
      </c>
      <c r="O4" s="16">
        <f>IF(ISNUMBER(M4),ROUND(M4*(1-Condizioni!$B$2),2),"")</f>
        <v/>
      </c>
      <c r="P4" s="17" t="inlineStr">
        <is>
          <t>Sì</t>
        </is>
      </c>
    </row>
    <row r="5">
      <c r="A5" s="14" t="inlineStr">
        <is>
          <t>effequ</t>
        </is>
      </c>
      <c r="B5" s="14" t="inlineStr">
        <is>
          <t>ZAMPA</t>
        </is>
      </c>
      <c r="C5" s="14" t="inlineStr">
        <is>
          <t>Francesca Matteoni; ill. Prisca Milanese</t>
        </is>
      </c>
      <c r="D5" s="14" t="inlineStr">
        <is>
          <t>Scatoline</t>
        </is>
      </c>
      <c r="E5" s="14" t="inlineStr">
        <is>
          <t>da 5 anni</t>
        </is>
      </c>
      <c r="F5" s="14" t="inlineStr">
        <is>
          <t>3-6 anni</t>
        </is>
      </c>
      <c r="G5" s="14" t="inlineStr">
        <is>
          <t>Divulgazione/Saggio</t>
        </is>
      </c>
      <c r="H5" s="14" t="inlineStr">
        <is>
          <t>Natura e relazioni tra esseri viventi</t>
        </is>
      </c>
      <c r="I5" s="14" t="inlineStr">
        <is>
          <t>No</t>
        </is>
      </c>
      <c r="J5" s="14" t="inlineStr">
        <is>
          <t>Catalogo</t>
        </is>
      </c>
      <c r="K5" s="14" t="inlineStr">
        <is>
          <t>3-6 anni</t>
        </is>
      </c>
      <c r="L5" s="14" t="inlineStr">
        <is>
          <t>https://www.effequ.it/</t>
        </is>
      </c>
      <c r="M5" s="16" t="n">
        <v>6</v>
      </c>
      <c r="N5" s="14" t="inlineStr">
        <is>
          <t>https://www.effequ.it/</t>
        </is>
      </c>
      <c r="O5" s="16">
        <f>IF(ISNUMBER(M5),ROUND(M5*(1-Condizioni!$B$2),2),"")</f>
        <v/>
      </c>
      <c r="P5" s="17" t="inlineStr">
        <is>
          <t>Sì</t>
        </is>
      </c>
    </row>
    <row r="6">
      <c r="A6" s="14" t="inlineStr">
        <is>
          <t>effequ</t>
        </is>
      </c>
      <c r="B6" s="14" t="inlineStr">
        <is>
          <t>Collana Rondini (narrativa) – es. Minerva, Come si smette di avere una faccia</t>
        </is>
      </c>
      <c r="C6" s="14" t="inlineStr">
        <is>
          <t>vari</t>
        </is>
      </c>
      <c r="D6" s="14" t="inlineStr">
        <is>
          <t>Rondini</t>
        </is>
      </c>
      <c r="E6" s="14" t="inlineStr">
        <is>
          <t>adulti</t>
        </is>
      </c>
      <c r="F6" s="14" t="inlineStr">
        <is>
          <t>n.d. / tutte le età</t>
        </is>
      </c>
      <c r="G6" s="14" t="inlineStr">
        <is>
          <t>Narrativa</t>
        </is>
      </c>
      <c r="H6" s="14" t="inlineStr"/>
      <c r="I6" s="14" t="inlineStr">
        <is>
          <t>No</t>
        </is>
      </c>
      <c r="J6" s="14" t="inlineStr">
        <is>
          <t>Catalogo</t>
        </is>
      </c>
      <c r="K6" s="14" t="inlineStr">
        <is>
          <t>narrativa</t>
        </is>
      </c>
      <c r="L6" s="14" t="inlineStr">
        <is>
          <t>https://www.effequ.it/</t>
        </is>
      </c>
      <c r="M6" s="19" t="n"/>
      <c r="N6" s="14" t="inlineStr"/>
      <c r="O6" s="16">
        <f>IF(ISNUMBER(M6),ROUND(M6*(1-Condizioni!$B$2),2),"")</f>
        <v/>
      </c>
      <c r="P6" s="17" t="inlineStr">
        <is>
          <t>Sì</t>
        </is>
      </c>
    </row>
  </sheetData>
  <autoFilter ref="A1:P6"/>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P2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2" customWidth="1" min="2" max="2"/>
    <col width="34" customWidth="1" min="3" max="3"/>
    <col width="28" customWidth="1" min="4" max="4"/>
    <col width="26" customWidth="1" min="5" max="5"/>
    <col width="22" customWidth="1" min="6" max="6"/>
    <col width="22" customWidth="1" min="7" max="7"/>
    <col width="40" customWidth="1" min="8" max="8"/>
    <col width="12" customWidth="1" min="9" max="9"/>
    <col width="16" customWidth="1" min="10" max="10"/>
    <col width="34" customWidth="1" min="11" max="11"/>
    <col width="55" customWidth="1" min="12" max="12"/>
    <col width="14" customWidth="1" min="13" max="13"/>
    <col width="40" customWidth="1" min="14" max="14"/>
    <col width="16" customWidth="1" min="15" max="15"/>
    <col width="12" customWidth="1" min="16" max="16"/>
  </cols>
  <sheetData>
    <row r="1" ht="32" customHeight="1">
      <c r="A1" s="13" t="inlineStr">
        <is>
          <t>Casa editrice</t>
        </is>
      </c>
      <c r="B1" s="13" t="inlineStr">
        <is>
          <t>Titolo</t>
        </is>
      </c>
      <c r="C1" s="13" t="inlineStr">
        <is>
          <t>Autori / a cura di</t>
        </is>
      </c>
      <c r="D1" s="13" t="inlineStr">
        <is>
          <t>Collana</t>
        </is>
      </c>
      <c r="E1" s="13" t="inlineStr">
        <is>
          <t>Età (come indicata in catalogo)</t>
        </is>
      </c>
      <c r="F1" s="13" t="inlineStr">
        <is>
          <t>Fascia (categoria)</t>
        </is>
      </c>
      <c r="G1" s="13" t="inlineStr">
        <is>
          <t>Genere</t>
        </is>
      </c>
      <c r="H1" s="13" t="inlineStr">
        <is>
          <t>Tema sociale</t>
        </is>
      </c>
      <c r="I1" s="13" t="inlineStr">
        <is>
          <t>In CAA / simboli</t>
        </is>
      </c>
      <c r="J1" s="13" t="inlineStr">
        <is>
          <t>Affidabilità dell'età</t>
        </is>
      </c>
      <c r="K1" s="13" t="inlineStr">
        <is>
          <t>Etichette categorie richieste</t>
        </is>
      </c>
      <c r="L1" s="13" t="inlineStr">
        <is>
          <t>Fonte (URL)</t>
        </is>
      </c>
      <c r="M1" s="13" t="inlineStr">
        <is>
          <t>Prezzo copertina (€)</t>
        </is>
      </c>
      <c r="N1" s="13" t="inlineStr">
        <is>
          <t>Fonte prezzo</t>
        </is>
      </c>
      <c r="O1" s="13" t="inlineStr">
        <is>
          <t>Prezzo netto a libreria (€)</t>
        </is>
      </c>
      <c r="P1" s="13" t="inlineStr">
        <is>
          <t>Nel flipbook</t>
        </is>
      </c>
    </row>
    <row r="2">
      <c r="A2" s="14" t="inlineStr">
        <is>
          <t>BeccoGiallo</t>
        </is>
      </c>
      <c r="B2" s="14" t="inlineStr">
        <is>
          <t>Il bullismo spiegato ai bambini</t>
        </is>
      </c>
      <c r="C2" s="14" t="inlineStr">
        <is>
          <t>Andrea Laprovitera e Mirti</t>
        </is>
      </c>
      <c r="D2" s="14" t="inlineStr">
        <is>
          <t>CriticalKids</t>
        </is>
      </c>
      <c r="E2" s="14" t="inlineStr">
        <is>
          <t>da 5 anni</t>
        </is>
      </c>
      <c r="F2" s="14" t="inlineStr">
        <is>
          <t>3-6 anni</t>
        </is>
      </c>
      <c r="G2" s="14" t="inlineStr">
        <is>
          <t>Albo illustrato</t>
        </is>
      </c>
      <c r="H2" s="14" t="inlineStr">
        <is>
          <t>Bullismo e amicizia</t>
        </is>
      </c>
      <c r="I2" s="14" t="inlineStr">
        <is>
          <t>No</t>
        </is>
      </c>
      <c r="J2" s="14" t="inlineStr">
        <is>
          <t>Catalogo</t>
        </is>
      </c>
      <c r="K2" s="14" t="inlineStr">
        <is>
          <t>3-6 anni, bullismo</t>
        </is>
      </c>
      <c r="L2" s="14" t="inlineStr">
        <is>
          <t>https://www.beccogiallo.it/prodotto/il-bullismo-spiegato-ai-bambini/</t>
        </is>
      </c>
      <c r="M2" s="16" t="n">
        <v>14</v>
      </c>
      <c r="N2" s="14" t="inlineStr">
        <is>
          <t>https://www.beccogiallo.it/negozio/kids/criticalkids/il-bullismo-spiegato-ai-bambini/</t>
        </is>
      </c>
      <c r="O2" s="16">
        <f>IF(ISNUMBER(M2),ROUND(M2*(1-Condizioni!$B$2),2),"")</f>
        <v/>
      </c>
      <c r="P2" s="17" t="inlineStr">
        <is>
          <t>Sì</t>
        </is>
      </c>
    </row>
    <row r="3">
      <c r="A3" s="14" t="inlineStr">
        <is>
          <t>BeccoGiallo</t>
        </is>
      </c>
      <c r="B3" s="14" t="inlineStr">
        <is>
          <t>Il razzismo spiegato ai bambini</t>
        </is>
      </c>
      <c r="C3" s="14" t="inlineStr">
        <is>
          <t>Mattia Ferri, Roberta Taboni e Marco Bonatti</t>
        </is>
      </c>
      <c r="D3" s="14" t="inlineStr">
        <is>
          <t>Kids / CriticalKids</t>
        </is>
      </c>
      <c r="E3" s="14" t="inlineStr">
        <is>
          <t>da 5 anni</t>
        </is>
      </c>
      <c r="F3" s="14" t="inlineStr">
        <is>
          <t>3-6 anni</t>
        </is>
      </c>
      <c r="G3" s="14" t="inlineStr">
        <is>
          <t>Divulgazione/Saggio</t>
        </is>
      </c>
      <c r="H3" s="14" t="inlineStr">
        <is>
          <t>Razzismo e pregiudizio</t>
        </is>
      </c>
      <c r="I3" s="14" t="inlineStr">
        <is>
          <t>No</t>
        </is>
      </c>
      <c r="J3" s="14" t="inlineStr">
        <is>
          <t>Collana</t>
        </is>
      </c>
      <c r="K3" s="14" t="inlineStr">
        <is>
          <t>3-6 anni</t>
        </is>
      </c>
      <c r="L3" s="14" t="inlineStr">
        <is>
          <t>https://www.beccogiallo.it/categoria-prodotto/kids/criticalkids/</t>
        </is>
      </c>
      <c r="M3" s="16" t="n">
        <v>14</v>
      </c>
      <c r="N3" s="14" t="inlineStr">
        <is>
          <t>Sito BeccoGiallo (prezzo di listino)</t>
        </is>
      </c>
      <c r="O3" s="16">
        <f>IF(ISNUMBER(M3),ROUND(M3*(1-Condizioni!$B$2),2),"")</f>
        <v/>
      </c>
      <c r="P3" s="17" t="inlineStr">
        <is>
          <t>Sì</t>
        </is>
      </c>
    </row>
    <row r="4">
      <c r="A4" s="14" t="inlineStr">
        <is>
          <t>BeccoGiallo</t>
        </is>
      </c>
      <c r="B4" s="14" t="inlineStr">
        <is>
          <t>La Shoah spiegata alle bambine e ai bambini</t>
        </is>
      </c>
      <c r="C4" s="14" t="inlineStr">
        <is>
          <t>Paolo Valentini e Chiara Abastanotti</t>
        </is>
      </c>
      <c r="D4" s="14" t="inlineStr">
        <is>
          <t>Kids / CriticalKids</t>
        </is>
      </c>
      <c r="E4" s="14" t="inlineStr">
        <is>
          <t>da 5 anni</t>
        </is>
      </c>
      <c r="F4" s="14" t="inlineStr">
        <is>
          <t>3-6 anni</t>
        </is>
      </c>
      <c r="G4" s="14" t="inlineStr">
        <is>
          <t>Divulgazione/Saggio</t>
        </is>
      </c>
      <c r="H4" s="14" t="inlineStr">
        <is>
          <t>Memoria della Shoah</t>
        </is>
      </c>
      <c r="I4" s="14" t="inlineStr">
        <is>
          <t>No</t>
        </is>
      </c>
      <c r="J4" s="14" t="inlineStr">
        <is>
          <t>Catalogo</t>
        </is>
      </c>
      <c r="K4" s="14" t="inlineStr">
        <is>
          <t>3-6 anni</t>
        </is>
      </c>
      <c r="L4" s="14" t="inlineStr">
        <is>
          <t>https://www.beccogiallo.it/categoria-prodotto/kids/</t>
        </is>
      </c>
      <c r="M4" s="16" t="n">
        <v>16</v>
      </c>
      <c r="N4" s="14" t="inlineStr">
        <is>
          <t>Sito BeccoGiallo (prezzo di listino)</t>
        </is>
      </c>
      <c r="O4" s="16">
        <f>IF(ISNUMBER(M4),ROUND(M4*(1-Condizioni!$B$2),2),"")</f>
        <v/>
      </c>
      <c r="P4" s="17" t="inlineStr">
        <is>
          <t>Sì</t>
        </is>
      </c>
    </row>
    <row r="5">
      <c r="A5" s="14" t="inlineStr">
        <is>
          <t>BeccoGiallo</t>
        </is>
      </c>
      <c r="B5" s="14" t="inlineStr">
        <is>
          <t>La biodiversità spiegata alle bambine e ai bambini</t>
        </is>
      </c>
      <c r="C5" s="14" t="inlineStr">
        <is>
          <t>(vedi scheda)</t>
        </is>
      </c>
      <c r="D5" s="14" t="inlineStr">
        <is>
          <t>Kids / CriticalKids</t>
        </is>
      </c>
      <c r="E5" s="14" t="inlineStr">
        <is>
          <t>da 5 anni</t>
        </is>
      </c>
      <c r="F5" s="14" t="inlineStr">
        <is>
          <t>3-6 anni</t>
        </is>
      </c>
      <c r="G5" s="14" t="inlineStr">
        <is>
          <t>Divulgazione/Saggio</t>
        </is>
      </c>
      <c r="H5" s="14" t="inlineStr">
        <is>
          <t>Ambiente e biodiversità</t>
        </is>
      </c>
      <c r="I5" s="14" t="inlineStr">
        <is>
          <t>No</t>
        </is>
      </c>
      <c r="J5" s="14" t="inlineStr">
        <is>
          <t>Collana</t>
        </is>
      </c>
      <c r="K5" s="14" t="inlineStr">
        <is>
          <t>3-6 anni</t>
        </is>
      </c>
      <c r="L5" s="14" t="inlineStr">
        <is>
          <t>https://www.beccogiallo.it/categoria-prodotto/kids/criticalkids/</t>
        </is>
      </c>
      <c r="M5" s="16" t="n">
        <v>15</v>
      </c>
      <c r="N5" s="14" t="inlineStr">
        <is>
          <t>Sito BeccoGiallo (prezzo di listino)</t>
        </is>
      </c>
      <c r="O5" s="16">
        <f>IF(ISNUMBER(M5),ROUND(M5*(1-Condizioni!$B$2),2),"")</f>
        <v/>
      </c>
      <c r="P5" s="17" t="inlineStr">
        <is>
          <t>Sì</t>
        </is>
      </c>
    </row>
    <row r="6">
      <c r="A6" s="14" t="inlineStr">
        <is>
          <t>BeccoGiallo</t>
        </is>
      </c>
      <c r="B6" s="14" t="inlineStr">
        <is>
          <t>La sessualità spiegata ai bambini e alle bambine di ieri, oggi e domani</t>
        </is>
      </c>
      <c r="C6" s="14" t="inlineStr">
        <is>
          <t>Chiara Gregori e Juls Criveller</t>
        </is>
      </c>
      <c r="D6" s="14" t="inlineStr">
        <is>
          <t>Kids / CriticalKids</t>
        </is>
      </c>
      <c r="E6" s="14" t="inlineStr">
        <is>
          <t>da 5 anni</t>
        </is>
      </c>
      <c r="F6" s="14" t="inlineStr">
        <is>
          <t>3-6 anni</t>
        </is>
      </c>
      <c r="G6" s="14" t="inlineStr">
        <is>
          <t>Divulgazione/Saggio</t>
        </is>
      </c>
      <c r="H6" s="14" t="inlineStr">
        <is>
          <t>Educazione sessuale e affettiva</t>
        </is>
      </c>
      <c r="I6" s="14" t="inlineStr">
        <is>
          <t>No</t>
        </is>
      </c>
      <c r="J6" s="14" t="inlineStr">
        <is>
          <t>Catalogo</t>
        </is>
      </c>
      <c r="K6" s="14" t="inlineStr">
        <is>
          <t>3-6 anni</t>
        </is>
      </c>
      <c r="L6" s="14" t="inlineStr">
        <is>
          <t>https://www.beccogiallo.it/categoria-prodotto/kids/</t>
        </is>
      </c>
      <c r="M6" s="16" t="n">
        <v>16</v>
      </c>
      <c r="N6" s="14" t="inlineStr">
        <is>
          <t>Sito BeccoGiallo (prezzo di listino)</t>
        </is>
      </c>
      <c r="O6" s="16">
        <f>IF(ISNUMBER(M6),ROUND(M6*(1-Condizioni!$B$2),2),"")</f>
        <v/>
      </c>
      <c r="P6" s="17" t="inlineStr">
        <is>
          <t>Sì</t>
        </is>
      </c>
    </row>
    <row r="7">
      <c r="A7" s="14" t="inlineStr">
        <is>
          <t>BeccoGiallo</t>
        </is>
      </c>
      <c r="B7" s="14" t="inlineStr">
        <is>
          <t>L’Europa spiegata alle bambine e ai bambini</t>
        </is>
      </c>
      <c r="C7" s="14" t="inlineStr">
        <is>
          <t>Francesca Parmigiani e Shu Garbuglia</t>
        </is>
      </c>
      <c r="D7" s="14" t="inlineStr">
        <is>
          <t>Kids / CriticalKids</t>
        </is>
      </c>
      <c r="E7" s="14" t="inlineStr">
        <is>
          <t>da 5 anni</t>
        </is>
      </c>
      <c r="F7" s="14" t="inlineStr">
        <is>
          <t>3-6 anni</t>
        </is>
      </c>
      <c r="G7" s="14" t="inlineStr">
        <is>
          <t>Divulgazione/Saggio</t>
        </is>
      </c>
      <c r="H7" s="14" t="inlineStr">
        <is>
          <t>Europa, pace e cittadinanza</t>
        </is>
      </c>
      <c r="I7" s="14" t="inlineStr">
        <is>
          <t>No</t>
        </is>
      </c>
      <c r="J7" s="14" t="inlineStr">
        <is>
          <t>Collana</t>
        </is>
      </c>
      <c r="K7" s="14" t="inlineStr">
        <is>
          <t>3-6 anni</t>
        </is>
      </c>
      <c r="L7" s="14" t="inlineStr">
        <is>
          <t>https://www.beccogiallo.it/categoria-prodotto/kids/criticalkids/</t>
        </is>
      </c>
      <c r="M7" s="16" t="n">
        <v>15</v>
      </c>
      <c r="N7" s="14" t="inlineStr">
        <is>
          <t>Sito BeccoGiallo (prezzo di listino)</t>
        </is>
      </c>
      <c r="O7" s="16">
        <f>IF(ISNUMBER(M7),ROUND(M7*(1-Condizioni!$B$2),2),"")</f>
        <v/>
      </c>
      <c r="P7" s="17" t="inlineStr">
        <is>
          <t>Sì</t>
        </is>
      </c>
    </row>
    <row r="8">
      <c r="A8" s="14" t="inlineStr">
        <is>
          <t>BeccoGiallo</t>
        </is>
      </c>
      <c r="B8" s="14" t="inlineStr">
        <is>
          <t>L’immigrazione spiegata ai bambini</t>
        </is>
      </c>
      <c r="C8" s="14" t="inlineStr">
        <is>
          <t>Marco Rizzo; ill. Lelio Bonaccorso</t>
        </is>
      </c>
      <c r="D8" s="14" t="inlineStr">
        <is>
          <t>Kids / CriticalKids</t>
        </is>
      </c>
      <c r="E8" s="14" t="inlineStr">
        <is>
          <t>da 7 anni</t>
        </is>
      </c>
      <c r="F8" s="14" t="inlineStr">
        <is>
          <t>Prime letture (6-8)</t>
        </is>
      </c>
      <c r="G8" s="14" t="inlineStr">
        <is>
          <t>Divulgazione/Saggio</t>
        </is>
      </c>
      <c r="H8" s="14" t="inlineStr">
        <is>
          <t>Migrazione e accoglienza</t>
        </is>
      </c>
      <c r="I8" s="14" t="inlineStr">
        <is>
          <t>No</t>
        </is>
      </c>
      <c r="J8" s="14" t="inlineStr">
        <is>
          <t>Verificata (IBS / editore)</t>
        </is>
      </c>
      <c r="K8" s="14" t="inlineStr">
        <is>
          <t>prime letture</t>
        </is>
      </c>
      <c r="L8" s="14" t="inlineStr">
        <is>
          <t>https://www.beccogiallo.it/categoria-prodotto/kids/criticalkids/</t>
        </is>
      </c>
      <c r="M8" s="16" t="n">
        <v>13</v>
      </c>
      <c r="N8" s="14" t="inlineStr">
        <is>
          <t>Sito BeccoGiallo (prezzo di listino)</t>
        </is>
      </c>
      <c r="O8" s="16">
        <f>IF(ISNUMBER(M8),ROUND(M8*(1-Condizioni!$B$2),2),"")</f>
        <v/>
      </c>
      <c r="P8" s="17" t="inlineStr">
        <is>
          <t>Sì</t>
        </is>
      </c>
    </row>
    <row r="9">
      <c r="A9" s="14" t="inlineStr">
        <is>
          <t>BeccoGiallo</t>
        </is>
      </c>
      <c r="B9" s="14" t="inlineStr">
        <is>
          <t>Paleo Stories – Estinzione</t>
        </is>
      </c>
      <c r="C9" s="14" t="inlineStr">
        <is>
          <t>Emanuele Apostolidis, Elena Ghezzo e Michela Peloso</t>
        </is>
      </c>
      <c r="D9" s="14" t="inlineStr">
        <is>
          <t>Kids</t>
        </is>
      </c>
      <c r="E9" s="14" t="inlineStr">
        <is>
          <t>da 6 anni</t>
        </is>
      </c>
      <c r="F9" s="14" t="inlineStr">
        <is>
          <t>Prime letture (6-8)</t>
        </is>
      </c>
      <c r="G9" s="14" t="inlineStr">
        <is>
          <t>Graphic novel/Fumetto</t>
        </is>
      </c>
      <c r="H9" s="14" t="inlineStr">
        <is>
          <t>Scienza e paleontologia</t>
        </is>
      </c>
      <c r="I9" s="14" t="inlineStr">
        <is>
          <t>No</t>
        </is>
      </c>
      <c r="J9" s="14" t="inlineStr">
        <is>
          <t>Catalogo</t>
        </is>
      </c>
      <c r="K9" s="14" t="inlineStr">
        <is>
          <t>prime letture</t>
        </is>
      </c>
      <c r="L9" s="14" t="inlineStr">
        <is>
          <t>https://www.beccogiallo.it/categoria-prodotto/kids/</t>
        </is>
      </c>
      <c r="M9" s="16" t="n">
        <v>13</v>
      </c>
      <c r="N9" s="14" t="inlineStr">
        <is>
          <t>https://www.ibs.it/x/e/9788833143620</t>
        </is>
      </c>
      <c r="O9" s="16">
        <f>IF(ISNUMBER(M9),ROUND(M9*(1-Condizioni!$B$2),2),"")</f>
        <v/>
      </c>
      <c r="P9" s="17" t="inlineStr">
        <is>
          <t>Sì</t>
        </is>
      </c>
    </row>
    <row r="10">
      <c r="A10" s="14" t="inlineStr">
        <is>
          <t>BeccoGiallo</t>
        </is>
      </c>
      <c r="B10" s="14" t="inlineStr">
        <is>
          <t>Adele Crudele (serie)</t>
        </is>
      </c>
      <c r="C10" s="14" t="inlineStr">
        <is>
          <t>(vedi scheda)</t>
        </is>
      </c>
      <c r="D10" s="14" t="inlineStr">
        <is>
          <t>Kids</t>
        </is>
      </c>
      <c r="E10" s="14" t="inlineStr">
        <is>
          <t>n.d.</t>
        </is>
      </c>
      <c r="F10" s="14" t="inlineStr">
        <is>
          <t>n.d. / tutte le età</t>
        </is>
      </c>
      <c r="G10" s="14" t="inlineStr">
        <is>
          <t>Graphic novel/Fumetto</t>
        </is>
      </c>
      <c r="H10" s="14" t="inlineStr"/>
      <c r="I10" s="14" t="inlineStr">
        <is>
          <t>No</t>
        </is>
      </c>
      <c r="J10" s="15" t="inlineStr">
        <is>
          <t>Da verificare</t>
        </is>
      </c>
      <c r="K10" s="14" t="inlineStr"/>
      <c r="L10" s="14" t="inlineStr">
        <is>
          <t>https://www.beccogiallo.it/categoria-prodotto/kids/</t>
        </is>
      </c>
      <c r="M10" s="16" t="n">
        <v>14</v>
      </c>
      <c r="N10" s="14" t="inlineStr">
        <is>
          <t>Sito BeccoGiallo (prezzo di listino)</t>
        </is>
      </c>
      <c r="O10" s="16">
        <f>IF(ISNUMBER(M10),ROUND(M10*(1-Condizioni!$B$2),2),"")</f>
        <v/>
      </c>
      <c r="P10" s="17" t="inlineStr">
        <is>
          <t>Sì</t>
        </is>
      </c>
    </row>
    <row r="11">
      <c r="A11" s="14" t="inlineStr">
        <is>
          <t>BeccoGiallo</t>
        </is>
      </c>
      <c r="B11" s="14" t="inlineStr">
        <is>
          <t>Archeo Tales – Il mito del Minotauro</t>
        </is>
      </c>
      <c r="C11" s="14" t="inlineStr">
        <is>
          <t>(vedi scheda)</t>
        </is>
      </c>
      <c r="D11" s="14" t="inlineStr">
        <is>
          <t>Kids</t>
        </is>
      </c>
      <c r="E11" s="14" t="inlineStr">
        <is>
          <t>da 7 anni</t>
        </is>
      </c>
      <c r="F11" s="14" t="inlineStr">
        <is>
          <t>Prime letture (6-8)</t>
        </is>
      </c>
      <c r="G11" s="14" t="inlineStr">
        <is>
          <t>Graphic novel/Fumetto</t>
        </is>
      </c>
      <c r="H11" s="14" t="inlineStr"/>
      <c r="I11" s="14" t="inlineStr">
        <is>
          <t>No</t>
        </is>
      </c>
      <c r="J11" s="14" t="inlineStr">
        <is>
          <t>Verificata (IBS / editore)</t>
        </is>
      </c>
      <c r="K11" s="14" t="inlineStr">
        <is>
          <t>prime letture</t>
        </is>
      </c>
      <c r="L11" s="14" t="inlineStr">
        <is>
          <t>https://www.beccogiallo.it/categoria-prodotto/kids/</t>
        </is>
      </c>
      <c r="M11" s="16" t="n">
        <v>15</v>
      </c>
      <c r="N11" s="14" t="inlineStr">
        <is>
          <t>Sito BeccoGiallo (prezzo di listino)</t>
        </is>
      </c>
      <c r="O11" s="16">
        <f>IF(ISNUMBER(M11),ROUND(M11*(1-Condizioni!$B$2),2),"")</f>
        <v/>
      </c>
      <c r="P11" s="17" t="inlineStr">
        <is>
          <t>Sì</t>
        </is>
      </c>
    </row>
    <row r="12">
      <c r="A12" s="14" t="inlineStr">
        <is>
          <t>BeccoGiallo</t>
        </is>
      </c>
      <c r="B12" s="14" t="inlineStr">
        <is>
          <t>Ariol (serie)</t>
        </is>
      </c>
      <c r="C12" s="14" t="inlineStr">
        <is>
          <t>(vedi scheda)</t>
        </is>
      </c>
      <c r="D12" s="14" t="inlineStr">
        <is>
          <t>Kids</t>
        </is>
      </c>
      <c r="E12" s="14" t="inlineStr">
        <is>
          <t>n.d.</t>
        </is>
      </c>
      <c r="F12" s="14" t="inlineStr">
        <is>
          <t>n.d. / tutte le età</t>
        </is>
      </c>
      <c r="G12" s="14" t="inlineStr">
        <is>
          <t>Graphic novel/Fumetto</t>
        </is>
      </c>
      <c r="H12" s="14" t="inlineStr"/>
      <c r="I12" s="14" t="inlineStr">
        <is>
          <t>No</t>
        </is>
      </c>
      <c r="J12" s="15" t="inlineStr">
        <is>
          <t>Da verificare</t>
        </is>
      </c>
      <c r="K12" s="14" t="inlineStr"/>
      <c r="L12" s="14" t="inlineStr">
        <is>
          <t>https://www.beccogiallo.it/categoria-prodotto/kids/</t>
        </is>
      </c>
      <c r="M12" s="16" t="n">
        <v>15</v>
      </c>
      <c r="N12" s="14" t="inlineStr">
        <is>
          <t>Sito BeccoGiallo (prezzo di listino)</t>
        </is>
      </c>
      <c r="O12" s="16">
        <f>IF(ISNUMBER(M12),ROUND(M12*(1-Condizioni!$B$2),2),"")</f>
        <v/>
      </c>
      <c r="P12" s="17" t="inlineStr">
        <is>
          <t>Sì</t>
        </is>
      </c>
    </row>
    <row r="13">
      <c r="A13" s="14" t="inlineStr">
        <is>
          <t>BeccoGiallo</t>
        </is>
      </c>
      <c r="B13" s="14" t="inlineStr">
        <is>
          <t>Come l'acqua</t>
        </is>
      </c>
      <c r="C13" s="14" t="inlineStr">
        <is>
          <t>(vedi scheda)</t>
        </is>
      </c>
      <c r="D13" s="14" t="inlineStr">
        <is>
          <t>Kids</t>
        </is>
      </c>
      <c r="E13" s="14" t="inlineStr">
        <is>
          <t>da 5 anni</t>
        </is>
      </c>
      <c r="F13" s="14" t="inlineStr">
        <is>
          <t>3-6 anni</t>
        </is>
      </c>
      <c r="G13" s="14" t="inlineStr">
        <is>
          <t>Graphic novel/Fumetto</t>
        </is>
      </c>
      <c r="H13" s="14" t="inlineStr"/>
      <c r="I13" s="14" t="inlineStr">
        <is>
          <t>No</t>
        </is>
      </c>
      <c r="J13" s="14" t="inlineStr">
        <is>
          <t>Verificata (IBS / editore)</t>
        </is>
      </c>
      <c r="K13" s="14" t="inlineStr">
        <is>
          <t>3-6 anni</t>
        </is>
      </c>
      <c r="L13" s="14" t="inlineStr">
        <is>
          <t>https://www.beccogiallo.it/categoria-prodotto/kids/</t>
        </is>
      </c>
      <c r="M13" s="16" t="n">
        <v>19</v>
      </c>
      <c r="N13" s="14" t="inlineStr">
        <is>
          <t>https://www.ibs.it/x/e/9788833143750</t>
        </is>
      </c>
      <c r="O13" s="16">
        <f>IF(ISNUMBER(M13),ROUND(M13*(1-Condizioni!$B$2),2),"")</f>
        <v/>
      </c>
      <c r="P13" s="17" t="inlineStr">
        <is>
          <t>Sì</t>
        </is>
      </c>
    </row>
    <row r="14">
      <c r="A14" s="14" t="inlineStr">
        <is>
          <t>BeccoGiallo</t>
        </is>
      </c>
      <c r="B14" s="14" t="inlineStr">
        <is>
          <t>Figli della foresta. Due vite africane rapite dal colonialismo italiano</t>
        </is>
      </c>
      <c r="C14" s="14" t="inlineStr">
        <is>
          <t>Igiaba Scego; ill. Chiara Abastanotti</t>
        </is>
      </c>
      <c r="D14" s="14" t="inlineStr">
        <is>
          <t>Kids / CriticalKids</t>
        </is>
      </c>
      <c r="E14" s="14" t="inlineStr">
        <is>
          <t>da 12 anni</t>
        </is>
      </c>
      <c r="F14" s="14" t="inlineStr">
        <is>
          <t>Scuola media (11-13)</t>
        </is>
      </c>
      <c r="G14" s="14" t="inlineStr">
        <is>
          <t>Divulgazione/Saggio</t>
        </is>
      </c>
      <c r="H14" s="14" t="inlineStr">
        <is>
          <t>Colonialismo e razzismo</t>
        </is>
      </c>
      <c r="I14" s="14" t="inlineStr">
        <is>
          <t>No</t>
        </is>
      </c>
      <c r="J14" s="14" t="inlineStr">
        <is>
          <t>Verificata (IBS / editore)</t>
        </is>
      </c>
      <c r="K14" s="14" t="inlineStr">
        <is>
          <t>prima/seconda/terza media</t>
        </is>
      </c>
      <c r="L14" s="14" t="inlineStr">
        <is>
          <t>https://www.beccogiallo.it/categoria-prodotto/kids/</t>
        </is>
      </c>
      <c r="M14" s="16" t="n">
        <v>20</v>
      </c>
      <c r="N14" s="14" t="inlineStr">
        <is>
          <t>https://www.beccogiallo.it/negozio/graphic-journalism/figli-della-foresta/</t>
        </is>
      </c>
      <c r="O14" s="16">
        <f>IF(ISNUMBER(M14),ROUND(M14*(1-Condizioni!$B$2),2),"")</f>
        <v/>
      </c>
      <c r="P14" s="17" t="inlineStr">
        <is>
          <t>Sì</t>
        </is>
      </c>
    </row>
    <row r="15">
      <c r="A15" s="14" t="inlineStr">
        <is>
          <t>BeccoGiallo</t>
        </is>
      </c>
      <c r="B15" s="14" t="inlineStr">
        <is>
          <t>Il cinema spiegato ai bambini e alle bambine</t>
        </is>
      </c>
      <c r="C15" s="14" t="inlineStr">
        <is>
          <t>(vedi scheda)</t>
        </is>
      </c>
      <c r="D15" s="14" t="inlineStr">
        <is>
          <t>Kids / CriticalKids</t>
        </is>
      </c>
      <c r="E15" s="14" t="inlineStr">
        <is>
          <t>da 4 anni</t>
        </is>
      </c>
      <c r="F15" s="14" t="inlineStr">
        <is>
          <t>3-6 anni</t>
        </is>
      </c>
      <c r="G15" s="14" t="inlineStr">
        <is>
          <t>Divulgazione/Saggio</t>
        </is>
      </c>
      <c r="H15" s="14" t="inlineStr"/>
      <c r="I15" s="14" t="inlineStr">
        <is>
          <t>No</t>
        </is>
      </c>
      <c r="J15" s="14" t="inlineStr">
        <is>
          <t>Verificata (IBS / editore)</t>
        </is>
      </c>
      <c r="K15" s="14" t="inlineStr">
        <is>
          <t>3-6 anni</t>
        </is>
      </c>
      <c r="L15" s="14" t="inlineStr">
        <is>
          <t>https://www.beccogiallo.it/categoria-prodotto/kids/</t>
        </is>
      </c>
      <c r="M15" s="16" t="n">
        <v>16</v>
      </c>
      <c r="N15" s="14" t="inlineStr">
        <is>
          <t>https://www.ibs.it/x/e/9788833143552</t>
        </is>
      </c>
      <c r="O15" s="16">
        <f>IF(ISNUMBER(M15),ROUND(M15*(1-Condizioni!$B$2),2),"")</f>
        <v/>
      </c>
      <c r="P15" s="17" t="inlineStr">
        <is>
          <t>Sì</t>
        </is>
      </c>
    </row>
    <row r="16">
      <c r="A16" s="14" t="inlineStr">
        <is>
          <t>BeccoGiallo</t>
        </is>
      </c>
      <c r="B16" s="14" t="inlineStr">
        <is>
          <t>Il mio corpo!</t>
        </is>
      </c>
      <c r="C16" s="14" t="inlineStr">
        <is>
          <t>(vedi scheda)</t>
        </is>
      </c>
      <c r="D16" s="14" t="inlineStr">
        <is>
          <t>Kids / CriticalKids</t>
        </is>
      </c>
      <c r="E16" s="14" t="inlineStr">
        <is>
          <t>da 3 anni</t>
        </is>
      </c>
      <c r="F16" s="14" t="inlineStr">
        <is>
          <t>3-6 anni</t>
        </is>
      </c>
      <c r="G16" s="14" t="inlineStr">
        <is>
          <t>Divulgazione/Saggio</t>
        </is>
      </c>
      <c r="H16" s="14" t="inlineStr">
        <is>
          <t>Corpo</t>
        </is>
      </c>
      <c r="I16" s="14" t="inlineStr">
        <is>
          <t>No</t>
        </is>
      </c>
      <c r="J16" s="14" t="inlineStr">
        <is>
          <t>Verificata (IBS / editore)</t>
        </is>
      </c>
      <c r="K16" s="14" t="inlineStr">
        <is>
          <t>3-6 anni</t>
        </is>
      </c>
      <c r="L16" s="14" t="inlineStr">
        <is>
          <t>https://www.beccogiallo.it/categoria-prodotto/kids/</t>
        </is>
      </c>
      <c r="M16" s="16" t="n">
        <v>17.5</v>
      </c>
      <c r="N16" s="14" t="inlineStr">
        <is>
          <t>https://www.beccogiallo.it/negozio/kids/illustrati/il-mio-corpo/</t>
        </is>
      </c>
      <c r="O16" s="16">
        <f>IF(ISNUMBER(M16),ROUND(M16*(1-Condizioni!$B$2),2),"")</f>
        <v/>
      </c>
      <c r="P16" s="17" t="inlineStr">
        <is>
          <t>Sì</t>
        </is>
      </c>
    </row>
    <row r="17">
      <c r="A17" s="14" t="inlineStr">
        <is>
          <t>BeccoGiallo</t>
        </is>
      </c>
      <c r="B17" s="14" t="inlineStr">
        <is>
          <t>Il primo soccorso spiegato alle bambine e ai bambini</t>
        </is>
      </c>
      <c r="C17" s="14" t="inlineStr">
        <is>
          <t>(vedi scheda)</t>
        </is>
      </c>
      <c r="D17" s="14" t="inlineStr">
        <is>
          <t>Kids / CriticalKids</t>
        </is>
      </c>
      <c r="E17" s="14" t="inlineStr">
        <is>
          <t>da 9 anni</t>
        </is>
      </c>
      <c r="F17" s="14" t="inlineStr">
        <is>
          <t>9+</t>
        </is>
      </c>
      <c r="G17" s="14" t="inlineStr">
        <is>
          <t>Divulgazione/Saggio</t>
        </is>
      </c>
      <c r="H17" s="14" t="inlineStr"/>
      <c r="I17" s="14" t="inlineStr">
        <is>
          <t>No</t>
        </is>
      </c>
      <c r="J17" s="14" t="inlineStr">
        <is>
          <t>Verificata (IBS / editore)</t>
        </is>
      </c>
      <c r="K17" s="14" t="inlineStr">
        <is>
          <t>9+</t>
        </is>
      </c>
      <c r="L17" s="14" t="inlineStr">
        <is>
          <t>https://www.beccogiallo.it/categoria-prodotto/kids/</t>
        </is>
      </c>
      <c r="M17" s="16" t="n">
        <v>16</v>
      </c>
      <c r="N17" s="14" t="inlineStr">
        <is>
          <t>Sito BeccoGiallo (prezzo di listino)</t>
        </is>
      </c>
      <c r="O17" s="16">
        <f>IF(ISNUMBER(M17),ROUND(M17*(1-Condizioni!$B$2),2),"")</f>
        <v/>
      </c>
      <c r="P17" s="17" t="inlineStr">
        <is>
          <t>Sì</t>
        </is>
      </c>
    </row>
    <row r="18">
      <c r="A18" s="14" t="inlineStr">
        <is>
          <t>BeccoGiallo</t>
        </is>
      </c>
      <c r="B18" s="14" t="inlineStr">
        <is>
          <t>La Costituzione spiegata ai bambini (Piero e Nilde)</t>
        </is>
      </c>
      <c r="C18" s="14" t="inlineStr">
        <is>
          <t>Francesca Parmigiani; ill. Dora Creminati</t>
        </is>
      </c>
      <c r="D18" s="14" t="inlineStr">
        <is>
          <t>Kids / CriticalKids</t>
        </is>
      </c>
      <c r="E18" s="14" t="inlineStr">
        <is>
          <t>da 9 anni</t>
        </is>
      </c>
      <c r="F18" s="14" t="inlineStr">
        <is>
          <t>9+</t>
        </is>
      </c>
      <c r="G18" s="14" t="inlineStr">
        <is>
          <t>Divulgazione/Saggio</t>
        </is>
      </c>
      <c r="H18" s="14" t="inlineStr">
        <is>
          <t>Diritti e cittadinanza</t>
        </is>
      </c>
      <c r="I18" s="14" t="inlineStr">
        <is>
          <t>No</t>
        </is>
      </c>
      <c r="J18" s="14" t="inlineStr">
        <is>
          <t>Verificata (IBS / editore)</t>
        </is>
      </c>
      <c r="K18" s="14" t="inlineStr">
        <is>
          <t>9+</t>
        </is>
      </c>
      <c r="L18" s="14" t="inlineStr">
        <is>
          <t>https://www.beccogiallo.it/categoria-prodotto/kids/</t>
        </is>
      </c>
      <c r="M18" s="16" t="n">
        <v>14</v>
      </c>
      <c r="N18" s="14" t="inlineStr">
        <is>
          <t>Sito BeccoGiallo (prezzo di listino)</t>
        </is>
      </c>
      <c r="O18" s="16">
        <f>IF(ISNUMBER(M18),ROUND(M18*(1-Condizioni!$B$2),2),"")</f>
        <v/>
      </c>
      <c r="P18" s="17" t="inlineStr">
        <is>
          <t>Sì</t>
        </is>
      </c>
    </row>
    <row r="19">
      <c r="A19" s="14" t="inlineStr">
        <is>
          <t>BeccoGiallo</t>
        </is>
      </c>
      <c r="B19" s="14" t="inlineStr">
        <is>
          <t>La Resistenza spiegata ai bambini</t>
        </is>
      </c>
      <c r="C19" s="14" t="inlineStr">
        <is>
          <t>Francesca Parmigiani</t>
        </is>
      </c>
      <c r="D19" s="14" t="inlineStr">
        <is>
          <t>Kids / CriticalKids</t>
        </is>
      </c>
      <c r="E19" s="14" t="inlineStr">
        <is>
          <t>da 9 anni</t>
        </is>
      </c>
      <c r="F19" s="14" t="inlineStr">
        <is>
          <t>9+</t>
        </is>
      </c>
      <c r="G19" s="14" t="inlineStr">
        <is>
          <t>Divulgazione/Saggio</t>
        </is>
      </c>
      <c r="H19" s="14" t="inlineStr">
        <is>
          <t>Resistenza e libertà</t>
        </is>
      </c>
      <c r="I19" s="14" t="inlineStr">
        <is>
          <t>No</t>
        </is>
      </c>
      <c r="J19" s="14" t="inlineStr">
        <is>
          <t>Verificata (IBS / editore)</t>
        </is>
      </c>
      <c r="K19" s="14" t="inlineStr">
        <is>
          <t>9+</t>
        </is>
      </c>
      <c r="L19" s="14" t="inlineStr">
        <is>
          <t>https://www.beccogiallo.it/categoria-prodotto/kids/</t>
        </is>
      </c>
      <c r="M19" s="16" t="n">
        <v>14</v>
      </c>
      <c r="N19" s="14" t="inlineStr">
        <is>
          <t>Sito BeccoGiallo (prezzo di listino)</t>
        </is>
      </c>
      <c r="O19" s="16">
        <f>IF(ISNUMBER(M19),ROUND(M19*(1-Condizioni!$B$2),2),"")</f>
        <v/>
      </c>
      <c r="P19" s="17" t="inlineStr">
        <is>
          <t>Sì</t>
        </is>
      </c>
    </row>
    <row r="20">
      <c r="A20" s="14" t="inlineStr">
        <is>
          <t>BeccoGiallo</t>
        </is>
      </c>
      <c r="B20" s="14" t="inlineStr">
        <is>
          <t>La disabilità spiegata ai bambini e alle bambine</t>
        </is>
      </c>
      <c r="C20" s="14" t="inlineStr">
        <is>
          <t>(vedi scheda)</t>
        </is>
      </c>
      <c r="D20" s="14" t="inlineStr">
        <is>
          <t>Kids / CriticalKids</t>
        </is>
      </c>
      <c r="E20" s="14" t="inlineStr">
        <is>
          <t>da 6 anni</t>
        </is>
      </c>
      <c r="F20" s="14" t="inlineStr">
        <is>
          <t>Prime letture (6-8)</t>
        </is>
      </c>
      <c r="G20" s="14" t="inlineStr">
        <is>
          <t>Divulgazione/Saggio</t>
        </is>
      </c>
      <c r="H20" s="14" t="inlineStr">
        <is>
          <t>Disabilità</t>
        </is>
      </c>
      <c r="I20" s="14" t="inlineStr">
        <is>
          <t>No</t>
        </is>
      </c>
      <c r="J20" s="14" t="inlineStr">
        <is>
          <t>Verificata (IBS / editore)</t>
        </is>
      </c>
      <c r="K20" s="14" t="inlineStr">
        <is>
          <t>prime letture</t>
        </is>
      </c>
      <c r="L20" s="14" t="inlineStr">
        <is>
          <t>https://www.beccogiallo.it/categoria-prodotto/kids/</t>
        </is>
      </c>
      <c r="M20" s="16" t="n">
        <v>16</v>
      </c>
      <c r="N20" s="14" t="inlineStr">
        <is>
          <t>Sito BeccoGiallo (prezzo di listino)</t>
        </is>
      </c>
      <c r="O20" s="16">
        <f>IF(ISNUMBER(M20),ROUND(M20*(1-Condizioni!$B$2),2),"")</f>
        <v/>
      </c>
      <c r="P20" s="17" t="inlineStr">
        <is>
          <t>Sì</t>
        </is>
      </c>
    </row>
    <row r="21">
      <c r="A21" s="14" t="inlineStr">
        <is>
          <t>BeccoGiallo</t>
        </is>
      </c>
      <c r="B21" s="14" t="inlineStr">
        <is>
          <t>Le emozioni spiegate alle bambine e ai bambini</t>
        </is>
      </c>
      <c r="C21" s="14" t="inlineStr">
        <is>
          <t>(vedi scheda)</t>
        </is>
      </c>
      <c r="D21" s="14" t="inlineStr">
        <is>
          <t>Kids / CriticalKids</t>
        </is>
      </c>
      <c r="E21" s="14" t="inlineStr">
        <is>
          <t>da 6 anni</t>
        </is>
      </c>
      <c r="F21" s="14" t="inlineStr">
        <is>
          <t>Prime letture (6-8)</t>
        </is>
      </c>
      <c r="G21" s="14" t="inlineStr">
        <is>
          <t>Divulgazione/Saggio</t>
        </is>
      </c>
      <c r="H21" s="14" t="inlineStr">
        <is>
          <t>Emozioni</t>
        </is>
      </c>
      <c r="I21" s="14" t="inlineStr">
        <is>
          <t>No</t>
        </is>
      </c>
      <c r="J21" s="14" t="inlineStr">
        <is>
          <t>Verificata (IBS / editore)</t>
        </is>
      </c>
      <c r="K21" s="14" t="inlineStr">
        <is>
          <t>prime letture</t>
        </is>
      </c>
      <c r="L21" s="14" t="inlineStr">
        <is>
          <t>https://www.beccogiallo.it/categoria-prodotto/kids/</t>
        </is>
      </c>
      <c r="M21" s="16" t="n">
        <v>16</v>
      </c>
      <c r="N21" s="14" t="inlineStr">
        <is>
          <t>Sito BeccoGiallo (prezzo di listino)</t>
        </is>
      </c>
      <c r="O21" s="16">
        <f>IF(ISNUMBER(M21),ROUND(M21*(1-Condizioni!$B$2),2),"")</f>
        <v/>
      </c>
      <c r="P21" s="17" t="inlineStr">
        <is>
          <t>Sì</t>
        </is>
      </c>
    </row>
    <row r="22">
      <c r="A22" s="14" t="inlineStr">
        <is>
          <t>BeccoGiallo</t>
        </is>
      </c>
      <c r="B22" s="14" t="inlineStr">
        <is>
          <t>Woman Power</t>
        </is>
      </c>
      <c r="C22" s="14" t="inlineStr">
        <is>
          <t>(vedi scheda)</t>
        </is>
      </c>
      <c r="D22" s="14" t="inlineStr">
        <is>
          <t>Kids / CriticalKids</t>
        </is>
      </c>
      <c r="E22" s="14" t="inlineStr">
        <is>
          <t>da 6 anni</t>
        </is>
      </c>
      <c r="F22" s="14" t="inlineStr">
        <is>
          <t>Prime letture (6-8)</t>
        </is>
      </c>
      <c r="G22" s="14" t="inlineStr">
        <is>
          <t>Divulgazione/Saggio</t>
        </is>
      </c>
      <c r="H22" s="14" t="inlineStr">
        <is>
          <t>Donne e parità</t>
        </is>
      </c>
      <c r="I22" s="14" t="inlineStr">
        <is>
          <t>No</t>
        </is>
      </c>
      <c r="J22" s="14" t="inlineStr">
        <is>
          <t>Verificata (IBS / editore)</t>
        </is>
      </c>
      <c r="K22" s="14" t="inlineStr">
        <is>
          <t>prime letture</t>
        </is>
      </c>
      <c r="L22" s="14" t="inlineStr">
        <is>
          <t>https://www.beccogiallo.it/categoria-prodotto/kids/</t>
        </is>
      </c>
      <c r="M22" s="16" t="n">
        <v>19.5</v>
      </c>
      <c r="N22" s="14" t="inlineStr">
        <is>
          <t>https://www.ibs.it/x/e/9788833143460</t>
        </is>
      </c>
      <c r="O22" s="16">
        <f>IF(ISNUMBER(M22),ROUND(M22*(1-Condizioni!$B$2),2),"")</f>
        <v/>
      </c>
      <c r="P22" s="17" t="inlineStr">
        <is>
          <t>Sì</t>
        </is>
      </c>
    </row>
  </sheetData>
  <autoFilter ref="A1:P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2026-10-21T09:18:17Z</dcterms:created>
  <dcterms:modified xmlns:dcterms="http://purl.org/dc/terms/" xmlns:xsi="http://www.w3.org/2001/XMLSchema-instance" xsi:type="dcterms:W3CDTF">2026-10-21T09:19:15Z</dcterms:modified>
</cp:coreProperties>
</file>